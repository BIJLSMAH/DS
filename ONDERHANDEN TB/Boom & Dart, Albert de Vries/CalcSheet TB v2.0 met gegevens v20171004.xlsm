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fbc5aaa21dbd47c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0" windowWidth="20610" windowHeight="10320"/>
  </bookViews>
  <sheets>
    <sheet name="offerte incl. totalen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P86" i="1" l="1"/>
  <c r="G86" i="1"/>
  <c r="P85" i="1"/>
  <c r="G85" i="1"/>
  <c r="P83" i="1"/>
  <c r="G83" i="1"/>
  <c r="O80" i="1" l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86" i="1" l="1"/>
  <c r="O83" i="1"/>
  <c r="O85" i="1"/>
  <c r="Q80" i="1"/>
  <c r="N80" i="1"/>
  <c r="M80" i="1"/>
  <c r="Q79" i="1"/>
  <c r="N79" i="1"/>
  <c r="M79" i="1"/>
  <c r="Q78" i="1"/>
  <c r="N78" i="1"/>
  <c r="M78" i="1"/>
  <c r="Q77" i="1"/>
  <c r="N77" i="1"/>
  <c r="M77" i="1"/>
  <c r="Q76" i="1"/>
  <c r="N76" i="1"/>
  <c r="M76" i="1"/>
  <c r="Q75" i="1"/>
  <c r="N75" i="1"/>
  <c r="M75" i="1"/>
  <c r="Q74" i="1"/>
  <c r="N74" i="1"/>
  <c r="M74" i="1"/>
  <c r="Q73" i="1"/>
  <c r="N73" i="1"/>
  <c r="M73" i="1"/>
  <c r="Q72" i="1"/>
  <c r="N72" i="1"/>
  <c r="M72" i="1"/>
  <c r="Q71" i="1"/>
  <c r="N71" i="1"/>
  <c r="M71" i="1"/>
  <c r="Q70" i="1"/>
  <c r="N70" i="1"/>
  <c r="M70" i="1"/>
  <c r="Q69" i="1"/>
  <c r="N69" i="1"/>
  <c r="M69" i="1"/>
  <c r="Q68" i="1"/>
  <c r="N68" i="1"/>
  <c r="M68" i="1"/>
  <c r="Q67" i="1"/>
  <c r="N67" i="1"/>
  <c r="M67" i="1"/>
  <c r="Q66" i="1"/>
  <c r="N66" i="1"/>
  <c r="M66" i="1"/>
  <c r="Q65" i="1"/>
  <c r="N65" i="1"/>
  <c r="M65" i="1"/>
  <c r="Q64" i="1"/>
  <c r="N64" i="1"/>
  <c r="M64" i="1"/>
  <c r="Q63" i="1"/>
  <c r="N63" i="1"/>
  <c r="M63" i="1"/>
  <c r="Q62" i="1"/>
  <c r="N62" i="1"/>
  <c r="M62" i="1"/>
  <c r="Q61" i="1"/>
  <c r="N61" i="1"/>
  <c r="M61" i="1"/>
  <c r="Q60" i="1"/>
  <c r="N60" i="1"/>
  <c r="M60" i="1"/>
  <c r="Q59" i="1"/>
  <c r="N59" i="1"/>
  <c r="M59" i="1"/>
  <c r="Q58" i="1"/>
  <c r="N58" i="1"/>
  <c r="M58" i="1"/>
  <c r="Q57" i="1"/>
  <c r="N57" i="1"/>
  <c r="M57" i="1"/>
  <c r="Q56" i="1"/>
  <c r="N56" i="1"/>
  <c r="M56" i="1"/>
  <c r="Q55" i="1"/>
  <c r="N55" i="1"/>
  <c r="M55" i="1"/>
  <c r="Q54" i="1"/>
  <c r="N54" i="1"/>
  <c r="M54" i="1"/>
  <c r="Q53" i="1"/>
  <c r="N53" i="1"/>
  <c r="M53" i="1"/>
  <c r="Q52" i="1"/>
  <c r="N52" i="1"/>
  <c r="M52" i="1"/>
  <c r="Q51" i="1"/>
  <c r="N51" i="1"/>
  <c r="M51" i="1"/>
  <c r="Q50" i="1"/>
  <c r="N50" i="1"/>
  <c r="M50" i="1"/>
  <c r="Q49" i="1"/>
  <c r="N49" i="1"/>
  <c r="M49" i="1"/>
  <c r="Q48" i="1"/>
  <c r="N48" i="1"/>
  <c r="M48" i="1"/>
  <c r="Q47" i="1"/>
  <c r="N47" i="1"/>
  <c r="M47" i="1"/>
  <c r="Q46" i="1"/>
  <c r="N46" i="1"/>
  <c r="M46" i="1"/>
  <c r="Q45" i="1"/>
  <c r="N45" i="1"/>
  <c r="M45" i="1"/>
  <c r="Q44" i="1"/>
  <c r="N44" i="1"/>
  <c r="M44" i="1"/>
  <c r="Q43" i="1"/>
  <c r="N43" i="1"/>
  <c r="M43" i="1"/>
  <c r="Q42" i="1"/>
  <c r="N42" i="1"/>
  <c r="M42" i="1"/>
  <c r="Q41" i="1"/>
  <c r="N41" i="1"/>
  <c r="M41" i="1"/>
  <c r="Q40" i="1"/>
  <c r="N40" i="1"/>
  <c r="M40" i="1"/>
  <c r="Q39" i="1"/>
  <c r="N39" i="1"/>
  <c r="M39" i="1"/>
  <c r="Q38" i="1"/>
  <c r="N38" i="1"/>
  <c r="M38" i="1"/>
  <c r="Q37" i="1"/>
  <c r="N37" i="1"/>
  <c r="M37" i="1"/>
  <c r="Q36" i="1"/>
  <c r="N36" i="1"/>
  <c r="M36" i="1"/>
  <c r="Q35" i="1"/>
  <c r="N35" i="1"/>
  <c r="M35" i="1"/>
  <c r="Q34" i="1"/>
  <c r="N34" i="1"/>
  <c r="M34" i="1"/>
  <c r="Q33" i="1"/>
  <c r="N33" i="1"/>
  <c r="M33" i="1"/>
  <c r="Q32" i="1"/>
  <c r="N32" i="1"/>
  <c r="M32" i="1"/>
  <c r="Q31" i="1"/>
  <c r="N31" i="1"/>
  <c r="M31" i="1"/>
  <c r="Q30" i="1"/>
  <c r="N30" i="1"/>
  <c r="M30" i="1"/>
  <c r="Q29" i="1"/>
  <c r="N29" i="1"/>
  <c r="M29" i="1"/>
  <c r="Q28" i="1"/>
  <c r="N28" i="1"/>
  <c r="M28" i="1"/>
  <c r="Q27" i="1"/>
  <c r="N27" i="1"/>
  <c r="M27" i="1"/>
  <c r="Q26" i="1"/>
  <c r="N26" i="1"/>
  <c r="M26" i="1"/>
  <c r="Q25" i="1"/>
  <c r="N25" i="1"/>
  <c r="M25" i="1"/>
  <c r="Q24" i="1"/>
  <c r="N24" i="1"/>
  <c r="M24" i="1"/>
  <c r="Q23" i="1"/>
  <c r="N23" i="1"/>
  <c r="M23" i="1"/>
  <c r="Q22" i="1"/>
  <c r="N22" i="1"/>
  <c r="M22" i="1"/>
  <c r="Q21" i="1"/>
  <c r="N21" i="1"/>
  <c r="M21" i="1"/>
  <c r="Q20" i="1"/>
  <c r="N20" i="1"/>
  <c r="M20" i="1"/>
  <c r="Q19" i="1"/>
  <c r="N19" i="1"/>
  <c r="M19" i="1"/>
  <c r="Q18" i="1"/>
  <c r="N18" i="1"/>
  <c r="M18" i="1"/>
  <c r="Q17" i="1"/>
  <c r="N17" i="1"/>
  <c r="M17" i="1"/>
  <c r="Q16" i="1"/>
  <c r="N16" i="1"/>
  <c r="M16" i="1"/>
  <c r="Q15" i="1"/>
  <c r="N15" i="1"/>
  <c r="M15" i="1"/>
  <c r="Q14" i="1"/>
  <c r="N14" i="1"/>
  <c r="M14" i="1"/>
  <c r="Q13" i="1"/>
  <c r="N13" i="1"/>
  <c r="M13" i="1"/>
  <c r="Q12" i="1"/>
  <c r="N12" i="1"/>
  <c r="M12" i="1"/>
  <c r="Q11" i="1"/>
  <c r="N11" i="1"/>
  <c r="M11" i="1"/>
  <c r="Q10" i="1"/>
  <c r="N10" i="1"/>
  <c r="M10" i="1"/>
  <c r="Q9" i="1"/>
  <c r="N9" i="1"/>
  <c r="M9" i="1"/>
  <c r="Q8" i="1"/>
  <c r="N8" i="1"/>
  <c r="M8" i="1"/>
  <c r="Q7" i="1"/>
  <c r="N7" i="1"/>
  <c r="M7" i="1"/>
  <c r="Q6" i="1"/>
  <c r="N6" i="1"/>
  <c r="M6" i="1"/>
  <c r="Q5" i="1"/>
  <c r="N5" i="1"/>
  <c r="M5" i="1"/>
  <c r="Q4" i="1"/>
  <c r="N4" i="1"/>
  <c r="M4" i="1"/>
  <c r="Q86" i="1" l="1"/>
  <c r="N83" i="1"/>
  <c r="N85" i="1"/>
  <c r="M86" i="1"/>
  <c r="Q83" i="1"/>
  <c r="Q85" i="1"/>
  <c r="N86" i="1"/>
  <c r="M85" i="1"/>
  <c r="M83" i="1"/>
</calcChain>
</file>

<file path=xl/sharedStrings.xml><?xml version="1.0" encoding="utf-8"?>
<sst xmlns="http://schemas.openxmlformats.org/spreadsheetml/2006/main" count="317" uniqueCount="49">
  <si>
    <t>5150175K</t>
  </si>
  <si>
    <t>N</t>
  </si>
  <si>
    <t>Taxus baccata</t>
  </si>
  <si>
    <t>150-175 cm. met kluit</t>
  </si>
  <si>
    <t>1015020P09</t>
  </si>
  <si>
    <t>Ilex crenata 'Green Hedge'</t>
  </si>
  <si>
    <t>15- 20 cm. Pot 9</t>
  </si>
  <si>
    <t>1060070K</t>
  </si>
  <si>
    <t>60- 70 cm. met kluit</t>
  </si>
  <si>
    <t>1040050K</t>
  </si>
  <si>
    <t>40- 50 cm. met kluit</t>
  </si>
  <si>
    <t>1035040K</t>
  </si>
  <si>
    <t>35- 40 cm. met kluit</t>
  </si>
  <si>
    <t>Juniperus communis</t>
  </si>
  <si>
    <t>150-175 cm.</t>
  </si>
  <si>
    <t>1015020WSTR</t>
  </si>
  <si>
    <t>Buxus 'Green Velvet'</t>
  </si>
  <si>
    <t>15- 20 cm. wortelgoed struik</t>
  </si>
  <si>
    <t>1040000CBOL</t>
  </si>
  <si>
    <t>40- cm. Cont. bolvorm</t>
  </si>
  <si>
    <t>1025000KBOL</t>
  </si>
  <si>
    <t>25- cm. met kluit bolvorm</t>
  </si>
  <si>
    <t>1025000CBOL</t>
  </si>
  <si>
    <t>Buxus 'Green Gem'</t>
  </si>
  <si>
    <t>25- cm. Cont. bolvorm</t>
  </si>
  <si>
    <t>J</t>
  </si>
  <si>
    <t>Totaal offerte</t>
  </si>
  <si>
    <t>Diverse kosten</t>
  </si>
  <si>
    <t>P-Key</t>
  </si>
  <si>
    <t>Te importeren prijs</t>
  </si>
  <si>
    <t>Offerte nr</t>
  </si>
  <si>
    <t>nr</t>
  </si>
  <si>
    <t>Maat kode</t>
  </si>
  <si>
    <t>Alt.</t>
  </si>
  <si>
    <t>Aantal</t>
  </si>
  <si>
    <t>Plantnaam</t>
  </si>
  <si>
    <t>Plantmaat</t>
  </si>
  <si>
    <t>IKKP</t>
  </si>
  <si>
    <t>40%</t>
  </si>
  <si>
    <t>Strat 1</t>
  </si>
  <si>
    <t>Totaal IKKP</t>
  </si>
  <si>
    <t>Totaal 40%</t>
  </si>
  <si>
    <t>Totaal Strat 1</t>
  </si>
  <si>
    <t>Aantal eigen v.</t>
  </si>
  <si>
    <t>Totaal IKKP eigen v.</t>
  </si>
  <si>
    <t>Calculatie 1</t>
  </si>
  <si>
    <t>Calculatie 2
test</t>
  </si>
  <si>
    <t>Intern</t>
  </si>
  <si>
    <t>Extern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</si>
</sst>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 * #,##0.00_ ;_ * \-#,##0.00_ ;_ * &quot;-&quot;??_ ;_ @_ "/>
    <numFmt numFmtId="164" formatCode="_ * #,##0_ ;_ * \-#,##0_ ;_ * &quot;-&quot;??_ ;_ @_ "/>
    <numFmt numFmtId="165" formatCode="_(* ###,##0.00_);_(* \(###,##0.00\);_(* &quot;-&quot;??_);_(@_)"/>
    <numFmt numFmtId="166" formatCode="&quot;Totaal offerte&quot;\ 0"/>
  </numFmts>
  <fonts count="22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sz val="10"/>
      <color rgb="FF006100"/>
      <name val="Arial"/>
      <family val="2"/>
    </font>
    <font>
      <sz val="10"/>
      <color rgb="FF3F3F76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9C6500"/>
      <name val="Arial"/>
      <family val="2"/>
    </font>
    <font>
      <sz val="10"/>
      <color rgb="FF9C0006"/>
      <name val="Arial"/>
      <family val="2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b/>
      <sz val="10"/>
      <color rgb="FF3F3F3F"/>
      <name val="Arial"/>
      <family val="2"/>
    </font>
    <font>
      <i/>
      <sz val="10"/>
      <color rgb="FF7F7F7F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FFFFFF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1" applyNumberFormat="0" applyAlignment="0" applyProtection="0"/>
    <xf numFmtId="0" fontId="4" fillId="27" borderId="2" applyNumberFormat="0" applyAlignment="0" applyProtection="0"/>
    <xf numFmtId="0" fontId="5" fillId="0" borderId="3" applyNumberFormat="0" applyFill="0" applyAlignment="0" applyProtection="0"/>
    <xf numFmtId="0" fontId="6" fillId="28" borderId="0" applyNumberFormat="0" applyBorder="0" applyAlignment="0" applyProtection="0"/>
    <xf numFmtId="0" fontId="7" fillId="29" borderId="1" applyNumberFormat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0" applyNumberFormat="0" applyBorder="0" applyAlignment="0" applyProtection="0"/>
    <xf numFmtId="0" fontId="1" fillId="31" borderId="7" applyNumberFormat="0" applyFont="0" applyAlignment="0" applyProtection="0"/>
    <xf numFmtId="0" fontId="12" fillId="32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0" borderId="8" applyNumberFormat="0" applyFill="0" applyAlignment="0" applyProtection="0"/>
    <xf numFmtId="0" fontId="15" fillId="26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Fill="1" applyBorder="1" applyAlignment="1">
      <alignment horizontal="left" vertical="center"/>
    </xf>
    <xf numFmtId="164" fontId="0" fillId="0" borderId="0" xfId="0" applyNumberFormat="1" applyFill="1" applyBorder="1" applyAlignment="1">
      <alignment horizontal="left" vertical="center"/>
    </xf>
    <xf numFmtId="43" fontId="0" fillId="0" borderId="0" xfId="0" applyNumberFormat="1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18" fillId="0" borderId="0" xfId="0" applyFont="1" applyFill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left" vertical="center"/>
    </xf>
    <xf numFmtId="165" fontId="0" fillId="0" borderId="0" xfId="0" applyNumberFormat="1" applyFill="1" applyBorder="1" applyAlignment="1">
      <alignment vertical="center"/>
    </xf>
    <xf numFmtId="0" fontId="20" fillId="0" borderId="0" xfId="0" applyFont="1" applyFill="1" applyBorder="1" applyAlignment="1">
      <alignment horizontal="left" vertical="center" wrapText="1"/>
    </xf>
    <xf numFmtId="43" fontId="20" fillId="0" borderId="0" xfId="0" applyNumberFormat="1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164" fontId="20" fillId="0" borderId="0" xfId="0" applyNumberFormat="1" applyFont="1" applyFill="1" applyBorder="1" applyAlignment="1">
      <alignment horizontal="left" vertical="center"/>
    </xf>
    <xf numFmtId="165" fontId="20" fillId="0" borderId="0" xfId="0" applyNumberFormat="1" applyFont="1" applyFill="1" applyBorder="1" applyAlignment="1">
      <alignment horizontal="left" vertical="center"/>
    </xf>
    <xf numFmtId="165" fontId="20" fillId="0" borderId="0" xfId="0" applyNumberFormat="1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164" fontId="14" fillId="0" borderId="0" xfId="0" applyNumberFormat="1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165" fontId="14" fillId="0" borderId="0" xfId="0" applyNumberFormat="1" applyFont="1" applyFill="1" applyBorder="1" applyAlignment="1">
      <alignment horizontal="left" vertical="center"/>
    </xf>
    <xf numFmtId="166" fontId="14" fillId="0" borderId="0" xfId="0" applyNumberFormat="1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 wrapText="1"/>
    </xf>
    <xf numFmtId="165" fontId="0" fillId="0" borderId="0" xfId="0" applyNumberFormat="1" applyFont="1" applyFill="1" applyBorder="1" applyAlignment="1">
      <alignment vertical="center" wrapText="1"/>
    </xf>
    <xf numFmtId="43" fontId="19" fillId="33" borderId="0" xfId="0" applyNumberFormat="1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 wrapText="1"/>
    </xf>
    <xf numFmtId="164" fontId="21" fillId="0" borderId="0" xfId="0" applyNumberFormat="1" applyFont="1" applyFill="1" applyBorder="1" applyAlignment="1">
      <alignment horizontal="center" vertical="center" wrapText="1"/>
    </xf>
    <xf numFmtId="43" fontId="21" fillId="0" borderId="0" xfId="0" applyNumberFormat="1" applyFont="1" applyFill="1" applyBorder="1" applyAlignment="1">
      <alignment horizontal="center" vertical="center" wrapText="1"/>
    </xf>
    <xf numFmtId="165" fontId="21" fillId="0" borderId="0" xfId="0" applyNumberFormat="1" applyFont="1" applyFill="1" applyBorder="1" applyAlignment="1">
      <alignment horizontal="center" vertical="center" wrapText="1"/>
    </xf>
    <xf numFmtId="0" fontId="19" fillId="0" borderId="0" xfId="0" applyFont="1" applyFill="1" applyBorder="1" applyAlignment="1">
      <alignment horizontal="center" vertical="center" wrapText="1"/>
    </xf>
    <xf numFmtId="43" fontId="19" fillId="0" borderId="0" xfId="0" applyNumberFormat="1" applyFont="1" applyFill="1" applyBorder="1" applyAlignment="1">
      <alignment horizontal="center" vertical="center" wrapText="1"/>
    </xf>
    <xf numFmtId="164" fontId="19" fillId="0" borderId="0" xfId="0" applyNumberFormat="1" applyFont="1" applyFill="1" applyBorder="1" applyAlignment="1">
      <alignment horizontal="center" vertical="center" wrapText="1"/>
    </xf>
    <xf numFmtId="165" fontId="19" fillId="0" borderId="0" xfId="0" applyNumberFormat="1" applyFont="1" applyFill="1" applyBorder="1" applyAlignment="1">
      <alignment horizontal="center" vertical="center" wrapText="1"/>
    </xf>
    <xf numFmtId="165" fontId="0" fillId="0" borderId="0" xfId="0" applyNumberFormat="1" applyFont="1" applyFill="1" applyBorder="1" applyAlignment="1">
      <alignment horizontal="left" vertical="center" wrapText="1"/>
    </xf>
    <xf numFmtId="0" fontId="0" fillId="33" borderId="0" xfId="0" applyFont="1" applyFill="1" applyBorder="1" applyAlignment="1">
      <alignment horizontal="left" vertical="center" wrapText="1"/>
    </xf>
    <xf numFmtId="43" fontId="0" fillId="33" borderId="0" xfId="0" applyNumberFormat="1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 wrapText="1"/>
    </xf>
    <xf numFmtId="164" fontId="0" fillId="0" borderId="0" xfId="0" applyNumberFormat="1" applyFont="1" applyFill="1" applyBorder="1" applyAlignment="1">
      <alignment horizontal="left" vertical="center" wrapText="1"/>
    </xf>
    <xf numFmtId="43" fontId="0" fillId="0" borderId="0" xfId="0" applyNumberFormat="1" applyFont="1" applyFill="1" applyBorder="1" applyAlignment="1">
      <alignment horizontal="left"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erekening" xfId="25" builtinId="22" customBuiltin="1"/>
    <cellStyle name="Controlecel" xfId="26" builtinId="23" customBuiltin="1"/>
    <cellStyle name="Gekoppelde cel" xfId="27" builtinId="24" customBuiltin="1"/>
    <cellStyle name="Goed" xfId="28" builtinId="26" customBuiltin="1"/>
    <cellStyle name="Invoer" xfId="29" builtinId="20" customBuiltin="1"/>
    <cellStyle name="Kop 1" xfId="30" builtinId="16" customBuiltin="1"/>
    <cellStyle name="Kop 2" xfId="31" builtinId="17" customBuiltin="1"/>
    <cellStyle name="Kop 3" xfId="32" builtinId="18" customBuiltin="1"/>
    <cellStyle name="Kop 4" xfId="33" builtinId="19" customBuiltin="1"/>
    <cellStyle name="Neutraal" xfId="34" builtinId="28" customBuiltin="1"/>
    <cellStyle name="Notitie" xfId="35" builtinId="10" customBuiltin="1"/>
    <cellStyle name="Ongeldig" xfId="36" builtinId="27" customBuiltin="1"/>
    <cellStyle name="Standaard" xfId="0" builtinId="0"/>
    <cellStyle name="Titel" xfId="37" builtinId="15" customBuiltin="1"/>
    <cellStyle name="Totaal" xfId="38" builtinId="25" customBuiltin="1"/>
    <cellStyle name="Uitvoer" xfId="39" builtinId="21" customBuiltin="1"/>
    <cellStyle name="Verklarende tekst" xfId="40" builtinId="53" customBuiltin="1"/>
    <cellStyle name="Waarschuwingstekst" xfId="41" builtinId="11" customBuiltin="1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_(* ###,##0.00_);_(* \(##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_(* ###,##0.00_);_(* \(##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_(* ###,##0.00_);_(* \(##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 * #,##0_ ;_ * \-#,##0_ ;_ * &quot;-&quot;??_ ;_ @_ 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_(* ###,##0.00_);_(* \(##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_(* ###,##0.00_);_(* \(##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_(* ###,##0.00_);_(* \(###,##0.00\);_(* &quot;-&quot;??_);_(@_)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 * #,##0_ ;_ * \-#,##0_ ;_ * &quot;-&quot;??_ ;_ @_ 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7" formatCode="_(* ###.##000_);_(* \(###.##000\);_(* &quot;-&quot;??_);_(@_)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165" formatCode="_(* ###,##0.00_);_(* \(###,##0.00\);_(* &quot;-&quot;??_);_(@_)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000000"/>
      </font>
      <fill>
        <patternFill>
          <bgColor rgb="FF00FFFF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6795556505021"/>
          <bgColor theme="0" tint="-4.9989318521683403E-2"/>
        </patternFill>
      </fill>
    </dxf>
    <dxf>
      <font>
        <b/>
        <color theme="0"/>
      </font>
      <fill>
        <patternFill patternType="none">
          <fgColor indexed="64"/>
          <bgColor auto="1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6795556505021"/>
          <bgColor theme="0" tint="-4.9989318521683403E-2"/>
        </patternFill>
      </fill>
    </dxf>
    <dxf>
      <font>
        <b/>
        <color theme="0"/>
      </font>
      <fill>
        <patternFill patternType="solid">
          <fgColor theme="1"/>
          <bgColor rgb="FF0070C0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3" defaultTableStyle="Boot&amp;Co" defaultPivotStyle="PivotStyleLight16">
    <tableStyle name="Boot&amp;Co" pivot="0" count="4">
      <tableStyleElement type="wholeTable" dxfId="38"/>
      <tableStyleElement type="headerRow" dxfId="37"/>
      <tableStyleElement type="firstRowStripe" dxfId="36"/>
      <tableStyleElement type="firstColumnStripe" dxfId="35"/>
    </tableStyle>
    <tableStyle name="Boot&amp;Co NoH" pivot="0" count="4">
      <tableStyleElement type="wholeTable" dxfId="34"/>
      <tableStyleElement type="headerRow" dxfId="33"/>
      <tableStyleElement type="firstRowStripe" dxfId="32"/>
      <tableStyleElement type="firstColumnStripe" dxfId="31"/>
    </tableStyle>
    <tableStyle name="Boot&amp;Co_leeg" pivot="0" count="9">
      <tableStyleElement type="wholeTable" dxfId="30"/>
      <tableStyleElement type="headerRow" dxfId="29"/>
      <tableStyleElement type="firstColumn" dxfId="28"/>
      <tableStyleElement type="firstRowStripe" dxfId="27"/>
      <tableStyleElement type="secondRowStripe" dxfId="26"/>
      <tableStyleElement type="firstColumnStripe" dxfId="25"/>
      <tableStyleElement type="secondColumnStripe" dxfId="24"/>
      <tableStyleElement type="firstHeaderCell" dxfId="23"/>
      <tableStyleElement type="lastHeaderCell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7" name="BPOfferteRegels" displayName="BPOfferteRegels" ref="A2:S80" totalsRowShown="0" headerRowDxfId="20" dataDxfId="19">
  <autoFilter ref="A2:S80"/>
  <tableColumns count="19">
    <tableColumn id="1" name="P-Key" dataDxfId="18"/>
    <tableColumn id="2" name="Te importeren prijs" dataDxfId="17"/>
    <tableColumn id="3" name="Offerte nr" dataDxfId="16"/>
    <tableColumn id="4" name="nr" dataDxfId="15"/>
    <tableColumn id="5" name="Maat kode" dataDxfId="14"/>
    <tableColumn id="6" name="Alt." dataDxfId="13"/>
    <tableColumn id="7" name="Aantal" dataDxfId="12"/>
    <tableColumn id="8" name="Plantnaam" dataDxfId="11"/>
    <tableColumn id="9" name="Plantmaat" dataDxfId="10"/>
    <tableColumn id="10" name="IKKP" dataDxfId="9"/>
    <tableColumn id="11" name="40%" dataDxfId="8"/>
    <tableColumn id="12" name="Strat 1" dataDxfId="7"/>
    <tableColumn id="13" name="Totaal IKKP" dataDxfId="6">
      <calculatedColumnFormula>G3*J3</calculatedColumnFormula>
    </tableColumn>
    <tableColumn id="14" name="Totaal 40%" dataDxfId="5">
      <calculatedColumnFormula>G3*K3</calculatedColumnFormula>
    </tableColumn>
    <tableColumn id="15" name="Totaal Strat 1" dataDxfId="4">
      <calculatedColumnFormula>$L3*$G3</calculatedColumnFormula>
    </tableColumn>
    <tableColumn id="16" name="Aantal eigen v." dataDxfId="3"/>
    <tableColumn id="17" name="Totaal IKKP eigen v." dataDxfId="2">
      <calculatedColumnFormula>P3*J3</calculatedColumnFormula>
    </tableColumn>
    <tableColumn id="18" name="Intern" dataDxfId="1"/>
    <tableColumn id="19" name="Extern" dataDxfId="0"/>
  </tableColumns>
  <tableStyleInfo name="Boot&amp;Co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bOfferteTotalen" enableFormatConditionsCalculation="0">
    <pageSetUpPr fitToPage="1"/>
  </sheetPr>
  <dimension ref="A1:T86"/>
  <sheetViews>
    <sheetView tabSelected="1" topLeftCell="F2" zoomScaleNormal="100" workbookViewId="0">
      <pane ySplit="2" topLeftCell="A4" activePane="bottomLeft" state="frozenSplit"/>
      <selection activeCell="A2" sqref="A2"/>
      <selection pane="bottomLeft"/>
    </sheetView>
  </sheetViews>
  <sheetFormatPr defaultRowHeight="12.75" x14ac:dyDescent="0.2"/>
  <cols>
    <col min="1" max="1" width="9.7109375" style="1" customWidth="1"/>
    <col min="2" max="2" width="10.7109375" style="3" customWidth="1"/>
    <col min="3" max="3" width="9.7109375" style="1" customWidth="1"/>
    <col min="4" max="4" width="3.7109375" style="1" customWidth="1"/>
    <col min="5" max="5" width="15.7109375" style="1" customWidth="1"/>
    <col min="6" max="6" width="3.7109375" style="1" customWidth="1"/>
    <col min="7" max="7" width="10.7109375" style="2" customWidth="1"/>
    <col min="8" max="8" width="33.28515625" style="1" customWidth="1"/>
    <col min="9" max="9" width="28.42578125" style="1" customWidth="1"/>
    <col min="10" max="12" width="8.7109375" style="3" customWidth="1"/>
    <col min="13" max="15" width="11.7109375" style="6" customWidth="1"/>
    <col min="16" max="16" width="11.7109375" style="2" customWidth="1"/>
    <col min="17" max="19" width="11.7109375" style="6" customWidth="1"/>
    <col min="20" max="20" width="11.7109375" style="7" customWidth="1"/>
    <col min="21" max="26" width="11.7109375" style="4" customWidth="1"/>
    <col min="27" max="16384" width="9.140625" style="4"/>
  </cols>
  <sheetData>
    <row r="1" spans="1:20" s="14" customFormat="1" hidden="1" x14ac:dyDescent="0.2">
      <c r="A1" s="8"/>
      <c r="B1" s="9"/>
      <c r="C1" s="10"/>
      <c r="D1" s="10"/>
      <c r="E1" s="10"/>
      <c r="F1" s="10"/>
      <c r="G1" s="11"/>
      <c r="H1" s="10"/>
      <c r="I1" s="10"/>
      <c r="J1" s="9"/>
      <c r="K1" s="9"/>
      <c r="L1" s="9"/>
      <c r="M1" s="12"/>
      <c r="N1" s="12"/>
      <c r="O1" s="12"/>
      <c r="P1" s="11"/>
      <c r="Q1" s="12"/>
      <c r="R1" s="12"/>
      <c r="S1" s="12"/>
      <c r="T1" s="13"/>
    </row>
    <row r="2" spans="1:20" s="5" customFormat="1" ht="38.1" customHeight="1" x14ac:dyDescent="0.2">
      <c r="A2" s="15" t="s">
        <v>28</v>
      </c>
      <c r="B2" s="22" t="s">
        <v>29</v>
      </c>
      <c r="C2" s="23" t="s">
        <v>30</v>
      </c>
      <c r="D2" s="23" t="s">
        <v>31</v>
      </c>
      <c r="E2" s="23" t="s">
        <v>32</v>
      </c>
      <c r="F2" s="23" t="s">
        <v>33</v>
      </c>
      <c r="G2" s="24" t="s">
        <v>34</v>
      </c>
      <c r="H2" s="23" t="s">
        <v>35</v>
      </c>
      <c r="I2" s="23" t="s">
        <v>36</v>
      </c>
      <c r="J2" s="25" t="s">
        <v>37</v>
      </c>
      <c r="K2" s="25" t="s">
        <v>38</v>
      </c>
      <c r="L2" s="25" t="s">
        <v>39</v>
      </c>
      <c r="M2" s="26" t="s">
        <v>40</v>
      </c>
      <c r="N2" s="26" t="s">
        <v>41</v>
      </c>
      <c r="O2" s="26" t="s">
        <v>42</v>
      </c>
      <c r="P2" s="24" t="s">
        <v>43</v>
      </c>
      <c r="Q2" s="26" t="s">
        <v>44</v>
      </c>
      <c r="R2" s="26" t="s">
        <v>47</v>
      </c>
      <c r="S2" s="26" t="s">
        <v>48</v>
      </c>
    </row>
    <row r="3" spans="1:20" s="20" customFormat="1" ht="24" x14ac:dyDescent="0.2">
      <c r="A3" s="27"/>
      <c r="B3" s="28"/>
      <c r="C3" s="27"/>
      <c r="D3" s="27"/>
      <c r="E3" s="27"/>
      <c r="F3" s="27"/>
      <c r="G3" s="29"/>
      <c r="H3" s="27"/>
      <c r="I3" s="27"/>
      <c r="J3" s="28"/>
      <c r="K3" s="28"/>
      <c r="L3" s="28"/>
      <c r="M3" s="30"/>
      <c r="N3" s="30" t="s">
        <v>45</v>
      </c>
      <c r="O3" s="30" t="s">
        <v>46</v>
      </c>
      <c r="P3" s="29"/>
      <c r="Q3" s="30"/>
      <c r="R3" s="31"/>
      <c r="S3" s="31"/>
    </row>
    <row r="4" spans="1:20" s="20" customFormat="1" x14ac:dyDescent="0.2">
      <c r="A4" s="32">
        <v>19749482</v>
      </c>
      <c r="B4" s="33">
        <v>11</v>
      </c>
      <c r="C4" s="34">
        <v>6066944</v>
      </c>
      <c r="D4" s="34">
        <v>1</v>
      </c>
      <c r="E4" s="34" t="s">
        <v>0</v>
      </c>
      <c r="F4" s="34" t="s">
        <v>1</v>
      </c>
      <c r="G4" s="35">
        <v>145</v>
      </c>
      <c r="H4" s="34" t="s">
        <v>2</v>
      </c>
      <c r="I4" s="34" t="s">
        <v>3</v>
      </c>
      <c r="J4" s="36">
        <v>27.5</v>
      </c>
      <c r="K4" s="36">
        <v>38.5</v>
      </c>
      <c r="L4" s="36"/>
      <c r="M4" s="31">
        <f t="shared" ref="M4:M35" si="0">G4*J4</f>
        <v>3987.5</v>
      </c>
      <c r="N4" s="31">
        <f t="shared" ref="N4:N35" si="1">G4*K4</f>
        <v>5582.5</v>
      </c>
      <c r="O4" s="31">
        <f t="shared" ref="O4:O35" si="2">$L4*$G4</f>
        <v>0</v>
      </c>
      <c r="P4" s="35"/>
      <c r="Q4" s="31">
        <f t="shared" ref="Q4:Q35" si="3">P4*J4</f>
        <v>0</v>
      </c>
      <c r="R4" s="31"/>
      <c r="S4" s="31"/>
      <c r="T4" s="21"/>
    </row>
    <row r="5" spans="1:20" s="20" customFormat="1" x14ac:dyDescent="0.2">
      <c r="A5" s="32">
        <v>19750002</v>
      </c>
      <c r="B5" s="33">
        <v>12</v>
      </c>
      <c r="C5" s="34">
        <v>6066944</v>
      </c>
      <c r="D5" s="34">
        <v>2</v>
      </c>
      <c r="E5" s="34" t="s">
        <v>4</v>
      </c>
      <c r="F5" s="34" t="s">
        <v>1</v>
      </c>
      <c r="G5" s="35">
        <v>2500</v>
      </c>
      <c r="H5" s="34" t="s">
        <v>5</v>
      </c>
      <c r="I5" s="34" t="s">
        <v>6</v>
      </c>
      <c r="J5" s="36">
        <v>0</v>
      </c>
      <c r="K5" s="36">
        <v>0</v>
      </c>
      <c r="L5" s="36">
        <v>1</v>
      </c>
      <c r="M5" s="31">
        <f t="shared" si="0"/>
        <v>0</v>
      </c>
      <c r="N5" s="31">
        <f t="shared" si="1"/>
        <v>0</v>
      </c>
      <c r="O5" s="31">
        <f t="shared" si="2"/>
        <v>2500</v>
      </c>
      <c r="P5" s="35"/>
      <c r="Q5" s="31">
        <f t="shared" si="3"/>
        <v>0</v>
      </c>
      <c r="R5" s="31"/>
      <c r="S5" s="31"/>
      <c r="T5" s="21"/>
    </row>
    <row r="6" spans="1:20" s="20" customFormat="1" x14ac:dyDescent="0.2">
      <c r="A6" s="32">
        <v>19750022</v>
      </c>
      <c r="B6" s="33">
        <v>13</v>
      </c>
      <c r="C6" s="34">
        <v>6066944</v>
      </c>
      <c r="D6" s="34">
        <v>3</v>
      </c>
      <c r="E6" s="34" t="s">
        <v>7</v>
      </c>
      <c r="F6" s="34" t="s">
        <v>1</v>
      </c>
      <c r="G6" s="35">
        <v>600</v>
      </c>
      <c r="H6" s="34" t="s">
        <v>5</v>
      </c>
      <c r="I6" s="34" t="s">
        <v>8</v>
      </c>
      <c r="J6" s="36">
        <v>0</v>
      </c>
      <c r="K6" s="36">
        <v>0</v>
      </c>
      <c r="L6" s="36">
        <v>1</v>
      </c>
      <c r="M6" s="31">
        <f t="shared" si="0"/>
        <v>0</v>
      </c>
      <c r="N6" s="31">
        <f t="shared" si="1"/>
        <v>0</v>
      </c>
      <c r="O6" s="31">
        <f t="shared" si="2"/>
        <v>600</v>
      </c>
      <c r="P6" s="35"/>
      <c r="Q6" s="31">
        <f t="shared" si="3"/>
        <v>0</v>
      </c>
      <c r="R6" s="31"/>
      <c r="S6" s="31"/>
      <c r="T6" s="21"/>
    </row>
    <row r="7" spans="1:20" s="20" customFormat="1" x14ac:dyDescent="0.2">
      <c r="A7" s="32">
        <v>19750042</v>
      </c>
      <c r="B7" s="33">
        <v>14</v>
      </c>
      <c r="C7" s="34">
        <v>6066944</v>
      </c>
      <c r="D7" s="34">
        <v>4</v>
      </c>
      <c r="E7" s="34" t="s">
        <v>9</v>
      </c>
      <c r="F7" s="34" t="s">
        <v>1</v>
      </c>
      <c r="G7" s="35">
        <v>500</v>
      </c>
      <c r="H7" s="34" t="s">
        <v>5</v>
      </c>
      <c r="I7" s="34" t="s">
        <v>10</v>
      </c>
      <c r="J7" s="36">
        <v>3.5</v>
      </c>
      <c r="K7" s="36">
        <v>4.9000000000000004</v>
      </c>
      <c r="L7" s="36"/>
      <c r="M7" s="31">
        <f t="shared" si="0"/>
        <v>1750</v>
      </c>
      <c r="N7" s="31">
        <f t="shared" si="1"/>
        <v>2450</v>
      </c>
      <c r="O7" s="31">
        <f t="shared" si="2"/>
        <v>0</v>
      </c>
      <c r="P7" s="35"/>
      <c r="Q7" s="31">
        <f t="shared" si="3"/>
        <v>0</v>
      </c>
      <c r="R7" s="31"/>
      <c r="S7" s="31"/>
      <c r="T7" s="21"/>
    </row>
    <row r="8" spans="1:20" s="20" customFormat="1" x14ac:dyDescent="0.2">
      <c r="A8" s="32">
        <v>19750282</v>
      </c>
      <c r="B8" s="33">
        <v>15</v>
      </c>
      <c r="C8" s="34">
        <v>6066944</v>
      </c>
      <c r="D8" s="34">
        <v>5</v>
      </c>
      <c r="E8" s="34" t="s">
        <v>11</v>
      </c>
      <c r="F8" s="34" t="s">
        <v>1</v>
      </c>
      <c r="G8" s="35">
        <v>180</v>
      </c>
      <c r="H8" s="34" t="s">
        <v>5</v>
      </c>
      <c r="I8" s="34" t="s">
        <v>12</v>
      </c>
      <c r="J8" s="36">
        <v>0</v>
      </c>
      <c r="K8" s="36">
        <v>0</v>
      </c>
      <c r="L8" s="36"/>
      <c r="M8" s="31">
        <f t="shared" si="0"/>
        <v>0</v>
      </c>
      <c r="N8" s="31">
        <f t="shared" si="1"/>
        <v>0</v>
      </c>
      <c r="O8" s="31">
        <f t="shared" si="2"/>
        <v>0</v>
      </c>
      <c r="P8" s="35"/>
      <c r="Q8" s="31">
        <f t="shared" si="3"/>
        <v>0</v>
      </c>
      <c r="R8" s="31"/>
      <c r="S8" s="31"/>
      <c r="T8" s="21"/>
    </row>
    <row r="9" spans="1:20" s="20" customFormat="1" x14ac:dyDescent="0.2">
      <c r="A9" s="32">
        <v>19749622</v>
      </c>
      <c r="B9" s="33">
        <v>16</v>
      </c>
      <c r="C9" s="34">
        <v>6066944</v>
      </c>
      <c r="D9" s="34">
        <v>6</v>
      </c>
      <c r="E9" s="34">
        <v>1150175</v>
      </c>
      <c r="F9" s="34" t="s">
        <v>1</v>
      </c>
      <c r="G9" s="35">
        <v>2</v>
      </c>
      <c r="H9" s="34" t="s">
        <v>13</v>
      </c>
      <c r="I9" s="34" t="s">
        <v>14</v>
      </c>
      <c r="J9" s="36">
        <v>0</v>
      </c>
      <c r="K9" s="36">
        <v>0</v>
      </c>
      <c r="L9" s="36"/>
      <c r="M9" s="31">
        <f t="shared" si="0"/>
        <v>0</v>
      </c>
      <c r="N9" s="31">
        <f t="shared" si="1"/>
        <v>0</v>
      </c>
      <c r="O9" s="31">
        <f t="shared" si="2"/>
        <v>0</v>
      </c>
      <c r="P9" s="35"/>
      <c r="Q9" s="31">
        <f t="shared" si="3"/>
        <v>0</v>
      </c>
      <c r="R9" s="31"/>
      <c r="S9" s="31"/>
      <c r="T9" s="21"/>
    </row>
    <row r="10" spans="1:20" s="20" customFormat="1" x14ac:dyDescent="0.2">
      <c r="A10" s="32">
        <v>19750142</v>
      </c>
      <c r="B10" s="33">
        <v>21</v>
      </c>
      <c r="C10" s="34">
        <v>6066945</v>
      </c>
      <c r="D10" s="34">
        <v>1</v>
      </c>
      <c r="E10" s="34" t="s">
        <v>15</v>
      </c>
      <c r="F10" s="34" t="s">
        <v>25</v>
      </c>
      <c r="G10" s="35">
        <v>2500</v>
      </c>
      <c r="H10" s="34" t="s">
        <v>16</v>
      </c>
      <c r="I10" s="34" t="s">
        <v>17</v>
      </c>
      <c r="J10" s="36">
        <v>1</v>
      </c>
      <c r="K10" s="36">
        <v>1.4</v>
      </c>
      <c r="L10" s="36"/>
      <c r="M10" s="31">
        <f t="shared" si="0"/>
        <v>2500</v>
      </c>
      <c r="N10" s="31">
        <f t="shared" si="1"/>
        <v>3500</v>
      </c>
      <c r="O10" s="31">
        <f t="shared" si="2"/>
        <v>0</v>
      </c>
      <c r="P10" s="35"/>
      <c r="Q10" s="31">
        <f t="shared" si="3"/>
        <v>0</v>
      </c>
      <c r="R10" s="31"/>
      <c r="S10" s="31"/>
      <c r="T10" s="21"/>
    </row>
    <row r="11" spans="1:20" s="20" customFormat="1" x14ac:dyDescent="0.2">
      <c r="A11" s="32">
        <v>19750162</v>
      </c>
      <c r="B11" s="33">
        <v>22</v>
      </c>
      <c r="C11" s="34">
        <v>6066945</v>
      </c>
      <c r="D11" s="34">
        <v>2</v>
      </c>
      <c r="E11" s="34" t="s">
        <v>18</v>
      </c>
      <c r="F11" s="34" t="s">
        <v>1</v>
      </c>
      <c r="G11" s="35">
        <v>700</v>
      </c>
      <c r="H11" s="34" t="s">
        <v>16</v>
      </c>
      <c r="I11" s="34" t="s">
        <v>19</v>
      </c>
      <c r="J11" s="36">
        <v>12.5</v>
      </c>
      <c r="K11" s="36">
        <v>17.5</v>
      </c>
      <c r="L11" s="36"/>
      <c r="M11" s="31">
        <f t="shared" si="0"/>
        <v>8750</v>
      </c>
      <c r="N11" s="31">
        <f t="shared" si="1"/>
        <v>12250</v>
      </c>
      <c r="O11" s="31">
        <f t="shared" si="2"/>
        <v>0</v>
      </c>
      <c r="P11" s="35"/>
      <c r="Q11" s="31">
        <f t="shared" si="3"/>
        <v>0</v>
      </c>
      <c r="R11" s="31"/>
      <c r="S11" s="31"/>
      <c r="T11" s="21"/>
    </row>
    <row r="12" spans="1:20" s="20" customFormat="1" x14ac:dyDescent="0.2">
      <c r="A12" s="32">
        <v>19750202</v>
      </c>
      <c r="B12" s="33">
        <v>23</v>
      </c>
      <c r="C12" s="34">
        <v>6066945</v>
      </c>
      <c r="D12" s="34">
        <v>3</v>
      </c>
      <c r="E12" s="34" t="s">
        <v>20</v>
      </c>
      <c r="F12" s="34" t="s">
        <v>1</v>
      </c>
      <c r="G12" s="35">
        <v>500</v>
      </c>
      <c r="H12" s="34" t="s">
        <v>16</v>
      </c>
      <c r="I12" s="34" t="s">
        <v>21</v>
      </c>
      <c r="J12" s="36">
        <v>7.5</v>
      </c>
      <c r="K12" s="36">
        <v>10.5</v>
      </c>
      <c r="L12" s="36"/>
      <c r="M12" s="31">
        <f t="shared" si="0"/>
        <v>3750</v>
      </c>
      <c r="N12" s="31">
        <f t="shared" si="1"/>
        <v>5250</v>
      </c>
      <c r="O12" s="31">
        <f t="shared" si="2"/>
        <v>0</v>
      </c>
      <c r="P12" s="35"/>
      <c r="Q12" s="31">
        <f t="shared" si="3"/>
        <v>0</v>
      </c>
      <c r="R12" s="31"/>
      <c r="S12" s="31"/>
      <c r="T12" s="21"/>
    </row>
    <row r="13" spans="1:20" s="20" customFormat="1" x14ac:dyDescent="0.2">
      <c r="A13" s="32">
        <v>19750222</v>
      </c>
      <c r="B13" s="33">
        <v>24</v>
      </c>
      <c r="C13" s="34">
        <v>6066945</v>
      </c>
      <c r="D13" s="34">
        <v>4</v>
      </c>
      <c r="E13" s="34" t="s">
        <v>22</v>
      </c>
      <c r="F13" s="34" t="s">
        <v>1</v>
      </c>
      <c r="G13" s="35">
        <v>480</v>
      </c>
      <c r="H13" s="34" t="s">
        <v>23</v>
      </c>
      <c r="I13" s="34" t="s">
        <v>24</v>
      </c>
      <c r="J13" s="36">
        <v>0</v>
      </c>
      <c r="K13" s="36">
        <v>0</v>
      </c>
      <c r="L13" s="36"/>
      <c r="M13" s="31">
        <f t="shared" si="0"/>
        <v>0</v>
      </c>
      <c r="N13" s="31">
        <f t="shared" si="1"/>
        <v>0</v>
      </c>
      <c r="O13" s="31">
        <f t="shared" si="2"/>
        <v>0</v>
      </c>
      <c r="P13" s="35"/>
      <c r="Q13" s="31">
        <f t="shared" si="3"/>
        <v>0</v>
      </c>
      <c r="R13" s="31"/>
      <c r="S13" s="31"/>
      <c r="T13" s="21"/>
    </row>
    <row r="14" spans="1:20" s="20" customFormat="1" x14ac:dyDescent="0.2">
      <c r="A14" s="32">
        <v>19750262</v>
      </c>
      <c r="B14" s="33">
        <v>25</v>
      </c>
      <c r="C14" s="34">
        <v>6066945</v>
      </c>
      <c r="D14" s="34">
        <v>5</v>
      </c>
      <c r="E14" s="34">
        <v>1150175</v>
      </c>
      <c r="F14" s="34" t="s">
        <v>1</v>
      </c>
      <c r="G14" s="35">
        <v>2</v>
      </c>
      <c r="H14" s="34" t="s">
        <v>13</v>
      </c>
      <c r="I14" s="34" t="s">
        <v>14</v>
      </c>
      <c r="J14" s="36">
        <v>0</v>
      </c>
      <c r="K14" s="36">
        <v>0</v>
      </c>
      <c r="L14" s="36"/>
      <c r="M14" s="31">
        <f t="shared" si="0"/>
        <v>0</v>
      </c>
      <c r="N14" s="31">
        <f t="shared" si="1"/>
        <v>0</v>
      </c>
      <c r="O14" s="31">
        <f t="shared" si="2"/>
        <v>0</v>
      </c>
      <c r="P14" s="35"/>
      <c r="Q14" s="31">
        <f t="shared" si="3"/>
        <v>0</v>
      </c>
      <c r="R14" s="31"/>
      <c r="S14" s="31"/>
      <c r="T14" s="21"/>
    </row>
    <row r="15" spans="1:20" s="20" customFormat="1" x14ac:dyDescent="0.2">
      <c r="A15" s="32">
        <v>19749482</v>
      </c>
      <c r="B15" s="33">
        <v>11</v>
      </c>
      <c r="C15" s="34">
        <v>6066944</v>
      </c>
      <c r="D15" s="34">
        <v>1</v>
      </c>
      <c r="E15" s="34" t="s">
        <v>0</v>
      </c>
      <c r="F15" s="34" t="s">
        <v>1</v>
      </c>
      <c r="G15" s="35">
        <v>145</v>
      </c>
      <c r="H15" s="34" t="s">
        <v>2</v>
      </c>
      <c r="I15" s="34" t="s">
        <v>3</v>
      </c>
      <c r="J15" s="36">
        <v>27.5</v>
      </c>
      <c r="K15" s="36">
        <v>38.5</v>
      </c>
      <c r="L15" s="36"/>
      <c r="M15" s="31">
        <f t="shared" si="0"/>
        <v>3987.5</v>
      </c>
      <c r="N15" s="31">
        <f t="shared" si="1"/>
        <v>5582.5</v>
      </c>
      <c r="O15" s="31">
        <f t="shared" si="2"/>
        <v>0</v>
      </c>
      <c r="P15" s="35"/>
      <c r="Q15" s="31">
        <f t="shared" si="3"/>
        <v>0</v>
      </c>
      <c r="R15" s="31"/>
      <c r="S15" s="31"/>
      <c r="T15" s="21"/>
    </row>
    <row r="16" spans="1:20" x14ac:dyDescent="0.2">
      <c r="A16" s="32">
        <v>19750002</v>
      </c>
      <c r="B16" s="33">
        <v>12</v>
      </c>
      <c r="C16" s="34">
        <v>6066944</v>
      </c>
      <c r="D16" s="34">
        <v>2</v>
      </c>
      <c r="E16" s="34" t="s">
        <v>4</v>
      </c>
      <c r="F16" s="34" t="s">
        <v>1</v>
      </c>
      <c r="G16" s="35">
        <v>2500</v>
      </c>
      <c r="H16" s="34" t="s">
        <v>5</v>
      </c>
      <c r="I16" s="34" t="s">
        <v>6</v>
      </c>
      <c r="J16" s="36">
        <v>0</v>
      </c>
      <c r="K16" s="36">
        <v>0</v>
      </c>
      <c r="L16" s="36">
        <v>1</v>
      </c>
      <c r="M16" s="31">
        <f t="shared" si="0"/>
        <v>0</v>
      </c>
      <c r="N16" s="31">
        <f t="shared" si="1"/>
        <v>0</v>
      </c>
      <c r="O16" s="31">
        <f t="shared" si="2"/>
        <v>2500</v>
      </c>
      <c r="P16" s="35"/>
      <c r="Q16" s="31">
        <f t="shared" si="3"/>
        <v>0</v>
      </c>
      <c r="R16" s="31"/>
      <c r="S16" s="31"/>
    </row>
    <row r="17" spans="1:19" x14ac:dyDescent="0.2">
      <c r="A17" s="32">
        <v>19750022</v>
      </c>
      <c r="B17" s="33">
        <v>13</v>
      </c>
      <c r="C17" s="34">
        <v>6066944</v>
      </c>
      <c r="D17" s="34">
        <v>3</v>
      </c>
      <c r="E17" s="34" t="s">
        <v>7</v>
      </c>
      <c r="F17" s="34" t="s">
        <v>1</v>
      </c>
      <c r="G17" s="35">
        <v>600</v>
      </c>
      <c r="H17" s="34" t="s">
        <v>5</v>
      </c>
      <c r="I17" s="34" t="s">
        <v>8</v>
      </c>
      <c r="J17" s="36">
        <v>0</v>
      </c>
      <c r="K17" s="36">
        <v>0</v>
      </c>
      <c r="L17" s="36">
        <v>1</v>
      </c>
      <c r="M17" s="31">
        <f t="shared" si="0"/>
        <v>0</v>
      </c>
      <c r="N17" s="31">
        <f t="shared" si="1"/>
        <v>0</v>
      </c>
      <c r="O17" s="31">
        <f t="shared" si="2"/>
        <v>600</v>
      </c>
      <c r="P17" s="35"/>
      <c r="Q17" s="31">
        <f t="shared" si="3"/>
        <v>0</v>
      </c>
      <c r="R17" s="31"/>
      <c r="S17" s="31"/>
    </row>
    <row r="18" spans="1:19" x14ac:dyDescent="0.2">
      <c r="A18" s="32">
        <v>19750042</v>
      </c>
      <c r="B18" s="33">
        <v>14</v>
      </c>
      <c r="C18" s="34">
        <v>6066944</v>
      </c>
      <c r="D18" s="34">
        <v>4</v>
      </c>
      <c r="E18" s="34" t="s">
        <v>9</v>
      </c>
      <c r="F18" s="34" t="s">
        <v>1</v>
      </c>
      <c r="G18" s="35">
        <v>500</v>
      </c>
      <c r="H18" s="34" t="s">
        <v>5</v>
      </c>
      <c r="I18" s="34" t="s">
        <v>10</v>
      </c>
      <c r="J18" s="36">
        <v>3.5</v>
      </c>
      <c r="K18" s="36">
        <v>4.9000000000000004</v>
      </c>
      <c r="L18" s="36"/>
      <c r="M18" s="31">
        <f t="shared" si="0"/>
        <v>1750</v>
      </c>
      <c r="N18" s="31">
        <f t="shared" si="1"/>
        <v>2450</v>
      </c>
      <c r="O18" s="31">
        <f t="shared" si="2"/>
        <v>0</v>
      </c>
      <c r="P18" s="35"/>
      <c r="Q18" s="31">
        <f t="shared" si="3"/>
        <v>0</v>
      </c>
      <c r="R18" s="31"/>
      <c r="S18" s="31"/>
    </row>
    <row r="19" spans="1:19" x14ac:dyDescent="0.2">
      <c r="A19" s="32">
        <v>19750282</v>
      </c>
      <c r="B19" s="33">
        <v>15</v>
      </c>
      <c r="C19" s="34">
        <v>6066944</v>
      </c>
      <c r="D19" s="34">
        <v>5</v>
      </c>
      <c r="E19" s="34" t="s">
        <v>11</v>
      </c>
      <c r="F19" s="34" t="s">
        <v>1</v>
      </c>
      <c r="G19" s="35">
        <v>180</v>
      </c>
      <c r="H19" s="34" t="s">
        <v>5</v>
      </c>
      <c r="I19" s="34" t="s">
        <v>12</v>
      </c>
      <c r="J19" s="36">
        <v>0</v>
      </c>
      <c r="K19" s="36">
        <v>0</v>
      </c>
      <c r="L19" s="36"/>
      <c r="M19" s="31">
        <f t="shared" si="0"/>
        <v>0</v>
      </c>
      <c r="N19" s="31">
        <f t="shared" si="1"/>
        <v>0</v>
      </c>
      <c r="O19" s="31">
        <f t="shared" si="2"/>
        <v>0</v>
      </c>
      <c r="P19" s="35"/>
      <c r="Q19" s="31">
        <f t="shared" si="3"/>
        <v>0</v>
      </c>
      <c r="R19" s="31"/>
      <c r="S19" s="31"/>
    </row>
    <row r="20" spans="1:19" x14ac:dyDescent="0.2">
      <c r="A20" s="32">
        <v>19749622</v>
      </c>
      <c r="B20" s="33">
        <v>16</v>
      </c>
      <c r="C20" s="34">
        <v>6066944</v>
      </c>
      <c r="D20" s="34">
        <v>6</v>
      </c>
      <c r="E20" s="34">
        <v>1150175</v>
      </c>
      <c r="F20" s="34" t="s">
        <v>1</v>
      </c>
      <c r="G20" s="35">
        <v>2</v>
      </c>
      <c r="H20" s="34" t="s">
        <v>13</v>
      </c>
      <c r="I20" s="34" t="s">
        <v>14</v>
      </c>
      <c r="J20" s="36">
        <v>0</v>
      </c>
      <c r="K20" s="36">
        <v>0</v>
      </c>
      <c r="L20" s="36"/>
      <c r="M20" s="31">
        <f t="shared" si="0"/>
        <v>0</v>
      </c>
      <c r="N20" s="31">
        <f t="shared" si="1"/>
        <v>0</v>
      </c>
      <c r="O20" s="31">
        <f t="shared" si="2"/>
        <v>0</v>
      </c>
      <c r="P20" s="35"/>
      <c r="Q20" s="31">
        <f t="shared" si="3"/>
        <v>0</v>
      </c>
      <c r="R20" s="31"/>
      <c r="S20" s="31"/>
    </row>
    <row r="21" spans="1:19" x14ac:dyDescent="0.2">
      <c r="A21" s="32">
        <v>19750142</v>
      </c>
      <c r="B21" s="33">
        <v>21</v>
      </c>
      <c r="C21" s="34">
        <v>6066945</v>
      </c>
      <c r="D21" s="34">
        <v>1</v>
      </c>
      <c r="E21" s="34" t="s">
        <v>15</v>
      </c>
      <c r="F21" s="34" t="s">
        <v>25</v>
      </c>
      <c r="G21" s="35">
        <v>2500</v>
      </c>
      <c r="H21" s="34" t="s">
        <v>16</v>
      </c>
      <c r="I21" s="34" t="s">
        <v>17</v>
      </c>
      <c r="J21" s="36">
        <v>1</v>
      </c>
      <c r="K21" s="36">
        <v>1.4</v>
      </c>
      <c r="L21" s="36"/>
      <c r="M21" s="31">
        <f t="shared" si="0"/>
        <v>2500</v>
      </c>
      <c r="N21" s="31">
        <f t="shared" si="1"/>
        <v>3500</v>
      </c>
      <c r="O21" s="31">
        <f t="shared" si="2"/>
        <v>0</v>
      </c>
      <c r="P21" s="35"/>
      <c r="Q21" s="31">
        <f t="shared" si="3"/>
        <v>0</v>
      </c>
      <c r="R21" s="31"/>
      <c r="S21" s="31"/>
    </row>
    <row r="22" spans="1:19" x14ac:dyDescent="0.2">
      <c r="A22" s="32">
        <v>19750162</v>
      </c>
      <c r="B22" s="33">
        <v>22</v>
      </c>
      <c r="C22" s="34">
        <v>6066945</v>
      </c>
      <c r="D22" s="34">
        <v>2</v>
      </c>
      <c r="E22" s="34" t="s">
        <v>18</v>
      </c>
      <c r="F22" s="34" t="s">
        <v>1</v>
      </c>
      <c r="G22" s="35">
        <v>700</v>
      </c>
      <c r="H22" s="34" t="s">
        <v>16</v>
      </c>
      <c r="I22" s="34" t="s">
        <v>19</v>
      </c>
      <c r="J22" s="36">
        <v>12.5</v>
      </c>
      <c r="K22" s="36">
        <v>17.5</v>
      </c>
      <c r="L22" s="36"/>
      <c r="M22" s="31">
        <f t="shared" si="0"/>
        <v>8750</v>
      </c>
      <c r="N22" s="31">
        <f t="shared" si="1"/>
        <v>12250</v>
      </c>
      <c r="O22" s="31">
        <f t="shared" si="2"/>
        <v>0</v>
      </c>
      <c r="P22" s="35"/>
      <c r="Q22" s="31">
        <f t="shared" si="3"/>
        <v>0</v>
      </c>
      <c r="R22" s="31"/>
      <c r="S22" s="31"/>
    </row>
    <row r="23" spans="1:19" x14ac:dyDescent="0.2">
      <c r="A23" s="32">
        <v>19750202</v>
      </c>
      <c r="B23" s="33">
        <v>23</v>
      </c>
      <c r="C23" s="34">
        <v>6066945</v>
      </c>
      <c r="D23" s="34">
        <v>3</v>
      </c>
      <c r="E23" s="34" t="s">
        <v>20</v>
      </c>
      <c r="F23" s="34" t="s">
        <v>1</v>
      </c>
      <c r="G23" s="35">
        <v>500</v>
      </c>
      <c r="H23" s="34" t="s">
        <v>16</v>
      </c>
      <c r="I23" s="34" t="s">
        <v>21</v>
      </c>
      <c r="J23" s="36">
        <v>7.5</v>
      </c>
      <c r="K23" s="36">
        <v>10.5</v>
      </c>
      <c r="L23" s="36"/>
      <c r="M23" s="31">
        <f t="shared" si="0"/>
        <v>3750</v>
      </c>
      <c r="N23" s="31">
        <f t="shared" si="1"/>
        <v>5250</v>
      </c>
      <c r="O23" s="31">
        <f t="shared" si="2"/>
        <v>0</v>
      </c>
      <c r="P23" s="35"/>
      <c r="Q23" s="31">
        <f t="shared" si="3"/>
        <v>0</v>
      </c>
      <c r="R23" s="31"/>
      <c r="S23" s="31"/>
    </row>
    <row r="24" spans="1:19" x14ac:dyDescent="0.2">
      <c r="A24" s="32">
        <v>19750222</v>
      </c>
      <c r="B24" s="33">
        <v>24</v>
      </c>
      <c r="C24" s="34">
        <v>6066945</v>
      </c>
      <c r="D24" s="34">
        <v>4</v>
      </c>
      <c r="E24" s="34" t="s">
        <v>22</v>
      </c>
      <c r="F24" s="34" t="s">
        <v>1</v>
      </c>
      <c r="G24" s="35">
        <v>480</v>
      </c>
      <c r="H24" s="34" t="s">
        <v>23</v>
      </c>
      <c r="I24" s="34" t="s">
        <v>24</v>
      </c>
      <c r="J24" s="36">
        <v>0</v>
      </c>
      <c r="K24" s="36">
        <v>0</v>
      </c>
      <c r="L24" s="36"/>
      <c r="M24" s="31">
        <f t="shared" si="0"/>
        <v>0</v>
      </c>
      <c r="N24" s="31">
        <f t="shared" si="1"/>
        <v>0</v>
      </c>
      <c r="O24" s="31">
        <f t="shared" si="2"/>
        <v>0</v>
      </c>
      <c r="P24" s="35"/>
      <c r="Q24" s="31">
        <f t="shared" si="3"/>
        <v>0</v>
      </c>
      <c r="R24" s="31"/>
      <c r="S24" s="31"/>
    </row>
    <row r="25" spans="1:19" x14ac:dyDescent="0.2">
      <c r="A25" s="32">
        <v>19750262</v>
      </c>
      <c r="B25" s="33">
        <v>25</v>
      </c>
      <c r="C25" s="34">
        <v>6066945</v>
      </c>
      <c r="D25" s="34">
        <v>5</v>
      </c>
      <c r="E25" s="34">
        <v>1150175</v>
      </c>
      <c r="F25" s="34" t="s">
        <v>1</v>
      </c>
      <c r="G25" s="35">
        <v>2</v>
      </c>
      <c r="H25" s="34" t="s">
        <v>13</v>
      </c>
      <c r="I25" s="34" t="s">
        <v>14</v>
      </c>
      <c r="J25" s="36">
        <v>0</v>
      </c>
      <c r="K25" s="36">
        <v>0</v>
      </c>
      <c r="L25" s="36"/>
      <c r="M25" s="31">
        <f t="shared" si="0"/>
        <v>0</v>
      </c>
      <c r="N25" s="31">
        <f t="shared" si="1"/>
        <v>0</v>
      </c>
      <c r="O25" s="31">
        <f t="shared" si="2"/>
        <v>0</v>
      </c>
      <c r="P25" s="35"/>
      <c r="Q25" s="31">
        <f t="shared" si="3"/>
        <v>0</v>
      </c>
      <c r="R25" s="31"/>
      <c r="S25" s="31"/>
    </row>
    <row r="26" spans="1:19" x14ac:dyDescent="0.2">
      <c r="A26" s="32">
        <v>19749482</v>
      </c>
      <c r="B26" s="33">
        <v>11</v>
      </c>
      <c r="C26" s="34">
        <v>6066944</v>
      </c>
      <c r="D26" s="34">
        <v>1</v>
      </c>
      <c r="E26" s="34" t="s">
        <v>0</v>
      </c>
      <c r="F26" s="34" t="s">
        <v>1</v>
      </c>
      <c r="G26" s="35">
        <v>145</v>
      </c>
      <c r="H26" s="34" t="s">
        <v>2</v>
      </c>
      <c r="I26" s="34" t="s">
        <v>3</v>
      </c>
      <c r="J26" s="36">
        <v>27.5</v>
      </c>
      <c r="K26" s="36">
        <v>38.5</v>
      </c>
      <c r="L26" s="36"/>
      <c r="M26" s="31">
        <f t="shared" si="0"/>
        <v>3987.5</v>
      </c>
      <c r="N26" s="31">
        <f t="shared" si="1"/>
        <v>5582.5</v>
      </c>
      <c r="O26" s="31">
        <f t="shared" si="2"/>
        <v>0</v>
      </c>
      <c r="P26" s="35"/>
      <c r="Q26" s="31">
        <f t="shared" si="3"/>
        <v>0</v>
      </c>
      <c r="R26" s="31"/>
      <c r="S26" s="31"/>
    </row>
    <row r="27" spans="1:19" x14ac:dyDescent="0.2">
      <c r="A27" s="32">
        <v>19750002</v>
      </c>
      <c r="B27" s="33">
        <v>12</v>
      </c>
      <c r="C27" s="34">
        <v>6066944</v>
      </c>
      <c r="D27" s="34">
        <v>2</v>
      </c>
      <c r="E27" s="34" t="s">
        <v>4</v>
      </c>
      <c r="F27" s="34" t="s">
        <v>1</v>
      </c>
      <c r="G27" s="35">
        <v>2500</v>
      </c>
      <c r="H27" s="34" t="s">
        <v>5</v>
      </c>
      <c r="I27" s="34" t="s">
        <v>6</v>
      </c>
      <c r="J27" s="36">
        <v>0</v>
      </c>
      <c r="K27" s="36">
        <v>0</v>
      </c>
      <c r="L27" s="36">
        <v>1</v>
      </c>
      <c r="M27" s="31">
        <f t="shared" si="0"/>
        <v>0</v>
      </c>
      <c r="N27" s="31">
        <f t="shared" si="1"/>
        <v>0</v>
      </c>
      <c r="O27" s="31">
        <f t="shared" si="2"/>
        <v>2500</v>
      </c>
      <c r="P27" s="35"/>
      <c r="Q27" s="31">
        <f t="shared" si="3"/>
        <v>0</v>
      </c>
      <c r="R27" s="31"/>
      <c r="S27" s="31"/>
    </row>
    <row r="28" spans="1:19" x14ac:dyDescent="0.2">
      <c r="A28" s="32">
        <v>19750022</v>
      </c>
      <c r="B28" s="33">
        <v>13</v>
      </c>
      <c r="C28" s="34">
        <v>6066944</v>
      </c>
      <c r="D28" s="34">
        <v>3</v>
      </c>
      <c r="E28" s="34" t="s">
        <v>7</v>
      </c>
      <c r="F28" s="34" t="s">
        <v>1</v>
      </c>
      <c r="G28" s="35">
        <v>600</v>
      </c>
      <c r="H28" s="34" t="s">
        <v>5</v>
      </c>
      <c r="I28" s="34" t="s">
        <v>8</v>
      </c>
      <c r="J28" s="36">
        <v>0</v>
      </c>
      <c r="K28" s="36">
        <v>0</v>
      </c>
      <c r="L28" s="36">
        <v>1</v>
      </c>
      <c r="M28" s="31">
        <f t="shared" si="0"/>
        <v>0</v>
      </c>
      <c r="N28" s="31">
        <f t="shared" si="1"/>
        <v>0</v>
      </c>
      <c r="O28" s="31">
        <f t="shared" si="2"/>
        <v>600</v>
      </c>
      <c r="P28" s="35"/>
      <c r="Q28" s="31">
        <f t="shared" si="3"/>
        <v>0</v>
      </c>
      <c r="R28" s="31"/>
      <c r="S28" s="31"/>
    </row>
    <row r="29" spans="1:19" x14ac:dyDescent="0.2">
      <c r="A29" s="32">
        <v>19750042</v>
      </c>
      <c r="B29" s="33">
        <v>14</v>
      </c>
      <c r="C29" s="34">
        <v>6066944</v>
      </c>
      <c r="D29" s="34">
        <v>4</v>
      </c>
      <c r="E29" s="34" t="s">
        <v>9</v>
      </c>
      <c r="F29" s="34" t="s">
        <v>1</v>
      </c>
      <c r="G29" s="35">
        <v>500</v>
      </c>
      <c r="H29" s="34" t="s">
        <v>5</v>
      </c>
      <c r="I29" s="34" t="s">
        <v>10</v>
      </c>
      <c r="J29" s="36">
        <v>3.5</v>
      </c>
      <c r="K29" s="36">
        <v>4.9000000000000004</v>
      </c>
      <c r="L29" s="36"/>
      <c r="M29" s="31">
        <f t="shared" si="0"/>
        <v>1750</v>
      </c>
      <c r="N29" s="31">
        <f t="shared" si="1"/>
        <v>2450</v>
      </c>
      <c r="O29" s="31">
        <f t="shared" si="2"/>
        <v>0</v>
      </c>
      <c r="P29" s="35"/>
      <c r="Q29" s="31">
        <f t="shared" si="3"/>
        <v>0</v>
      </c>
      <c r="R29" s="31"/>
      <c r="S29" s="31"/>
    </row>
    <row r="30" spans="1:19" x14ac:dyDescent="0.2">
      <c r="A30" s="32">
        <v>19750282</v>
      </c>
      <c r="B30" s="33">
        <v>15</v>
      </c>
      <c r="C30" s="34">
        <v>6066944</v>
      </c>
      <c r="D30" s="34">
        <v>5</v>
      </c>
      <c r="E30" s="34" t="s">
        <v>11</v>
      </c>
      <c r="F30" s="34" t="s">
        <v>1</v>
      </c>
      <c r="G30" s="35">
        <v>180</v>
      </c>
      <c r="H30" s="34" t="s">
        <v>5</v>
      </c>
      <c r="I30" s="34" t="s">
        <v>12</v>
      </c>
      <c r="J30" s="36">
        <v>0</v>
      </c>
      <c r="K30" s="36">
        <v>0</v>
      </c>
      <c r="L30" s="36"/>
      <c r="M30" s="31">
        <f t="shared" si="0"/>
        <v>0</v>
      </c>
      <c r="N30" s="31">
        <f t="shared" si="1"/>
        <v>0</v>
      </c>
      <c r="O30" s="31">
        <f t="shared" si="2"/>
        <v>0</v>
      </c>
      <c r="P30" s="35"/>
      <c r="Q30" s="31">
        <f t="shared" si="3"/>
        <v>0</v>
      </c>
      <c r="R30" s="31"/>
      <c r="S30" s="31"/>
    </row>
    <row r="31" spans="1:19" x14ac:dyDescent="0.2">
      <c r="A31" s="32">
        <v>19749622</v>
      </c>
      <c r="B31" s="33">
        <v>16</v>
      </c>
      <c r="C31" s="34">
        <v>6066944</v>
      </c>
      <c r="D31" s="34">
        <v>6</v>
      </c>
      <c r="E31" s="34">
        <v>1150175</v>
      </c>
      <c r="F31" s="34" t="s">
        <v>1</v>
      </c>
      <c r="G31" s="35">
        <v>2</v>
      </c>
      <c r="H31" s="34" t="s">
        <v>13</v>
      </c>
      <c r="I31" s="34" t="s">
        <v>14</v>
      </c>
      <c r="J31" s="36">
        <v>0</v>
      </c>
      <c r="K31" s="36">
        <v>0</v>
      </c>
      <c r="L31" s="36"/>
      <c r="M31" s="31">
        <f t="shared" si="0"/>
        <v>0</v>
      </c>
      <c r="N31" s="31">
        <f t="shared" si="1"/>
        <v>0</v>
      </c>
      <c r="O31" s="31">
        <f t="shared" si="2"/>
        <v>0</v>
      </c>
      <c r="P31" s="35"/>
      <c r="Q31" s="31">
        <f t="shared" si="3"/>
        <v>0</v>
      </c>
      <c r="R31" s="31"/>
      <c r="S31" s="31"/>
    </row>
    <row r="32" spans="1:19" x14ac:dyDescent="0.2">
      <c r="A32" s="32">
        <v>19750142</v>
      </c>
      <c r="B32" s="33">
        <v>21</v>
      </c>
      <c r="C32" s="34">
        <v>6066945</v>
      </c>
      <c r="D32" s="34">
        <v>1</v>
      </c>
      <c r="E32" s="34" t="s">
        <v>15</v>
      </c>
      <c r="F32" s="34" t="s">
        <v>25</v>
      </c>
      <c r="G32" s="35">
        <v>2500</v>
      </c>
      <c r="H32" s="34" t="s">
        <v>16</v>
      </c>
      <c r="I32" s="34" t="s">
        <v>17</v>
      </c>
      <c r="J32" s="36">
        <v>1</v>
      </c>
      <c r="K32" s="36">
        <v>1.4</v>
      </c>
      <c r="L32" s="36"/>
      <c r="M32" s="31">
        <f t="shared" si="0"/>
        <v>2500</v>
      </c>
      <c r="N32" s="31">
        <f t="shared" si="1"/>
        <v>3500</v>
      </c>
      <c r="O32" s="31">
        <f t="shared" si="2"/>
        <v>0</v>
      </c>
      <c r="P32" s="35"/>
      <c r="Q32" s="31">
        <f t="shared" si="3"/>
        <v>0</v>
      </c>
      <c r="R32" s="31"/>
      <c r="S32" s="31"/>
    </row>
    <row r="33" spans="1:19" x14ac:dyDescent="0.2">
      <c r="A33" s="32">
        <v>19750162</v>
      </c>
      <c r="B33" s="33">
        <v>22</v>
      </c>
      <c r="C33" s="34">
        <v>6066945</v>
      </c>
      <c r="D33" s="34">
        <v>2</v>
      </c>
      <c r="E33" s="34" t="s">
        <v>18</v>
      </c>
      <c r="F33" s="34" t="s">
        <v>1</v>
      </c>
      <c r="G33" s="35">
        <v>700</v>
      </c>
      <c r="H33" s="34" t="s">
        <v>16</v>
      </c>
      <c r="I33" s="34" t="s">
        <v>19</v>
      </c>
      <c r="J33" s="36">
        <v>12.5</v>
      </c>
      <c r="K33" s="36">
        <v>17.5</v>
      </c>
      <c r="L33" s="36"/>
      <c r="M33" s="31">
        <f t="shared" si="0"/>
        <v>8750</v>
      </c>
      <c r="N33" s="31">
        <f t="shared" si="1"/>
        <v>12250</v>
      </c>
      <c r="O33" s="31">
        <f t="shared" si="2"/>
        <v>0</v>
      </c>
      <c r="P33" s="35"/>
      <c r="Q33" s="31">
        <f t="shared" si="3"/>
        <v>0</v>
      </c>
      <c r="R33" s="31"/>
      <c r="S33" s="31"/>
    </row>
    <row r="34" spans="1:19" x14ac:dyDescent="0.2">
      <c r="A34" s="32">
        <v>19750202</v>
      </c>
      <c r="B34" s="33">
        <v>23</v>
      </c>
      <c r="C34" s="34">
        <v>6066945</v>
      </c>
      <c r="D34" s="34">
        <v>3</v>
      </c>
      <c r="E34" s="34" t="s">
        <v>20</v>
      </c>
      <c r="F34" s="34" t="s">
        <v>1</v>
      </c>
      <c r="G34" s="35">
        <v>500</v>
      </c>
      <c r="H34" s="34" t="s">
        <v>16</v>
      </c>
      <c r="I34" s="34" t="s">
        <v>21</v>
      </c>
      <c r="J34" s="36">
        <v>7.5</v>
      </c>
      <c r="K34" s="36">
        <v>10.5</v>
      </c>
      <c r="L34" s="36"/>
      <c r="M34" s="31">
        <f t="shared" si="0"/>
        <v>3750</v>
      </c>
      <c r="N34" s="31">
        <f t="shared" si="1"/>
        <v>5250</v>
      </c>
      <c r="O34" s="31">
        <f t="shared" si="2"/>
        <v>0</v>
      </c>
      <c r="P34" s="35"/>
      <c r="Q34" s="31">
        <f t="shared" si="3"/>
        <v>0</v>
      </c>
      <c r="R34" s="31"/>
      <c r="S34" s="31"/>
    </row>
    <row r="35" spans="1:19" x14ac:dyDescent="0.2">
      <c r="A35" s="32">
        <v>19750222</v>
      </c>
      <c r="B35" s="33">
        <v>24</v>
      </c>
      <c r="C35" s="34">
        <v>6066945</v>
      </c>
      <c r="D35" s="34">
        <v>4</v>
      </c>
      <c r="E35" s="34" t="s">
        <v>22</v>
      </c>
      <c r="F35" s="34" t="s">
        <v>1</v>
      </c>
      <c r="G35" s="35">
        <v>480</v>
      </c>
      <c r="H35" s="34" t="s">
        <v>23</v>
      </c>
      <c r="I35" s="34" t="s">
        <v>24</v>
      </c>
      <c r="J35" s="36">
        <v>0</v>
      </c>
      <c r="K35" s="36">
        <v>0</v>
      </c>
      <c r="L35" s="36"/>
      <c r="M35" s="31">
        <f t="shared" si="0"/>
        <v>0</v>
      </c>
      <c r="N35" s="31">
        <f t="shared" si="1"/>
        <v>0</v>
      </c>
      <c r="O35" s="31">
        <f t="shared" si="2"/>
        <v>0</v>
      </c>
      <c r="P35" s="35"/>
      <c r="Q35" s="31">
        <f t="shared" si="3"/>
        <v>0</v>
      </c>
      <c r="R35" s="31"/>
      <c r="S35" s="31"/>
    </row>
    <row r="36" spans="1:19" x14ac:dyDescent="0.2">
      <c r="A36" s="32">
        <v>19750262</v>
      </c>
      <c r="B36" s="33">
        <v>25</v>
      </c>
      <c r="C36" s="34">
        <v>6066945</v>
      </c>
      <c r="D36" s="34">
        <v>5</v>
      </c>
      <c r="E36" s="34">
        <v>1150175</v>
      </c>
      <c r="F36" s="34" t="s">
        <v>1</v>
      </c>
      <c r="G36" s="35">
        <v>2</v>
      </c>
      <c r="H36" s="34" t="s">
        <v>13</v>
      </c>
      <c r="I36" s="34" t="s">
        <v>14</v>
      </c>
      <c r="J36" s="36">
        <v>0</v>
      </c>
      <c r="K36" s="36">
        <v>0</v>
      </c>
      <c r="L36" s="36"/>
      <c r="M36" s="31">
        <f t="shared" ref="M36:M67" si="4">G36*J36</f>
        <v>0</v>
      </c>
      <c r="N36" s="31">
        <f t="shared" ref="N36:N67" si="5">G36*K36</f>
        <v>0</v>
      </c>
      <c r="O36" s="31">
        <f t="shared" ref="O36:O67" si="6">$L36*$G36</f>
        <v>0</v>
      </c>
      <c r="P36" s="35"/>
      <c r="Q36" s="31">
        <f t="shared" ref="Q36:Q67" si="7">P36*J36</f>
        <v>0</v>
      </c>
      <c r="R36" s="31"/>
      <c r="S36" s="31"/>
    </row>
    <row r="37" spans="1:19" x14ac:dyDescent="0.2">
      <c r="A37" s="32">
        <v>19749482</v>
      </c>
      <c r="B37" s="33">
        <v>11</v>
      </c>
      <c r="C37" s="34">
        <v>6066944</v>
      </c>
      <c r="D37" s="34">
        <v>1</v>
      </c>
      <c r="E37" s="34" t="s">
        <v>0</v>
      </c>
      <c r="F37" s="34" t="s">
        <v>1</v>
      </c>
      <c r="G37" s="35">
        <v>145</v>
      </c>
      <c r="H37" s="34" t="s">
        <v>2</v>
      </c>
      <c r="I37" s="34" t="s">
        <v>3</v>
      </c>
      <c r="J37" s="36">
        <v>27.5</v>
      </c>
      <c r="K37" s="36">
        <v>38.5</v>
      </c>
      <c r="L37" s="36"/>
      <c r="M37" s="31">
        <f t="shared" si="4"/>
        <v>3987.5</v>
      </c>
      <c r="N37" s="31">
        <f t="shared" si="5"/>
        <v>5582.5</v>
      </c>
      <c r="O37" s="31">
        <f t="shared" si="6"/>
        <v>0</v>
      </c>
      <c r="P37" s="35"/>
      <c r="Q37" s="31">
        <f t="shared" si="7"/>
        <v>0</v>
      </c>
      <c r="R37" s="31"/>
      <c r="S37" s="31"/>
    </row>
    <row r="38" spans="1:19" x14ac:dyDescent="0.2">
      <c r="A38" s="32">
        <v>19750002</v>
      </c>
      <c r="B38" s="33">
        <v>12</v>
      </c>
      <c r="C38" s="34">
        <v>6066944</v>
      </c>
      <c r="D38" s="34">
        <v>2</v>
      </c>
      <c r="E38" s="34" t="s">
        <v>4</v>
      </c>
      <c r="F38" s="34" t="s">
        <v>1</v>
      </c>
      <c r="G38" s="35">
        <v>2500</v>
      </c>
      <c r="H38" s="34" t="s">
        <v>5</v>
      </c>
      <c r="I38" s="34" t="s">
        <v>6</v>
      </c>
      <c r="J38" s="36">
        <v>0</v>
      </c>
      <c r="K38" s="36">
        <v>0</v>
      </c>
      <c r="L38" s="36">
        <v>1</v>
      </c>
      <c r="M38" s="31">
        <f t="shared" si="4"/>
        <v>0</v>
      </c>
      <c r="N38" s="31">
        <f t="shared" si="5"/>
        <v>0</v>
      </c>
      <c r="O38" s="31">
        <f t="shared" si="6"/>
        <v>2500</v>
      </c>
      <c r="P38" s="35"/>
      <c r="Q38" s="31">
        <f t="shared" si="7"/>
        <v>0</v>
      </c>
      <c r="R38" s="31"/>
      <c r="S38" s="31"/>
    </row>
    <row r="39" spans="1:19" x14ac:dyDescent="0.2">
      <c r="A39" s="32">
        <v>19750022</v>
      </c>
      <c r="B39" s="33">
        <v>13</v>
      </c>
      <c r="C39" s="34">
        <v>6066944</v>
      </c>
      <c r="D39" s="34">
        <v>3</v>
      </c>
      <c r="E39" s="34" t="s">
        <v>7</v>
      </c>
      <c r="F39" s="34" t="s">
        <v>1</v>
      </c>
      <c r="G39" s="35">
        <v>600</v>
      </c>
      <c r="H39" s="34" t="s">
        <v>5</v>
      </c>
      <c r="I39" s="34" t="s">
        <v>8</v>
      </c>
      <c r="J39" s="36">
        <v>0</v>
      </c>
      <c r="K39" s="36">
        <v>0</v>
      </c>
      <c r="L39" s="36">
        <v>1</v>
      </c>
      <c r="M39" s="31">
        <f t="shared" si="4"/>
        <v>0</v>
      </c>
      <c r="N39" s="31">
        <f t="shared" si="5"/>
        <v>0</v>
      </c>
      <c r="O39" s="31">
        <f t="shared" si="6"/>
        <v>600</v>
      </c>
      <c r="P39" s="35"/>
      <c r="Q39" s="31">
        <f t="shared" si="7"/>
        <v>0</v>
      </c>
      <c r="R39" s="31"/>
      <c r="S39" s="31"/>
    </row>
    <row r="40" spans="1:19" x14ac:dyDescent="0.2">
      <c r="A40" s="32">
        <v>19750042</v>
      </c>
      <c r="B40" s="33">
        <v>14</v>
      </c>
      <c r="C40" s="34">
        <v>6066944</v>
      </c>
      <c r="D40" s="34">
        <v>4</v>
      </c>
      <c r="E40" s="34" t="s">
        <v>9</v>
      </c>
      <c r="F40" s="34" t="s">
        <v>1</v>
      </c>
      <c r="G40" s="35">
        <v>500</v>
      </c>
      <c r="H40" s="34" t="s">
        <v>5</v>
      </c>
      <c r="I40" s="34" t="s">
        <v>10</v>
      </c>
      <c r="J40" s="36">
        <v>3.5</v>
      </c>
      <c r="K40" s="36">
        <v>4.9000000000000004</v>
      </c>
      <c r="L40" s="36"/>
      <c r="M40" s="31">
        <f t="shared" si="4"/>
        <v>1750</v>
      </c>
      <c r="N40" s="31">
        <f t="shared" si="5"/>
        <v>2450</v>
      </c>
      <c r="O40" s="31">
        <f t="shared" si="6"/>
        <v>0</v>
      </c>
      <c r="P40" s="35"/>
      <c r="Q40" s="31">
        <f t="shared" si="7"/>
        <v>0</v>
      </c>
      <c r="R40" s="31"/>
      <c r="S40" s="31"/>
    </row>
    <row r="41" spans="1:19" x14ac:dyDescent="0.2">
      <c r="A41" s="32">
        <v>19750282</v>
      </c>
      <c r="B41" s="33">
        <v>15</v>
      </c>
      <c r="C41" s="34">
        <v>6066944</v>
      </c>
      <c r="D41" s="34">
        <v>5</v>
      </c>
      <c r="E41" s="34" t="s">
        <v>11</v>
      </c>
      <c r="F41" s="34" t="s">
        <v>1</v>
      </c>
      <c r="G41" s="35">
        <v>180</v>
      </c>
      <c r="H41" s="34" t="s">
        <v>5</v>
      </c>
      <c r="I41" s="34" t="s">
        <v>12</v>
      </c>
      <c r="J41" s="36">
        <v>0</v>
      </c>
      <c r="K41" s="36">
        <v>0</v>
      </c>
      <c r="L41" s="36"/>
      <c r="M41" s="31">
        <f t="shared" si="4"/>
        <v>0</v>
      </c>
      <c r="N41" s="31">
        <f t="shared" si="5"/>
        <v>0</v>
      </c>
      <c r="O41" s="31">
        <f t="shared" si="6"/>
        <v>0</v>
      </c>
      <c r="P41" s="35"/>
      <c r="Q41" s="31">
        <f t="shared" si="7"/>
        <v>0</v>
      </c>
      <c r="R41" s="31"/>
      <c r="S41" s="31"/>
    </row>
    <row r="42" spans="1:19" x14ac:dyDescent="0.2">
      <c r="A42" s="32">
        <v>19749622</v>
      </c>
      <c r="B42" s="33">
        <v>16</v>
      </c>
      <c r="C42" s="34">
        <v>6066944</v>
      </c>
      <c r="D42" s="34">
        <v>6</v>
      </c>
      <c r="E42" s="34">
        <v>1150175</v>
      </c>
      <c r="F42" s="34" t="s">
        <v>1</v>
      </c>
      <c r="G42" s="35">
        <v>2</v>
      </c>
      <c r="H42" s="34" t="s">
        <v>13</v>
      </c>
      <c r="I42" s="34" t="s">
        <v>14</v>
      </c>
      <c r="J42" s="36">
        <v>0</v>
      </c>
      <c r="K42" s="36">
        <v>0</v>
      </c>
      <c r="L42" s="36"/>
      <c r="M42" s="31">
        <f t="shared" si="4"/>
        <v>0</v>
      </c>
      <c r="N42" s="31">
        <f t="shared" si="5"/>
        <v>0</v>
      </c>
      <c r="O42" s="31">
        <f t="shared" si="6"/>
        <v>0</v>
      </c>
      <c r="P42" s="35"/>
      <c r="Q42" s="31">
        <f t="shared" si="7"/>
        <v>0</v>
      </c>
      <c r="R42" s="31"/>
      <c r="S42" s="31"/>
    </row>
    <row r="43" spans="1:19" x14ac:dyDescent="0.2">
      <c r="A43" s="32">
        <v>19750142</v>
      </c>
      <c r="B43" s="33">
        <v>21</v>
      </c>
      <c r="C43" s="34">
        <v>6066945</v>
      </c>
      <c r="D43" s="34">
        <v>1</v>
      </c>
      <c r="E43" s="34" t="s">
        <v>15</v>
      </c>
      <c r="F43" s="34" t="s">
        <v>25</v>
      </c>
      <c r="G43" s="35">
        <v>2500</v>
      </c>
      <c r="H43" s="34" t="s">
        <v>16</v>
      </c>
      <c r="I43" s="34" t="s">
        <v>17</v>
      </c>
      <c r="J43" s="36">
        <v>1</v>
      </c>
      <c r="K43" s="36">
        <v>1.4</v>
      </c>
      <c r="L43" s="36"/>
      <c r="M43" s="31">
        <f t="shared" si="4"/>
        <v>2500</v>
      </c>
      <c r="N43" s="31">
        <f t="shared" si="5"/>
        <v>3500</v>
      </c>
      <c r="O43" s="31">
        <f t="shared" si="6"/>
        <v>0</v>
      </c>
      <c r="P43" s="35"/>
      <c r="Q43" s="31">
        <f t="shared" si="7"/>
        <v>0</v>
      </c>
      <c r="R43" s="31"/>
      <c r="S43" s="31"/>
    </row>
    <row r="44" spans="1:19" x14ac:dyDescent="0.2">
      <c r="A44" s="32">
        <v>19750162</v>
      </c>
      <c r="B44" s="33">
        <v>22</v>
      </c>
      <c r="C44" s="34">
        <v>6066945</v>
      </c>
      <c r="D44" s="34">
        <v>2</v>
      </c>
      <c r="E44" s="34" t="s">
        <v>18</v>
      </c>
      <c r="F44" s="34" t="s">
        <v>1</v>
      </c>
      <c r="G44" s="35">
        <v>700</v>
      </c>
      <c r="H44" s="34" t="s">
        <v>16</v>
      </c>
      <c r="I44" s="34" t="s">
        <v>19</v>
      </c>
      <c r="J44" s="36">
        <v>12.5</v>
      </c>
      <c r="K44" s="36">
        <v>17.5</v>
      </c>
      <c r="L44" s="36"/>
      <c r="M44" s="31">
        <f t="shared" si="4"/>
        <v>8750</v>
      </c>
      <c r="N44" s="31">
        <f t="shared" si="5"/>
        <v>12250</v>
      </c>
      <c r="O44" s="31">
        <f t="shared" si="6"/>
        <v>0</v>
      </c>
      <c r="P44" s="35"/>
      <c r="Q44" s="31">
        <f t="shared" si="7"/>
        <v>0</v>
      </c>
      <c r="R44" s="31"/>
      <c r="S44" s="31"/>
    </row>
    <row r="45" spans="1:19" x14ac:dyDescent="0.2">
      <c r="A45" s="32">
        <v>19750202</v>
      </c>
      <c r="B45" s="33">
        <v>23</v>
      </c>
      <c r="C45" s="34">
        <v>6066945</v>
      </c>
      <c r="D45" s="34">
        <v>3</v>
      </c>
      <c r="E45" s="34" t="s">
        <v>20</v>
      </c>
      <c r="F45" s="34" t="s">
        <v>1</v>
      </c>
      <c r="G45" s="35">
        <v>500</v>
      </c>
      <c r="H45" s="34" t="s">
        <v>16</v>
      </c>
      <c r="I45" s="34" t="s">
        <v>21</v>
      </c>
      <c r="J45" s="36">
        <v>7.5</v>
      </c>
      <c r="K45" s="36">
        <v>10.5</v>
      </c>
      <c r="L45" s="36"/>
      <c r="M45" s="31">
        <f t="shared" si="4"/>
        <v>3750</v>
      </c>
      <c r="N45" s="31">
        <f t="shared" si="5"/>
        <v>5250</v>
      </c>
      <c r="O45" s="31">
        <f t="shared" si="6"/>
        <v>0</v>
      </c>
      <c r="P45" s="35"/>
      <c r="Q45" s="31">
        <f t="shared" si="7"/>
        <v>0</v>
      </c>
      <c r="R45" s="31"/>
      <c r="S45" s="31"/>
    </row>
    <row r="46" spans="1:19" x14ac:dyDescent="0.2">
      <c r="A46" s="32">
        <v>19750222</v>
      </c>
      <c r="B46" s="33">
        <v>24</v>
      </c>
      <c r="C46" s="34">
        <v>6066945</v>
      </c>
      <c r="D46" s="34">
        <v>4</v>
      </c>
      <c r="E46" s="34" t="s">
        <v>22</v>
      </c>
      <c r="F46" s="34" t="s">
        <v>1</v>
      </c>
      <c r="G46" s="35">
        <v>480</v>
      </c>
      <c r="H46" s="34" t="s">
        <v>23</v>
      </c>
      <c r="I46" s="34" t="s">
        <v>24</v>
      </c>
      <c r="J46" s="36">
        <v>0</v>
      </c>
      <c r="K46" s="36">
        <v>0</v>
      </c>
      <c r="L46" s="36"/>
      <c r="M46" s="31">
        <f t="shared" si="4"/>
        <v>0</v>
      </c>
      <c r="N46" s="31">
        <f t="shared" si="5"/>
        <v>0</v>
      </c>
      <c r="O46" s="31">
        <f t="shared" si="6"/>
        <v>0</v>
      </c>
      <c r="P46" s="35"/>
      <c r="Q46" s="31">
        <f t="shared" si="7"/>
        <v>0</v>
      </c>
      <c r="R46" s="31"/>
      <c r="S46" s="31"/>
    </row>
    <row r="47" spans="1:19" x14ac:dyDescent="0.2">
      <c r="A47" s="32">
        <v>19750262</v>
      </c>
      <c r="B47" s="33">
        <v>25</v>
      </c>
      <c r="C47" s="34">
        <v>6066945</v>
      </c>
      <c r="D47" s="34">
        <v>5</v>
      </c>
      <c r="E47" s="34">
        <v>1150175</v>
      </c>
      <c r="F47" s="34" t="s">
        <v>1</v>
      </c>
      <c r="G47" s="35">
        <v>2</v>
      </c>
      <c r="H47" s="34" t="s">
        <v>13</v>
      </c>
      <c r="I47" s="34" t="s">
        <v>14</v>
      </c>
      <c r="J47" s="36">
        <v>0</v>
      </c>
      <c r="K47" s="36">
        <v>0</v>
      </c>
      <c r="L47" s="36"/>
      <c r="M47" s="31">
        <f t="shared" si="4"/>
        <v>0</v>
      </c>
      <c r="N47" s="31">
        <f t="shared" si="5"/>
        <v>0</v>
      </c>
      <c r="O47" s="31">
        <f t="shared" si="6"/>
        <v>0</v>
      </c>
      <c r="P47" s="35"/>
      <c r="Q47" s="31">
        <f t="shared" si="7"/>
        <v>0</v>
      </c>
      <c r="R47" s="31"/>
      <c r="S47" s="31"/>
    </row>
    <row r="48" spans="1:19" x14ac:dyDescent="0.2">
      <c r="A48" s="32">
        <v>19749482</v>
      </c>
      <c r="B48" s="33">
        <v>11</v>
      </c>
      <c r="C48" s="34">
        <v>6066944</v>
      </c>
      <c r="D48" s="34">
        <v>1</v>
      </c>
      <c r="E48" s="34" t="s">
        <v>0</v>
      </c>
      <c r="F48" s="34" t="s">
        <v>1</v>
      </c>
      <c r="G48" s="35">
        <v>145</v>
      </c>
      <c r="H48" s="34" t="s">
        <v>2</v>
      </c>
      <c r="I48" s="34" t="s">
        <v>3</v>
      </c>
      <c r="J48" s="36">
        <v>27.5</v>
      </c>
      <c r="K48" s="36">
        <v>38.5</v>
      </c>
      <c r="L48" s="36"/>
      <c r="M48" s="31">
        <f t="shared" si="4"/>
        <v>3987.5</v>
      </c>
      <c r="N48" s="31">
        <f t="shared" si="5"/>
        <v>5582.5</v>
      </c>
      <c r="O48" s="31">
        <f t="shared" si="6"/>
        <v>0</v>
      </c>
      <c r="P48" s="35"/>
      <c r="Q48" s="31">
        <f t="shared" si="7"/>
        <v>0</v>
      </c>
      <c r="R48" s="31"/>
      <c r="S48" s="31"/>
    </row>
    <row r="49" spans="1:19" x14ac:dyDescent="0.2">
      <c r="A49" s="32">
        <v>19750002</v>
      </c>
      <c r="B49" s="33">
        <v>12</v>
      </c>
      <c r="C49" s="34">
        <v>6066944</v>
      </c>
      <c r="D49" s="34">
        <v>2</v>
      </c>
      <c r="E49" s="34" t="s">
        <v>4</v>
      </c>
      <c r="F49" s="34" t="s">
        <v>1</v>
      </c>
      <c r="G49" s="35">
        <v>2500</v>
      </c>
      <c r="H49" s="34" t="s">
        <v>5</v>
      </c>
      <c r="I49" s="34" t="s">
        <v>6</v>
      </c>
      <c r="J49" s="36">
        <v>0</v>
      </c>
      <c r="K49" s="36">
        <v>0</v>
      </c>
      <c r="L49" s="36">
        <v>1</v>
      </c>
      <c r="M49" s="31">
        <f t="shared" si="4"/>
        <v>0</v>
      </c>
      <c r="N49" s="31">
        <f t="shared" si="5"/>
        <v>0</v>
      </c>
      <c r="O49" s="31">
        <f t="shared" si="6"/>
        <v>2500</v>
      </c>
      <c r="P49" s="35"/>
      <c r="Q49" s="31">
        <f t="shared" si="7"/>
        <v>0</v>
      </c>
      <c r="R49" s="31"/>
      <c r="S49" s="31"/>
    </row>
    <row r="50" spans="1:19" x14ac:dyDescent="0.2">
      <c r="A50" s="32">
        <v>19750022</v>
      </c>
      <c r="B50" s="33">
        <v>13</v>
      </c>
      <c r="C50" s="34">
        <v>6066944</v>
      </c>
      <c r="D50" s="34">
        <v>3</v>
      </c>
      <c r="E50" s="34" t="s">
        <v>7</v>
      </c>
      <c r="F50" s="34" t="s">
        <v>1</v>
      </c>
      <c r="G50" s="35">
        <v>600</v>
      </c>
      <c r="H50" s="34" t="s">
        <v>5</v>
      </c>
      <c r="I50" s="34" t="s">
        <v>8</v>
      </c>
      <c r="J50" s="36">
        <v>0</v>
      </c>
      <c r="K50" s="36">
        <v>0</v>
      </c>
      <c r="L50" s="36">
        <v>1</v>
      </c>
      <c r="M50" s="31">
        <f t="shared" si="4"/>
        <v>0</v>
      </c>
      <c r="N50" s="31">
        <f t="shared" si="5"/>
        <v>0</v>
      </c>
      <c r="O50" s="31">
        <f t="shared" si="6"/>
        <v>600</v>
      </c>
      <c r="P50" s="35"/>
      <c r="Q50" s="31">
        <f t="shared" si="7"/>
        <v>0</v>
      </c>
      <c r="R50" s="31"/>
      <c r="S50" s="31"/>
    </row>
    <row r="51" spans="1:19" x14ac:dyDescent="0.2">
      <c r="A51" s="32">
        <v>19750042</v>
      </c>
      <c r="B51" s="33">
        <v>14</v>
      </c>
      <c r="C51" s="34">
        <v>6066944</v>
      </c>
      <c r="D51" s="34">
        <v>4</v>
      </c>
      <c r="E51" s="34" t="s">
        <v>9</v>
      </c>
      <c r="F51" s="34" t="s">
        <v>1</v>
      </c>
      <c r="G51" s="35">
        <v>500</v>
      </c>
      <c r="H51" s="34" t="s">
        <v>5</v>
      </c>
      <c r="I51" s="34" t="s">
        <v>10</v>
      </c>
      <c r="J51" s="36">
        <v>3.5</v>
      </c>
      <c r="K51" s="36">
        <v>4.9000000000000004</v>
      </c>
      <c r="L51" s="36"/>
      <c r="M51" s="31">
        <f t="shared" si="4"/>
        <v>1750</v>
      </c>
      <c r="N51" s="31">
        <f t="shared" si="5"/>
        <v>2450</v>
      </c>
      <c r="O51" s="31">
        <f t="shared" si="6"/>
        <v>0</v>
      </c>
      <c r="P51" s="35"/>
      <c r="Q51" s="31">
        <f t="shared" si="7"/>
        <v>0</v>
      </c>
      <c r="R51" s="31"/>
      <c r="S51" s="31"/>
    </row>
    <row r="52" spans="1:19" x14ac:dyDescent="0.2">
      <c r="A52" s="32">
        <v>19750282</v>
      </c>
      <c r="B52" s="33">
        <v>15</v>
      </c>
      <c r="C52" s="34">
        <v>6066944</v>
      </c>
      <c r="D52" s="34">
        <v>5</v>
      </c>
      <c r="E52" s="34" t="s">
        <v>11</v>
      </c>
      <c r="F52" s="34" t="s">
        <v>1</v>
      </c>
      <c r="G52" s="35">
        <v>180</v>
      </c>
      <c r="H52" s="34" t="s">
        <v>5</v>
      </c>
      <c r="I52" s="34" t="s">
        <v>12</v>
      </c>
      <c r="J52" s="36">
        <v>0</v>
      </c>
      <c r="K52" s="36">
        <v>0</v>
      </c>
      <c r="L52" s="36"/>
      <c r="M52" s="31">
        <f t="shared" si="4"/>
        <v>0</v>
      </c>
      <c r="N52" s="31">
        <f t="shared" si="5"/>
        <v>0</v>
      </c>
      <c r="O52" s="31">
        <f t="shared" si="6"/>
        <v>0</v>
      </c>
      <c r="P52" s="35"/>
      <c r="Q52" s="31">
        <f t="shared" si="7"/>
        <v>0</v>
      </c>
      <c r="R52" s="31"/>
      <c r="S52" s="31"/>
    </row>
    <row r="53" spans="1:19" x14ac:dyDescent="0.2">
      <c r="A53" s="32">
        <v>19749622</v>
      </c>
      <c r="B53" s="33">
        <v>16</v>
      </c>
      <c r="C53" s="34">
        <v>6066944</v>
      </c>
      <c r="D53" s="34">
        <v>6</v>
      </c>
      <c r="E53" s="34">
        <v>1150175</v>
      </c>
      <c r="F53" s="34" t="s">
        <v>1</v>
      </c>
      <c r="G53" s="35">
        <v>2</v>
      </c>
      <c r="H53" s="34" t="s">
        <v>13</v>
      </c>
      <c r="I53" s="34" t="s">
        <v>14</v>
      </c>
      <c r="J53" s="36">
        <v>0</v>
      </c>
      <c r="K53" s="36">
        <v>0</v>
      </c>
      <c r="L53" s="36"/>
      <c r="M53" s="31">
        <f t="shared" si="4"/>
        <v>0</v>
      </c>
      <c r="N53" s="31">
        <f t="shared" si="5"/>
        <v>0</v>
      </c>
      <c r="O53" s="31">
        <f t="shared" si="6"/>
        <v>0</v>
      </c>
      <c r="P53" s="35"/>
      <c r="Q53" s="31">
        <f t="shared" si="7"/>
        <v>0</v>
      </c>
      <c r="R53" s="31"/>
      <c r="S53" s="31"/>
    </row>
    <row r="54" spans="1:19" x14ac:dyDescent="0.2">
      <c r="A54" s="32">
        <v>19750142</v>
      </c>
      <c r="B54" s="33">
        <v>21</v>
      </c>
      <c r="C54" s="34">
        <v>6066945</v>
      </c>
      <c r="D54" s="34">
        <v>1</v>
      </c>
      <c r="E54" s="34" t="s">
        <v>15</v>
      </c>
      <c r="F54" s="34" t="s">
        <v>25</v>
      </c>
      <c r="G54" s="35">
        <v>2500</v>
      </c>
      <c r="H54" s="34" t="s">
        <v>16</v>
      </c>
      <c r="I54" s="34" t="s">
        <v>17</v>
      </c>
      <c r="J54" s="36">
        <v>1</v>
      </c>
      <c r="K54" s="36">
        <v>1.4</v>
      </c>
      <c r="L54" s="36"/>
      <c r="M54" s="31">
        <f t="shared" si="4"/>
        <v>2500</v>
      </c>
      <c r="N54" s="31">
        <f t="shared" si="5"/>
        <v>3500</v>
      </c>
      <c r="O54" s="31">
        <f t="shared" si="6"/>
        <v>0</v>
      </c>
      <c r="P54" s="35"/>
      <c r="Q54" s="31">
        <f t="shared" si="7"/>
        <v>0</v>
      </c>
      <c r="R54" s="31"/>
      <c r="S54" s="31"/>
    </row>
    <row r="55" spans="1:19" x14ac:dyDescent="0.2">
      <c r="A55" s="32">
        <v>19750162</v>
      </c>
      <c r="B55" s="33">
        <v>22</v>
      </c>
      <c r="C55" s="34">
        <v>6066945</v>
      </c>
      <c r="D55" s="34">
        <v>2</v>
      </c>
      <c r="E55" s="34" t="s">
        <v>18</v>
      </c>
      <c r="F55" s="34" t="s">
        <v>1</v>
      </c>
      <c r="G55" s="35">
        <v>700</v>
      </c>
      <c r="H55" s="34" t="s">
        <v>16</v>
      </c>
      <c r="I55" s="34" t="s">
        <v>19</v>
      </c>
      <c r="J55" s="36">
        <v>12.5</v>
      </c>
      <c r="K55" s="36">
        <v>17.5</v>
      </c>
      <c r="L55" s="36"/>
      <c r="M55" s="31">
        <f t="shared" si="4"/>
        <v>8750</v>
      </c>
      <c r="N55" s="31">
        <f t="shared" si="5"/>
        <v>12250</v>
      </c>
      <c r="O55" s="31">
        <f t="shared" si="6"/>
        <v>0</v>
      </c>
      <c r="P55" s="35"/>
      <c r="Q55" s="31">
        <f t="shared" si="7"/>
        <v>0</v>
      </c>
      <c r="R55" s="31"/>
      <c r="S55" s="31"/>
    </row>
    <row r="56" spans="1:19" x14ac:dyDescent="0.2">
      <c r="A56" s="32">
        <v>19750202</v>
      </c>
      <c r="B56" s="33">
        <v>23</v>
      </c>
      <c r="C56" s="34">
        <v>6066945</v>
      </c>
      <c r="D56" s="34">
        <v>3</v>
      </c>
      <c r="E56" s="34" t="s">
        <v>20</v>
      </c>
      <c r="F56" s="34" t="s">
        <v>1</v>
      </c>
      <c r="G56" s="35">
        <v>500</v>
      </c>
      <c r="H56" s="34" t="s">
        <v>16</v>
      </c>
      <c r="I56" s="34" t="s">
        <v>21</v>
      </c>
      <c r="J56" s="36">
        <v>7.5</v>
      </c>
      <c r="K56" s="36">
        <v>10.5</v>
      </c>
      <c r="L56" s="36"/>
      <c r="M56" s="31">
        <f t="shared" si="4"/>
        <v>3750</v>
      </c>
      <c r="N56" s="31">
        <f t="shared" si="5"/>
        <v>5250</v>
      </c>
      <c r="O56" s="31">
        <f t="shared" si="6"/>
        <v>0</v>
      </c>
      <c r="P56" s="35"/>
      <c r="Q56" s="31">
        <f t="shared" si="7"/>
        <v>0</v>
      </c>
      <c r="R56" s="31"/>
      <c r="S56" s="31"/>
    </row>
    <row r="57" spans="1:19" x14ac:dyDescent="0.2">
      <c r="A57" s="32">
        <v>19750222</v>
      </c>
      <c r="B57" s="33">
        <v>24</v>
      </c>
      <c r="C57" s="34">
        <v>6066945</v>
      </c>
      <c r="D57" s="34">
        <v>4</v>
      </c>
      <c r="E57" s="34" t="s">
        <v>22</v>
      </c>
      <c r="F57" s="34" t="s">
        <v>1</v>
      </c>
      <c r="G57" s="35">
        <v>480</v>
      </c>
      <c r="H57" s="34" t="s">
        <v>23</v>
      </c>
      <c r="I57" s="34" t="s">
        <v>24</v>
      </c>
      <c r="J57" s="36">
        <v>0</v>
      </c>
      <c r="K57" s="36">
        <v>0</v>
      </c>
      <c r="L57" s="36"/>
      <c r="M57" s="31">
        <f t="shared" si="4"/>
        <v>0</v>
      </c>
      <c r="N57" s="31">
        <f t="shared" si="5"/>
        <v>0</v>
      </c>
      <c r="O57" s="31">
        <f t="shared" si="6"/>
        <v>0</v>
      </c>
      <c r="P57" s="35"/>
      <c r="Q57" s="31">
        <f t="shared" si="7"/>
        <v>0</v>
      </c>
      <c r="R57" s="31"/>
      <c r="S57" s="31"/>
    </row>
    <row r="58" spans="1:19" x14ac:dyDescent="0.2">
      <c r="A58" s="32">
        <v>19750262</v>
      </c>
      <c r="B58" s="33">
        <v>25</v>
      </c>
      <c r="C58" s="34">
        <v>6066945</v>
      </c>
      <c r="D58" s="34">
        <v>5</v>
      </c>
      <c r="E58" s="34">
        <v>1150175</v>
      </c>
      <c r="F58" s="34" t="s">
        <v>1</v>
      </c>
      <c r="G58" s="35">
        <v>2</v>
      </c>
      <c r="H58" s="34" t="s">
        <v>13</v>
      </c>
      <c r="I58" s="34" t="s">
        <v>14</v>
      </c>
      <c r="J58" s="36">
        <v>0</v>
      </c>
      <c r="K58" s="36">
        <v>0</v>
      </c>
      <c r="L58" s="36"/>
      <c r="M58" s="31">
        <f t="shared" si="4"/>
        <v>0</v>
      </c>
      <c r="N58" s="31">
        <f t="shared" si="5"/>
        <v>0</v>
      </c>
      <c r="O58" s="31">
        <f t="shared" si="6"/>
        <v>0</v>
      </c>
      <c r="P58" s="35"/>
      <c r="Q58" s="31">
        <f t="shared" si="7"/>
        <v>0</v>
      </c>
      <c r="R58" s="31"/>
      <c r="S58" s="31"/>
    </row>
    <row r="59" spans="1:19" x14ac:dyDescent="0.2">
      <c r="A59" s="32">
        <v>19749482</v>
      </c>
      <c r="B59" s="33">
        <v>11</v>
      </c>
      <c r="C59" s="34">
        <v>6066944</v>
      </c>
      <c r="D59" s="34">
        <v>1</v>
      </c>
      <c r="E59" s="34" t="s">
        <v>0</v>
      </c>
      <c r="F59" s="34" t="s">
        <v>1</v>
      </c>
      <c r="G59" s="35">
        <v>145</v>
      </c>
      <c r="H59" s="34" t="s">
        <v>2</v>
      </c>
      <c r="I59" s="34" t="s">
        <v>3</v>
      </c>
      <c r="J59" s="36">
        <v>27.5</v>
      </c>
      <c r="K59" s="36">
        <v>38.5</v>
      </c>
      <c r="L59" s="36"/>
      <c r="M59" s="31">
        <f t="shared" si="4"/>
        <v>3987.5</v>
      </c>
      <c r="N59" s="31">
        <f t="shared" si="5"/>
        <v>5582.5</v>
      </c>
      <c r="O59" s="31">
        <f t="shared" si="6"/>
        <v>0</v>
      </c>
      <c r="P59" s="35"/>
      <c r="Q59" s="31">
        <f t="shared" si="7"/>
        <v>0</v>
      </c>
      <c r="R59" s="31"/>
      <c r="S59" s="31"/>
    </row>
    <row r="60" spans="1:19" x14ac:dyDescent="0.2">
      <c r="A60" s="32">
        <v>19750002</v>
      </c>
      <c r="B60" s="33">
        <v>12</v>
      </c>
      <c r="C60" s="34">
        <v>6066944</v>
      </c>
      <c r="D60" s="34">
        <v>2</v>
      </c>
      <c r="E60" s="34" t="s">
        <v>4</v>
      </c>
      <c r="F60" s="34" t="s">
        <v>1</v>
      </c>
      <c r="G60" s="35">
        <v>2500</v>
      </c>
      <c r="H60" s="34" t="s">
        <v>5</v>
      </c>
      <c r="I60" s="34" t="s">
        <v>6</v>
      </c>
      <c r="J60" s="36">
        <v>0</v>
      </c>
      <c r="K60" s="36">
        <v>0</v>
      </c>
      <c r="L60" s="36">
        <v>1</v>
      </c>
      <c r="M60" s="31">
        <f t="shared" si="4"/>
        <v>0</v>
      </c>
      <c r="N60" s="31">
        <f t="shared" si="5"/>
        <v>0</v>
      </c>
      <c r="O60" s="31">
        <f t="shared" si="6"/>
        <v>2500</v>
      </c>
      <c r="P60" s="35"/>
      <c r="Q60" s="31">
        <f t="shared" si="7"/>
        <v>0</v>
      </c>
      <c r="R60" s="31"/>
      <c r="S60" s="31"/>
    </row>
    <row r="61" spans="1:19" x14ac:dyDescent="0.2">
      <c r="A61" s="32">
        <v>19750022</v>
      </c>
      <c r="B61" s="33">
        <v>13</v>
      </c>
      <c r="C61" s="34">
        <v>6066944</v>
      </c>
      <c r="D61" s="34">
        <v>3</v>
      </c>
      <c r="E61" s="34" t="s">
        <v>7</v>
      </c>
      <c r="F61" s="34" t="s">
        <v>1</v>
      </c>
      <c r="G61" s="35">
        <v>600</v>
      </c>
      <c r="H61" s="34" t="s">
        <v>5</v>
      </c>
      <c r="I61" s="34" t="s">
        <v>8</v>
      </c>
      <c r="J61" s="36">
        <v>0</v>
      </c>
      <c r="K61" s="36">
        <v>0</v>
      </c>
      <c r="L61" s="36">
        <v>1</v>
      </c>
      <c r="M61" s="31">
        <f t="shared" si="4"/>
        <v>0</v>
      </c>
      <c r="N61" s="31">
        <f t="shared" si="5"/>
        <v>0</v>
      </c>
      <c r="O61" s="31">
        <f t="shared" si="6"/>
        <v>600</v>
      </c>
      <c r="P61" s="35"/>
      <c r="Q61" s="31">
        <f t="shared" si="7"/>
        <v>0</v>
      </c>
      <c r="R61" s="31"/>
      <c r="S61" s="31"/>
    </row>
    <row r="62" spans="1:19" x14ac:dyDescent="0.2">
      <c r="A62" s="32">
        <v>19750042</v>
      </c>
      <c r="B62" s="33">
        <v>14</v>
      </c>
      <c r="C62" s="34">
        <v>6066944</v>
      </c>
      <c r="D62" s="34">
        <v>4</v>
      </c>
      <c r="E62" s="34" t="s">
        <v>9</v>
      </c>
      <c r="F62" s="34" t="s">
        <v>1</v>
      </c>
      <c r="G62" s="35">
        <v>500</v>
      </c>
      <c r="H62" s="34" t="s">
        <v>5</v>
      </c>
      <c r="I62" s="34" t="s">
        <v>10</v>
      </c>
      <c r="J62" s="36">
        <v>3.5</v>
      </c>
      <c r="K62" s="36">
        <v>4.9000000000000004</v>
      </c>
      <c r="L62" s="36"/>
      <c r="M62" s="31">
        <f t="shared" si="4"/>
        <v>1750</v>
      </c>
      <c r="N62" s="31">
        <f t="shared" si="5"/>
        <v>2450</v>
      </c>
      <c r="O62" s="31">
        <f t="shared" si="6"/>
        <v>0</v>
      </c>
      <c r="P62" s="35"/>
      <c r="Q62" s="31">
        <f t="shared" si="7"/>
        <v>0</v>
      </c>
      <c r="R62" s="31"/>
      <c r="S62" s="31"/>
    </row>
    <row r="63" spans="1:19" x14ac:dyDescent="0.2">
      <c r="A63" s="32">
        <v>19750282</v>
      </c>
      <c r="B63" s="33">
        <v>15</v>
      </c>
      <c r="C63" s="34">
        <v>6066944</v>
      </c>
      <c r="D63" s="34">
        <v>5</v>
      </c>
      <c r="E63" s="34" t="s">
        <v>11</v>
      </c>
      <c r="F63" s="34" t="s">
        <v>1</v>
      </c>
      <c r="G63" s="35">
        <v>180</v>
      </c>
      <c r="H63" s="34" t="s">
        <v>5</v>
      </c>
      <c r="I63" s="34" t="s">
        <v>12</v>
      </c>
      <c r="J63" s="36">
        <v>0</v>
      </c>
      <c r="K63" s="36">
        <v>0</v>
      </c>
      <c r="L63" s="36"/>
      <c r="M63" s="31">
        <f t="shared" si="4"/>
        <v>0</v>
      </c>
      <c r="N63" s="31">
        <f t="shared" si="5"/>
        <v>0</v>
      </c>
      <c r="O63" s="31">
        <f t="shared" si="6"/>
        <v>0</v>
      </c>
      <c r="P63" s="35"/>
      <c r="Q63" s="31">
        <f t="shared" si="7"/>
        <v>0</v>
      </c>
      <c r="R63" s="31"/>
      <c r="S63" s="31"/>
    </row>
    <row r="64" spans="1:19" x14ac:dyDescent="0.2">
      <c r="A64" s="32">
        <v>19749622</v>
      </c>
      <c r="B64" s="33">
        <v>16</v>
      </c>
      <c r="C64" s="34">
        <v>6066944</v>
      </c>
      <c r="D64" s="34">
        <v>6</v>
      </c>
      <c r="E64" s="34">
        <v>1150175</v>
      </c>
      <c r="F64" s="34" t="s">
        <v>1</v>
      </c>
      <c r="G64" s="35">
        <v>2</v>
      </c>
      <c r="H64" s="34" t="s">
        <v>13</v>
      </c>
      <c r="I64" s="34" t="s">
        <v>14</v>
      </c>
      <c r="J64" s="36">
        <v>0</v>
      </c>
      <c r="K64" s="36">
        <v>0</v>
      </c>
      <c r="L64" s="36"/>
      <c r="M64" s="31">
        <f t="shared" si="4"/>
        <v>0</v>
      </c>
      <c r="N64" s="31">
        <f t="shared" si="5"/>
        <v>0</v>
      </c>
      <c r="O64" s="31">
        <f t="shared" si="6"/>
        <v>0</v>
      </c>
      <c r="P64" s="35"/>
      <c r="Q64" s="31">
        <f t="shared" si="7"/>
        <v>0</v>
      </c>
      <c r="R64" s="31"/>
      <c r="S64" s="31"/>
    </row>
    <row r="65" spans="1:19" x14ac:dyDescent="0.2">
      <c r="A65" s="32">
        <v>19750142</v>
      </c>
      <c r="B65" s="33">
        <v>21</v>
      </c>
      <c r="C65" s="34">
        <v>6066945</v>
      </c>
      <c r="D65" s="34">
        <v>1</v>
      </c>
      <c r="E65" s="34" t="s">
        <v>15</v>
      </c>
      <c r="F65" s="34" t="s">
        <v>25</v>
      </c>
      <c r="G65" s="35">
        <v>2500</v>
      </c>
      <c r="H65" s="34" t="s">
        <v>16</v>
      </c>
      <c r="I65" s="34" t="s">
        <v>17</v>
      </c>
      <c r="J65" s="36">
        <v>1</v>
      </c>
      <c r="K65" s="36">
        <v>1.4</v>
      </c>
      <c r="L65" s="36"/>
      <c r="M65" s="31">
        <f t="shared" si="4"/>
        <v>2500</v>
      </c>
      <c r="N65" s="31">
        <f t="shared" si="5"/>
        <v>3500</v>
      </c>
      <c r="O65" s="31">
        <f t="shared" si="6"/>
        <v>0</v>
      </c>
      <c r="P65" s="35"/>
      <c r="Q65" s="31">
        <f t="shared" si="7"/>
        <v>0</v>
      </c>
      <c r="R65" s="31"/>
      <c r="S65" s="31"/>
    </row>
    <row r="66" spans="1:19" x14ac:dyDescent="0.2">
      <c r="A66" s="32">
        <v>19750162</v>
      </c>
      <c r="B66" s="33">
        <v>22</v>
      </c>
      <c r="C66" s="34">
        <v>6066945</v>
      </c>
      <c r="D66" s="34">
        <v>2</v>
      </c>
      <c r="E66" s="34" t="s">
        <v>18</v>
      </c>
      <c r="F66" s="34" t="s">
        <v>1</v>
      </c>
      <c r="G66" s="35">
        <v>700</v>
      </c>
      <c r="H66" s="34" t="s">
        <v>16</v>
      </c>
      <c r="I66" s="34" t="s">
        <v>19</v>
      </c>
      <c r="J66" s="36">
        <v>12.5</v>
      </c>
      <c r="K66" s="36">
        <v>17.5</v>
      </c>
      <c r="L66" s="36"/>
      <c r="M66" s="31">
        <f t="shared" si="4"/>
        <v>8750</v>
      </c>
      <c r="N66" s="31">
        <f t="shared" si="5"/>
        <v>12250</v>
      </c>
      <c r="O66" s="31">
        <f t="shared" si="6"/>
        <v>0</v>
      </c>
      <c r="P66" s="35"/>
      <c r="Q66" s="31">
        <f t="shared" si="7"/>
        <v>0</v>
      </c>
      <c r="R66" s="31"/>
      <c r="S66" s="31"/>
    </row>
    <row r="67" spans="1:19" x14ac:dyDescent="0.2">
      <c r="A67" s="32">
        <v>19750202</v>
      </c>
      <c r="B67" s="33">
        <v>23</v>
      </c>
      <c r="C67" s="34">
        <v>6066945</v>
      </c>
      <c r="D67" s="34">
        <v>3</v>
      </c>
      <c r="E67" s="34" t="s">
        <v>20</v>
      </c>
      <c r="F67" s="34" t="s">
        <v>1</v>
      </c>
      <c r="G67" s="35">
        <v>500</v>
      </c>
      <c r="H67" s="34" t="s">
        <v>16</v>
      </c>
      <c r="I67" s="34" t="s">
        <v>21</v>
      </c>
      <c r="J67" s="36">
        <v>7.5</v>
      </c>
      <c r="K67" s="36">
        <v>10.5</v>
      </c>
      <c r="L67" s="36"/>
      <c r="M67" s="31">
        <f t="shared" si="4"/>
        <v>3750</v>
      </c>
      <c r="N67" s="31">
        <f t="shared" si="5"/>
        <v>5250</v>
      </c>
      <c r="O67" s="31">
        <f t="shared" si="6"/>
        <v>0</v>
      </c>
      <c r="P67" s="35"/>
      <c r="Q67" s="31">
        <f t="shared" si="7"/>
        <v>0</v>
      </c>
      <c r="R67" s="31"/>
      <c r="S67" s="31"/>
    </row>
    <row r="68" spans="1:19" x14ac:dyDescent="0.2">
      <c r="A68" s="32">
        <v>19750222</v>
      </c>
      <c r="B68" s="33">
        <v>24</v>
      </c>
      <c r="C68" s="34">
        <v>6066945</v>
      </c>
      <c r="D68" s="34">
        <v>4</v>
      </c>
      <c r="E68" s="34" t="s">
        <v>22</v>
      </c>
      <c r="F68" s="34" t="s">
        <v>1</v>
      </c>
      <c r="G68" s="35">
        <v>480</v>
      </c>
      <c r="H68" s="34" t="s">
        <v>23</v>
      </c>
      <c r="I68" s="34" t="s">
        <v>24</v>
      </c>
      <c r="J68" s="36">
        <v>0</v>
      </c>
      <c r="K68" s="36">
        <v>0</v>
      </c>
      <c r="L68" s="36"/>
      <c r="M68" s="31">
        <f t="shared" ref="M68:M80" si="8">G68*J68</f>
        <v>0</v>
      </c>
      <c r="N68" s="31">
        <f t="shared" ref="N68:N80" si="9">G68*K68</f>
        <v>0</v>
      </c>
      <c r="O68" s="31">
        <f t="shared" ref="O68:O80" si="10">$L68*$G68</f>
        <v>0</v>
      </c>
      <c r="P68" s="35"/>
      <c r="Q68" s="31">
        <f t="shared" ref="Q68:Q80" si="11">P68*J68</f>
        <v>0</v>
      </c>
      <c r="R68" s="31"/>
      <c r="S68" s="31"/>
    </row>
    <row r="69" spans="1:19" x14ac:dyDescent="0.2">
      <c r="A69" s="32">
        <v>19750262</v>
      </c>
      <c r="B69" s="33">
        <v>25</v>
      </c>
      <c r="C69" s="34">
        <v>6066945</v>
      </c>
      <c r="D69" s="34">
        <v>5</v>
      </c>
      <c r="E69" s="34">
        <v>1150175</v>
      </c>
      <c r="F69" s="34" t="s">
        <v>1</v>
      </c>
      <c r="G69" s="35">
        <v>2</v>
      </c>
      <c r="H69" s="34" t="s">
        <v>13</v>
      </c>
      <c r="I69" s="34" t="s">
        <v>14</v>
      </c>
      <c r="J69" s="36">
        <v>0</v>
      </c>
      <c r="K69" s="36">
        <v>0</v>
      </c>
      <c r="L69" s="36"/>
      <c r="M69" s="31">
        <f t="shared" si="8"/>
        <v>0</v>
      </c>
      <c r="N69" s="31">
        <f t="shared" si="9"/>
        <v>0</v>
      </c>
      <c r="O69" s="31">
        <f t="shared" si="10"/>
        <v>0</v>
      </c>
      <c r="P69" s="35"/>
      <c r="Q69" s="31">
        <f t="shared" si="11"/>
        <v>0</v>
      </c>
      <c r="R69" s="31"/>
      <c r="S69" s="31"/>
    </row>
    <row r="70" spans="1:19" x14ac:dyDescent="0.2">
      <c r="A70" s="32">
        <v>19749482</v>
      </c>
      <c r="B70" s="33">
        <v>11</v>
      </c>
      <c r="C70" s="34">
        <v>6066944</v>
      </c>
      <c r="D70" s="34">
        <v>1</v>
      </c>
      <c r="E70" s="34" t="s">
        <v>0</v>
      </c>
      <c r="F70" s="34" t="s">
        <v>1</v>
      </c>
      <c r="G70" s="35">
        <v>145</v>
      </c>
      <c r="H70" s="34" t="s">
        <v>2</v>
      </c>
      <c r="I70" s="34" t="s">
        <v>3</v>
      </c>
      <c r="J70" s="36">
        <v>27.5</v>
      </c>
      <c r="K70" s="36">
        <v>38.5</v>
      </c>
      <c r="L70" s="36"/>
      <c r="M70" s="31">
        <f t="shared" si="8"/>
        <v>3987.5</v>
      </c>
      <c r="N70" s="31">
        <f t="shared" si="9"/>
        <v>5582.5</v>
      </c>
      <c r="O70" s="31">
        <f t="shared" si="10"/>
        <v>0</v>
      </c>
      <c r="P70" s="35"/>
      <c r="Q70" s="31">
        <f t="shared" si="11"/>
        <v>0</v>
      </c>
      <c r="R70" s="31"/>
      <c r="S70" s="31"/>
    </row>
    <row r="71" spans="1:19" x14ac:dyDescent="0.2">
      <c r="A71" s="32">
        <v>19750002</v>
      </c>
      <c r="B71" s="33">
        <v>12</v>
      </c>
      <c r="C71" s="34">
        <v>6066944</v>
      </c>
      <c r="D71" s="34">
        <v>2</v>
      </c>
      <c r="E71" s="34" t="s">
        <v>4</v>
      </c>
      <c r="F71" s="34" t="s">
        <v>1</v>
      </c>
      <c r="G71" s="35">
        <v>2500</v>
      </c>
      <c r="H71" s="34" t="s">
        <v>5</v>
      </c>
      <c r="I71" s="34" t="s">
        <v>6</v>
      </c>
      <c r="J71" s="36">
        <v>0</v>
      </c>
      <c r="K71" s="36">
        <v>0</v>
      </c>
      <c r="L71" s="36">
        <v>1</v>
      </c>
      <c r="M71" s="31">
        <f t="shared" si="8"/>
        <v>0</v>
      </c>
      <c r="N71" s="31">
        <f t="shared" si="9"/>
        <v>0</v>
      </c>
      <c r="O71" s="31">
        <f t="shared" si="10"/>
        <v>2500</v>
      </c>
      <c r="P71" s="35"/>
      <c r="Q71" s="31">
        <f t="shared" si="11"/>
        <v>0</v>
      </c>
      <c r="R71" s="31"/>
      <c r="S71" s="31"/>
    </row>
    <row r="72" spans="1:19" x14ac:dyDescent="0.2">
      <c r="A72" s="32">
        <v>19750022</v>
      </c>
      <c r="B72" s="33">
        <v>13</v>
      </c>
      <c r="C72" s="34">
        <v>6066944</v>
      </c>
      <c r="D72" s="34">
        <v>3</v>
      </c>
      <c r="E72" s="34" t="s">
        <v>7</v>
      </c>
      <c r="F72" s="34" t="s">
        <v>1</v>
      </c>
      <c r="G72" s="35">
        <v>600</v>
      </c>
      <c r="H72" s="34" t="s">
        <v>5</v>
      </c>
      <c r="I72" s="34" t="s">
        <v>8</v>
      </c>
      <c r="J72" s="36">
        <v>0</v>
      </c>
      <c r="K72" s="36">
        <v>0</v>
      </c>
      <c r="L72" s="36">
        <v>1</v>
      </c>
      <c r="M72" s="31">
        <f t="shared" si="8"/>
        <v>0</v>
      </c>
      <c r="N72" s="31">
        <f t="shared" si="9"/>
        <v>0</v>
      </c>
      <c r="O72" s="31">
        <f t="shared" si="10"/>
        <v>600</v>
      </c>
      <c r="P72" s="35"/>
      <c r="Q72" s="31">
        <f t="shared" si="11"/>
        <v>0</v>
      </c>
      <c r="R72" s="31"/>
      <c r="S72" s="31"/>
    </row>
    <row r="73" spans="1:19" x14ac:dyDescent="0.2">
      <c r="A73" s="32">
        <v>19750042</v>
      </c>
      <c r="B73" s="33">
        <v>14</v>
      </c>
      <c r="C73" s="34">
        <v>6066944</v>
      </c>
      <c r="D73" s="34">
        <v>4</v>
      </c>
      <c r="E73" s="34" t="s">
        <v>9</v>
      </c>
      <c r="F73" s="34" t="s">
        <v>1</v>
      </c>
      <c r="G73" s="35">
        <v>500</v>
      </c>
      <c r="H73" s="34" t="s">
        <v>5</v>
      </c>
      <c r="I73" s="34" t="s">
        <v>10</v>
      </c>
      <c r="J73" s="36">
        <v>3.5</v>
      </c>
      <c r="K73" s="36">
        <v>4.9000000000000004</v>
      </c>
      <c r="L73" s="36"/>
      <c r="M73" s="31">
        <f t="shared" si="8"/>
        <v>1750</v>
      </c>
      <c r="N73" s="31">
        <f t="shared" si="9"/>
        <v>2450</v>
      </c>
      <c r="O73" s="31">
        <f t="shared" si="10"/>
        <v>0</v>
      </c>
      <c r="P73" s="35"/>
      <c r="Q73" s="31">
        <f t="shared" si="11"/>
        <v>0</v>
      </c>
      <c r="R73" s="31"/>
      <c r="S73" s="31"/>
    </row>
    <row r="74" spans="1:19" x14ac:dyDescent="0.2">
      <c r="A74" s="32">
        <v>19750282</v>
      </c>
      <c r="B74" s="33">
        <v>15</v>
      </c>
      <c r="C74" s="34">
        <v>6066944</v>
      </c>
      <c r="D74" s="34">
        <v>5</v>
      </c>
      <c r="E74" s="34" t="s">
        <v>11</v>
      </c>
      <c r="F74" s="34" t="s">
        <v>1</v>
      </c>
      <c r="G74" s="35">
        <v>180</v>
      </c>
      <c r="H74" s="34" t="s">
        <v>5</v>
      </c>
      <c r="I74" s="34" t="s">
        <v>12</v>
      </c>
      <c r="J74" s="36">
        <v>0</v>
      </c>
      <c r="K74" s="36">
        <v>0</v>
      </c>
      <c r="L74" s="36"/>
      <c r="M74" s="31">
        <f t="shared" si="8"/>
        <v>0</v>
      </c>
      <c r="N74" s="31">
        <f t="shared" si="9"/>
        <v>0</v>
      </c>
      <c r="O74" s="31">
        <f t="shared" si="10"/>
        <v>0</v>
      </c>
      <c r="P74" s="35"/>
      <c r="Q74" s="31">
        <f t="shared" si="11"/>
        <v>0</v>
      </c>
      <c r="R74" s="31"/>
      <c r="S74" s="31"/>
    </row>
    <row r="75" spans="1:19" x14ac:dyDescent="0.2">
      <c r="A75" s="32">
        <v>19749622</v>
      </c>
      <c r="B75" s="33">
        <v>16</v>
      </c>
      <c r="C75" s="34">
        <v>6066944</v>
      </c>
      <c r="D75" s="34">
        <v>6</v>
      </c>
      <c r="E75" s="34">
        <v>1150175</v>
      </c>
      <c r="F75" s="34" t="s">
        <v>1</v>
      </c>
      <c r="G75" s="35">
        <v>2</v>
      </c>
      <c r="H75" s="34" t="s">
        <v>13</v>
      </c>
      <c r="I75" s="34" t="s">
        <v>14</v>
      </c>
      <c r="J75" s="36">
        <v>0</v>
      </c>
      <c r="K75" s="36">
        <v>0</v>
      </c>
      <c r="L75" s="36"/>
      <c r="M75" s="31">
        <f t="shared" si="8"/>
        <v>0</v>
      </c>
      <c r="N75" s="31">
        <f t="shared" si="9"/>
        <v>0</v>
      </c>
      <c r="O75" s="31">
        <f t="shared" si="10"/>
        <v>0</v>
      </c>
      <c r="P75" s="35"/>
      <c r="Q75" s="31">
        <f t="shared" si="11"/>
        <v>0</v>
      </c>
      <c r="R75" s="31"/>
      <c r="S75" s="31"/>
    </row>
    <row r="76" spans="1:19" x14ac:dyDescent="0.2">
      <c r="A76" s="32">
        <v>19750142</v>
      </c>
      <c r="B76" s="33">
        <v>21</v>
      </c>
      <c r="C76" s="34">
        <v>6066945</v>
      </c>
      <c r="D76" s="34">
        <v>1</v>
      </c>
      <c r="E76" s="34" t="s">
        <v>15</v>
      </c>
      <c r="F76" s="34" t="s">
        <v>25</v>
      </c>
      <c r="G76" s="35">
        <v>2500</v>
      </c>
      <c r="H76" s="34" t="s">
        <v>16</v>
      </c>
      <c r="I76" s="34" t="s">
        <v>17</v>
      </c>
      <c r="J76" s="36">
        <v>1</v>
      </c>
      <c r="K76" s="36">
        <v>1.4</v>
      </c>
      <c r="L76" s="36"/>
      <c r="M76" s="31">
        <f t="shared" si="8"/>
        <v>2500</v>
      </c>
      <c r="N76" s="31">
        <f t="shared" si="9"/>
        <v>3500</v>
      </c>
      <c r="O76" s="31">
        <f t="shared" si="10"/>
        <v>0</v>
      </c>
      <c r="P76" s="35"/>
      <c r="Q76" s="31">
        <f t="shared" si="11"/>
        <v>0</v>
      </c>
      <c r="R76" s="31"/>
      <c r="S76" s="31"/>
    </row>
    <row r="77" spans="1:19" x14ac:dyDescent="0.2">
      <c r="A77" s="32">
        <v>19750162</v>
      </c>
      <c r="B77" s="33">
        <v>22</v>
      </c>
      <c r="C77" s="34">
        <v>6066945</v>
      </c>
      <c r="D77" s="34">
        <v>2</v>
      </c>
      <c r="E77" s="34" t="s">
        <v>18</v>
      </c>
      <c r="F77" s="34" t="s">
        <v>1</v>
      </c>
      <c r="G77" s="35">
        <v>700</v>
      </c>
      <c r="H77" s="34" t="s">
        <v>16</v>
      </c>
      <c r="I77" s="34" t="s">
        <v>19</v>
      </c>
      <c r="J77" s="36">
        <v>12.5</v>
      </c>
      <c r="K77" s="36">
        <v>17.5</v>
      </c>
      <c r="L77" s="36"/>
      <c r="M77" s="31">
        <f t="shared" si="8"/>
        <v>8750</v>
      </c>
      <c r="N77" s="31">
        <f t="shared" si="9"/>
        <v>12250</v>
      </c>
      <c r="O77" s="31">
        <f t="shared" si="10"/>
        <v>0</v>
      </c>
      <c r="P77" s="35"/>
      <c r="Q77" s="31">
        <f t="shared" si="11"/>
        <v>0</v>
      </c>
      <c r="R77" s="31"/>
      <c r="S77" s="31"/>
    </row>
    <row r="78" spans="1:19" x14ac:dyDescent="0.2">
      <c r="A78" s="32">
        <v>19750202</v>
      </c>
      <c r="B78" s="33">
        <v>23</v>
      </c>
      <c r="C78" s="34">
        <v>6066945</v>
      </c>
      <c r="D78" s="34">
        <v>3</v>
      </c>
      <c r="E78" s="34" t="s">
        <v>20</v>
      </c>
      <c r="F78" s="34" t="s">
        <v>1</v>
      </c>
      <c r="G78" s="35">
        <v>500</v>
      </c>
      <c r="H78" s="34" t="s">
        <v>16</v>
      </c>
      <c r="I78" s="34" t="s">
        <v>21</v>
      </c>
      <c r="J78" s="36">
        <v>7.5</v>
      </c>
      <c r="K78" s="36">
        <v>10.5</v>
      </c>
      <c r="L78" s="36"/>
      <c r="M78" s="31">
        <f t="shared" si="8"/>
        <v>3750</v>
      </c>
      <c r="N78" s="31">
        <f t="shared" si="9"/>
        <v>5250</v>
      </c>
      <c r="O78" s="31">
        <f t="shared" si="10"/>
        <v>0</v>
      </c>
      <c r="P78" s="35"/>
      <c r="Q78" s="31">
        <f t="shared" si="11"/>
        <v>0</v>
      </c>
      <c r="R78" s="31"/>
      <c r="S78" s="31"/>
    </row>
    <row r="79" spans="1:19" x14ac:dyDescent="0.2">
      <c r="A79" s="32">
        <v>19750222</v>
      </c>
      <c r="B79" s="33">
        <v>24</v>
      </c>
      <c r="C79" s="34">
        <v>6066945</v>
      </c>
      <c r="D79" s="34">
        <v>4</v>
      </c>
      <c r="E79" s="34" t="s">
        <v>22</v>
      </c>
      <c r="F79" s="34" t="s">
        <v>1</v>
      </c>
      <c r="G79" s="35">
        <v>480</v>
      </c>
      <c r="H79" s="34" t="s">
        <v>23</v>
      </c>
      <c r="I79" s="34" t="s">
        <v>24</v>
      </c>
      <c r="J79" s="36">
        <v>0</v>
      </c>
      <c r="K79" s="36">
        <v>0</v>
      </c>
      <c r="L79" s="36"/>
      <c r="M79" s="31">
        <f t="shared" si="8"/>
        <v>0</v>
      </c>
      <c r="N79" s="31">
        <f t="shared" si="9"/>
        <v>0</v>
      </c>
      <c r="O79" s="31">
        <f t="shared" si="10"/>
        <v>0</v>
      </c>
      <c r="P79" s="35"/>
      <c r="Q79" s="31">
        <f t="shared" si="11"/>
        <v>0</v>
      </c>
      <c r="R79" s="31"/>
      <c r="S79" s="31"/>
    </row>
    <row r="80" spans="1:19" x14ac:dyDescent="0.2">
      <c r="A80" s="32">
        <v>19750262</v>
      </c>
      <c r="B80" s="33">
        <v>25</v>
      </c>
      <c r="C80" s="34">
        <v>6066945</v>
      </c>
      <c r="D80" s="34">
        <v>5</v>
      </c>
      <c r="E80" s="34">
        <v>1150175</v>
      </c>
      <c r="F80" s="34" t="s">
        <v>1</v>
      </c>
      <c r="G80" s="35">
        <v>2</v>
      </c>
      <c r="H80" s="34" t="s">
        <v>13</v>
      </c>
      <c r="I80" s="34" t="s">
        <v>14</v>
      </c>
      <c r="J80" s="36">
        <v>0</v>
      </c>
      <c r="K80" s="36">
        <v>0</v>
      </c>
      <c r="L80" s="36"/>
      <c r="M80" s="31">
        <f t="shared" si="8"/>
        <v>0</v>
      </c>
      <c r="N80" s="31">
        <f t="shared" si="9"/>
        <v>0</v>
      </c>
      <c r="O80" s="31">
        <f t="shared" si="10"/>
        <v>0</v>
      </c>
      <c r="P80" s="35"/>
      <c r="Q80" s="31">
        <f t="shared" si="11"/>
        <v>0</v>
      </c>
      <c r="R80" s="31"/>
      <c r="S80" s="31"/>
    </row>
    <row r="82" spans="7:17" x14ac:dyDescent="0.2">
      <c r="G82" s="16"/>
      <c r="I82" s="17" t="s">
        <v>27</v>
      </c>
      <c r="M82" s="18"/>
      <c r="N82" s="18"/>
      <c r="O82" s="18"/>
      <c r="P82" s="16"/>
      <c r="Q82" s="18"/>
    </row>
    <row r="83" spans="7:17" x14ac:dyDescent="0.2">
      <c r="G83" s="16">
        <f>SUMIF(F3:F80,"&lt;&gt;J",G3:G80) + G82</f>
        <v>39263</v>
      </c>
      <c r="I83" s="17" t="s">
        <v>26</v>
      </c>
      <c r="M83" s="18">
        <f>SUMIF(F3:F80,"&lt;&gt;J",M3:M80) + M82</f>
        <v>127662.5</v>
      </c>
      <c r="N83" s="18">
        <f>SUMIF(F3:F80,"&lt;&gt;J",N3:N80) + N82</f>
        <v>178727.5</v>
      </c>
      <c r="O83" s="18">
        <f>SUMIF(F3:F80,"&lt;&gt;J",O3:O80) + O82</f>
        <v>21700</v>
      </c>
      <c r="P83" s="16">
        <f>SUMIF(F3:F80,"&lt;&gt;J",P3:P80) + P82</f>
        <v>0</v>
      </c>
      <c r="Q83" s="18">
        <f>SUMIF(F3:F80,"&lt;&gt;J",Q3:Q80) + Q82</f>
        <v>0</v>
      </c>
    </row>
    <row r="85" spans="7:17" x14ac:dyDescent="0.2">
      <c r="G85" s="16">
        <f>SUMIFS(G3:G80, F3:F80,"&lt;&gt;J",C3:C80, I85)</f>
        <v>27489</v>
      </c>
      <c r="I85" s="19">
        <v>6066944</v>
      </c>
      <c r="M85" s="18">
        <f>SUMIFS(M3:M80, F3:F80,"&lt;&gt;J",C3:C80, I85)</f>
        <v>40162.5</v>
      </c>
      <c r="N85" s="18">
        <f>SUMIFS(N3:N80, F3:F80,"&lt;&gt;J",C3:C80, I85)</f>
        <v>56227.5</v>
      </c>
      <c r="O85" s="18">
        <f>SUMIFS(O3:O80, F3:F80,"&lt;&gt;J",C3:C80, I85)</f>
        <v>21700</v>
      </c>
      <c r="P85" s="16">
        <f>SUMIFS(P3:P80, F3:F80,"&lt;&gt;J",C3:C80, I85)</f>
        <v>0</v>
      </c>
      <c r="Q85" s="18">
        <f>SUMIFS(Q3:Q80, F3:F80,"&lt;&gt;J",C3:C80, I85)</f>
        <v>0</v>
      </c>
    </row>
    <row r="86" spans="7:17" x14ac:dyDescent="0.2">
      <c r="G86" s="16">
        <f>SUMIFS(G3:G80, F3:F80,"&lt;&gt;J",C3:C80, I86)</f>
        <v>11774</v>
      </c>
      <c r="I86" s="19">
        <v>6066945</v>
      </c>
      <c r="M86" s="18">
        <f>SUMIFS(M3:M80, F3:F80,"&lt;&gt;J",C3:C80, I86)</f>
        <v>87500</v>
      </c>
      <c r="N86" s="18">
        <f>SUMIFS(N3:N80, F3:F80,"&lt;&gt;J",C3:C80, I86)</f>
        <v>122500</v>
      </c>
      <c r="O86" s="18">
        <f>SUMIFS(O3:O80, F3:F80,"&lt;&gt;J",C3:C80, I86)</f>
        <v>0</v>
      </c>
      <c r="P86" s="16">
        <f>SUMIFS(P3:P80, F3:F80,"&lt;&gt;J",C3:C80, I86)</f>
        <v>0</v>
      </c>
      <c r="Q86" s="18">
        <f>SUMIFS(Q3:Q80, F3:F80,"&lt;&gt;J",C3:C80, I86)</f>
        <v>0</v>
      </c>
    </row>
  </sheetData>
  <conditionalFormatting sqref="C4:S80">
    <cfRule type="expression" dxfId="21" priority="1" stopIfTrue="1">
      <formula>INDIRECT("F" &amp; ROW())="J"</formula>
    </cfRule>
  </conditionalFormatting>
  <pageMargins left="0.19685039370078741" right="0.19685039370078741" top="0.15748031496062992" bottom="0.3" header="0.15748031496062992" footer="0.11811023622047245"/>
  <pageSetup paperSize="9" scale="61" fitToHeight="100" orientation="landscape" r:id="rId1"/>
  <headerFooter>
    <oddFooter>&amp;L&amp;F&amp;R&amp;P/&amp;N</oddFooter>
  </headerFooter>
  <tableParts count="1">
    <tablePart r:id="rId2"/>
  </tableParts>
</worksheet>
</file>

<file path=customUI/customUI.xml><?xml version="1.0" encoding="utf-8"?>
<customUI xmlns="http://schemas.microsoft.com/office/2006/01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TabelBewerkingen" label="Tabel">
          <button id="MaakOpmaak" label="Maken Tabel" size="large" onAction="MaakOpmaak" imageMso="CacheListData"/>
          <separator id="Scheidingsteken1"/>
          <button id="SchonenOpmaak" label="Ongedaan Maken Tabel" size="large" onAction="SchonenOpmaak" imageMso="TableStyleClear"/>
        </group>
        <group id="KolomBewerkingen" label="Kolommen">
          <button id="InvoegenTabelKolomLinks" label="Invoegen Tabel Kolom Links" size="large" onAction="InvoegenTabelKolomLinks" imageMso="TableColumnsInsertLeft"/>
          <separator id="Scheidingsteken6"/>
          <button id="VerwijderenTabelKolom" label="Verwijderen Tabel Kolom" size="large" onAction="VerwijderenTabelKolom" imageMso="TableDeleteRowsAndColumnsMenuWord"/>
        </group>
        <group id="TotaalRegels" label="TotaalRegels">
          <button id="MaakTotaalRegels" label="Maken Totaalregels" size="large" onAction="MaakTotaalRegels" imageMso="OutlineSubtotals"/>
          <separator id="Scheidingsteken2"/>
          <button id="SchoonTotaalRegels" label="Ongedaan Maken Totaalregels" size="large" onAction="SchoonTotaalRegels" imageMso="PivotTableClearMenu"/>
        </group>
        <group id="Totaal" label="Totaal">
          <button id="VerwerkOfferteRegels" label="Maken Tabel &amp;&amp; Totaalregels" size="large" onAction="VerwerkOfferteRegels" imageMso="TableSharePointListsModifyColumnsAndSetting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offerte incl. totalen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Hessel Bijlsma (TemplateBuilding)</dc:creator>
  <cp:lastModifiedBy>Bijlsma, H. (Hessel)</cp:lastModifiedBy>
  <cp:lastPrinted>2017-10-04T06:21:18Z</cp:lastPrinted>
  <dcterms:created xsi:type="dcterms:W3CDTF">2015-02-02T06:51:38Z</dcterms:created>
  <dcterms:modified xsi:type="dcterms:W3CDTF">2017-10-04T06:21:33Z</dcterms:modified>
</cp:coreProperties>
</file>