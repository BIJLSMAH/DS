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mSEPACreditTransfer"/>
  <mc:AlternateContent xmlns:mc="http://schemas.openxmlformats.org/markup-compatibility/2006">
    <mc:Choice Requires="x15">
      <x15ac:absPath xmlns:x15ac="http://schemas.microsoft.com/office/spreadsheetml/2010/11/ac" url="\\GULP-EN-GEUL\Gulp en Geul Journaal\Bezorging\Betalingen-bezorgers\"/>
    </mc:Choice>
  </mc:AlternateContent>
  <bookViews>
    <workbookView showVerticalScroll="0" xWindow="0" yWindow="0" windowWidth="28800" windowHeight="15765" activeTab="3"/>
  </bookViews>
  <sheets>
    <sheet name="Blad1" sheetId="25" r:id="rId1"/>
    <sheet name="Release Notes" sheetId="24" r:id="rId2"/>
    <sheet name="Instellingen" sheetId="21" r:id="rId3"/>
    <sheet name="Transacties" sheetId="3" r:id="rId4"/>
    <sheet name="pain.001.001.03" sheetId="13" state="veryHidden" r:id="rId5"/>
    <sheet name="pain.001.001.04" sheetId="23" state="veryHidden" r:id="rId6"/>
    <sheet name="Landcodes, info" sheetId="22" state="veryHidden" r:id="rId7"/>
  </sheets>
  <definedNames>
    <definedName name="_xlnm._FilterDatabase" localSheetId="6" hidden="1">'Landcodes, info'!$C$5:$K$254</definedName>
    <definedName name="_xlnm._FilterDatabase" localSheetId="4" hidden="1">pain.001.001.03!$C$4:$H$217</definedName>
    <definedName name="_xlnm._FilterDatabase" localSheetId="5" hidden="1">pain.001.001.04!$C$4:$H$975</definedName>
    <definedName name="Aantal_Ingevulde_Bedragen">COUNTIF(INDIRECT("Transacties!$E$20:$E$"&amp; Instellingen!$D$48),"&lt;&gt;")</definedName>
    <definedName name="Aantal_Ingevulde_BICCodes">COUNTIF(INDIRECT("Transacties!$D$20:$D$"&amp; Instellingen!$D$48),"&lt;&gt;")</definedName>
    <definedName name="Aantal_Ingevulde_IBANnummers">Instellingen!$D$31</definedName>
    <definedName name="Aantal_Ingevulde_Namen">COUNTIF(INDIRECT("Transacties!$F$20:$F$"&amp; Instellingen!$D$48),"&lt;&gt;")</definedName>
    <definedName name="Aantal_Ingevulde_Omschrijvingen">COUNTIF(INDIRECT("Transacties!$K$20:$K$"&amp; Instellingen!$D$48),"&lt;&gt;")</definedName>
    <definedName name="Aantal_Ingevulde_TransactieIDs">COUNTIF(INDIRECT("Transacties!$J$20:$J$"&amp; Instellingen!$D$48),"&lt;&gt;")</definedName>
    <definedName name="Filler" localSheetId="6">#REF!</definedName>
    <definedName name="Filler" localSheetId="5">#REF!</definedName>
    <definedName name="LaatsteRegel_Ingevulde_Bedragen">MAX(IF(INDIRECT("Transacties!$E$20:$E$"&amp; Instellingen!$D$48)="",0,1)*ROW(INDIRECT("20:" &amp; Instellingen!$D$48)))</definedName>
    <definedName name="LaatsteRegel_Ingevulde_BICCodes">MAX(IF(INDIRECT("Transacties!$D$20:$D$"&amp; Instellingen!$D$48)="",0,1)*ROW(INDIRECT("20:" &amp; Instellingen!$D$48)))</definedName>
    <definedName name="LaatsteRegel_Ingevulde_IBANnummers">MAX(IF(INDIRECT("Transacties!$C$20:$C$"&amp; Instellingen!$D$48)="",0,1)*ROW(INDIRECT("20:" &amp; Instellingen!$D$48)))</definedName>
    <definedName name="LaatsteRegel_Ingevulde_Namen">MAX(IF(INDIRECT("Transacties!$F$20:$F$"&amp; Instellingen!$D$48)="",0,1)*ROW(INDIRECT("20:" &amp; Instellingen!$D$48)))</definedName>
    <definedName name="LaatsteRegel_Ingevulde_Omschrijvingen">MAX(IF(INDIRECT("Transacties!$K$20:$K$"&amp; Instellingen!$D$48)="",0,1)*ROW(INDIRECT("20:" &amp; Instellingen!$D$48)))</definedName>
    <definedName name="LaatsteRegel_Ingevulde_TransactieIDs">MAX(IF(INDIRECT("Transacties!$J$20:$J$"&amp; Instellingen!$D$48)="",0,1)*ROW(INDIRECT("20:" &amp; Instellingen!$D$48)))</definedName>
    <definedName name="MaximumBedrag">Instellingen!$H$7</definedName>
    <definedName name="MinimumBedrag">Instellingen!$H$6</definedName>
    <definedName name="TotaalBedrag" localSheetId="6">#REF!</definedName>
    <definedName name="TotaalBedrag" localSheetId="5">#REF!</definedName>
    <definedName name="TotaalPosten" localSheetId="6">#REF!</definedName>
    <definedName name="TotaalPosten" localSheetId="5">#REF!</definedName>
    <definedName name="TotaalRekeningNummers" localSheetId="6">#REF!</definedName>
    <definedName name="TotaalRekeningNummers" localSheetId="5">#REF!</definedName>
    <definedName name="VakantieDagen">Instellingen!$F$31:$G$39</definedName>
  </definedNames>
  <calcPr calcId="152511"/>
</workbook>
</file>

<file path=xl/calcChain.xml><?xml version="1.0" encoding="utf-8"?>
<calcChain xmlns="http://schemas.openxmlformats.org/spreadsheetml/2006/main">
  <c r="C20" i="3" l="1"/>
  <c r="D20" i="3"/>
  <c r="E20" i="3"/>
  <c r="F20" i="3"/>
  <c r="I20" i="3"/>
  <c r="J20" i="3"/>
  <c r="K20" i="3"/>
  <c r="G29" i="21" l="1"/>
  <c r="A21" i="3"/>
  <c r="A22" i="3" s="1"/>
  <c r="A23" i="3" s="1"/>
  <c r="A24" i="3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G39" i="21"/>
  <c r="F39" i="21"/>
  <c r="G38" i="21"/>
  <c r="F38" i="21"/>
  <c r="G37" i="21"/>
  <c r="F37" i="21"/>
  <c r="G36" i="21"/>
  <c r="F36" i="21"/>
  <c r="F29" i="21"/>
  <c r="D12" i="21"/>
  <c r="H14" i="3" s="1"/>
  <c r="H8" i="21"/>
  <c r="D8" i="21"/>
  <c r="D10" i="21"/>
  <c r="D9" i="21"/>
  <c r="D7" i="21"/>
  <c r="D6" i="21"/>
  <c r="H15" i="3"/>
  <c r="D31" i="21" l="1"/>
  <c r="D32" i="21" s="1"/>
  <c r="M1377" i="3"/>
  <c r="M846" i="3"/>
  <c r="M1475" i="3"/>
  <c r="M536" i="3"/>
  <c r="M96" i="3"/>
  <c r="M530" i="3"/>
  <c r="M1058" i="3"/>
  <c r="M894" i="3"/>
  <c r="M340" i="3"/>
  <c r="M1089" i="3"/>
  <c r="M1415" i="3"/>
  <c r="M1026" i="3"/>
  <c r="M97" i="3"/>
  <c r="M304" i="3"/>
  <c r="M182" i="3"/>
  <c r="M1482" i="3"/>
  <c r="M1341" i="3"/>
  <c r="M546" i="3"/>
  <c r="M1073" i="3"/>
  <c r="M101" i="3"/>
  <c r="M471" i="3"/>
  <c r="M655" i="3"/>
  <c r="M460" i="3"/>
  <c r="M1240" i="3"/>
  <c r="M1199" i="3"/>
  <c r="M1483" i="3"/>
  <c r="M1092" i="3"/>
  <c r="M1095" i="3"/>
  <c r="M587" i="3"/>
  <c r="M104" i="3"/>
  <c r="M1332" i="3"/>
  <c r="M335" i="3"/>
  <c r="M1093" i="3"/>
  <c r="M1320" i="3"/>
  <c r="M924" i="3"/>
  <c r="M805" i="3"/>
  <c r="M1077" i="3"/>
  <c r="M589" i="3"/>
  <c r="M1380" i="3"/>
  <c r="M1195" i="3"/>
  <c r="M307" i="3"/>
  <c r="M1142" i="3"/>
  <c r="M416" i="3"/>
  <c r="M30" i="3"/>
  <c r="M1147" i="3"/>
  <c r="M1246" i="3"/>
  <c r="M798" i="3"/>
  <c r="M670" i="3"/>
  <c r="M1390" i="3"/>
  <c r="M499" i="3"/>
  <c r="M949" i="3"/>
  <c r="M1044" i="3"/>
  <c r="M94" i="3"/>
  <c r="M647" i="3"/>
  <c r="M75" i="3"/>
  <c r="M303" i="3"/>
  <c r="M761" i="3"/>
  <c r="M401" i="3"/>
  <c r="M157" i="3"/>
  <c r="M269" i="3"/>
  <c r="M216" i="3"/>
  <c r="M1441" i="3"/>
  <c r="M834" i="3"/>
  <c r="M319" i="3"/>
  <c r="M56" i="3"/>
  <c r="M945" i="3"/>
  <c r="M255" i="3"/>
  <c r="M1317" i="3"/>
  <c r="M1328" i="3"/>
  <c r="M577" i="3"/>
  <c r="M107" i="3"/>
  <c r="M978" i="3"/>
  <c r="M509" i="3"/>
  <c r="M1037" i="3"/>
  <c r="M1275" i="3"/>
  <c r="M1359" i="3"/>
  <c r="M411" i="3"/>
  <c r="M59" i="3"/>
  <c r="M420" i="3"/>
  <c r="M27" i="3"/>
  <c r="M1518" i="3"/>
  <c r="M591" i="3"/>
  <c r="M440" i="3"/>
  <c r="M455" i="3"/>
  <c r="M661" i="3"/>
  <c r="M246" i="3"/>
  <c r="M1041" i="3"/>
  <c r="M1096" i="3"/>
  <c r="M513" i="3"/>
  <c r="M44" i="3"/>
  <c r="M434" i="3"/>
  <c r="M929" i="3"/>
  <c r="M592" i="3"/>
  <c r="M321" i="3"/>
  <c r="M737" i="3"/>
  <c r="M740" i="3"/>
  <c r="M1395" i="3"/>
  <c r="M759" i="3"/>
  <c r="M907" i="3"/>
  <c r="M878" i="3"/>
  <c r="D16" i="21"/>
  <c r="M524" i="3"/>
  <c r="M586" i="3"/>
  <c r="M219" i="3"/>
  <c r="M437" i="3"/>
  <c r="M1061" i="3"/>
  <c r="M1154" i="3"/>
  <c r="M236" i="3"/>
  <c r="M1051" i="3"/>
  <c r="M1065" i="3"/>
  <c r="M1220" i="3"/>
  <c r="M899" i="3"/>
  <c r="M366" i="3"/>
  <c r="M1349" i="3"/>
  <c r="M1014" i="3"/>
  <c r="M657" i="3"/>
  <c r="M232" i="3"/>
  <c r="M1020" i="3"/>
  <c r="M1366" i="3"/>
  <c r="M159" i="3"/>
  <c r="M1025" i="3"/>
  <c r="M960" i="3"/>
  <c r="M817" i="3"/>
  <c r="M325" i="3"/>
  <c r="M181" i="3"/>
  <c r="M897" i="3"/>
  <c r="M1272" i="3"/>
  <c r="M857" i="3"/>
  <c r="M1231" i="3"/>
  <c r="M829" i="3"/>
  <c r="M690" i="3"/>
  <c r="M1050" i="3"/>
  <c r="M1326" i="3"/>
  <c r="M239" i="3"/>
  <c r="M404" i="3"/>
  <c r="M542" i="3"/>
  <c r="M721" i="3"/>
  <c r="M114" i="3"/>
  <c r="M951" i="3"/>
  <c r="M77" i="3"/>
  <c r="M994" i="3"/>
  <c r="M1232" i="3"/>
  <c r="M1418" i="3"/>
  <c r="M365" i="3"/>
  <c r="M131" i="3"/>
  <c r="M1386" i="3"/>
  <c r="M731" i="3"/>
  <c r="M1145" i="3"/>
  <c r="M1223" i="3"/>
  <c r="M1177" i="3"/>
  <c r="M660" i="3"/>
  <c r="M644" i="3"/>
  <c r="M1146" i="3"/>
  <c r="M447" i="3"/>
  <c r="M1180" i="3"/>
  <c r="M910" i="3"/>
  <c r="M869" i="3"/>
  <c r="M360" i="3"/>
  <c r="M28" i="3"/>
  <c r="M927" i="3"/>
  <c r="M40" i="3"/>
  <c r="M62" i="3"/>
  <c r="M871" i="3"/>
  <c r="M1439" i="3"/>
  <c r="M151" i="3"/>
  <c r="M1300" i="3"/>
  <c r="M866" i="3"/>
  <c r="M715" i="3"/>
  <c r="M1234" i="3"/>
  <c r="M962" i="3"/>
  <c r="M1389" i="3"/>
  <c r="M1421" i="3"/>
  <c r="M69" i="3"/>
  <c r="M1337" i="3"/>
  <c r="M842" i="3"/>
  <c r="M771" i="3"/>
  <c r="M809" i="3"/>
  <c r="M252" i="3"/>
  <c r="M1226" i="3"/>
  <c r="D46" i="21"/>
  <c r="M498" i="3"/>
  <c r="M487" i="3"/>
  <c r="M89" i="3"/>
  <c r="M700" i="3"/>
  <c r="M565" i="3"/>
  <c r="M1105" i="3"/>
  <c r="M680" i="3"/>
  <c r="M298" i="3"/>
  <c r="M933" i="3"/>
  <c r="M1396" i="3"/>
  <c r="M686" i="3"/>
  <c r="M881" i="3"/>
  <c r="M864" i="3"/>
  <c r="M998" i="3"/>
  <c r="M604" i="3"/>
  <c r="M1032" i="3"/>
  <c r="M757" i="3"/>
  <c r="M1269" i="3"/>
  <c r="M1116" i="3"/>
  <c r="M362" i="3"/>
  <c r="M688" i="3"/>
  <c r="M552" i="3"/>
  <c r="M1279" i="3"/>
  <c r="M974" i="3"/>
  <c r="M969" i="3"/>
  <c r="M954" i="3"/>
  <c r="M1085" i="3"/>
  <c r="M74" i="3"/>
  <c r="M1508" i="3"/>
  <c r="M944" i="3"/>
  <c r="M1271" i="3"/>
  <c r="M1100" i="3"/>
  <c r="M1184" i="3"/>
  <c r="M1075" i="3"/>
  <c r="M855" i="3"/>
  <c r="M1312" i="3"/>
  <c r="M1216" i="3"/>
  <c r="M334" i="3"/>
  <c r="M574" i="3"/>
  <c r="M224" i="3"/>
  <c r="M20" i="3"/>
  <c r="M810" i="3"/>
  <c r="M81" i="3"/>
  <c r="M345" i="3"/>
  <c r="M1084" i="3"/>
  <c r="M1373" i="3"/>
  <c r="M1274" i="3"/>
  <c r="M198" i="3"/>
  <c r="M1327" i="3"/>
  <c r="M905" i="3"/>
  <c r="M1006" i="3"/>
  <c r="M1399" i="3"/>
  <c r="M841" i="3"/>
  <c r="M532" i="3"/>
  <c r="M1249" i="3"/>
  <c r="M1287" i="3"/>
  <c r="M1244" i="3"/>
  <c r="M162" i="3"/>
  <c r="M1162" i="3"/>
  <c r="M242" i="3"/>
  <c r="M86" i="3"/>
  <c r="M1094" i="3"/>
  <c r="M155" i="3"/>
  <c r="M25" i="3"/>
  <c r="M1356" i="3"/>
  <c r="M143" i="3"/>
  <c r="M1363" i="3"/>
  <c r="M145" i="3"/>
  <c r="M477" i="3"/>
  <c r="M1329" i="3"/>
  <c r="M979" i="3"/>
  <c r="M1081" i="3"/>
  <c r="M482" i="3"/>
  <c r="M1276" i="3"/>
  <c r="M467" i="3"/>
  <c r="M569" i="3"/>
  <c r="M743" i="3"/>
  <c r="M1455" i="3"/>
  <c r="M1143" i="3"/>
  <c r="M1108" i="3"/>
  <c r="M922" i="3"/>
  <c r="M1293" i="3"/>
  <c r="M1164" i="3"/>
  <c r="M254" i="3"/>
  <c r="M1383" i="3"/>
  <c r="M211" i="3"/>
  <c r="M458" i="3"/>
  <c r="M728" i="3"/>
  <c r="M1319" i="3"/>
  <c r="M1048" i="3"/>
  <c r="M515" i="3"/>
  <c r="M620" i="3"/>
  <c r="M875" i="3"/>
  <c r="M699" i="3"/>
  <c r="M921" i="3"/>
  <c r="M851" i="3"/>
  <c r="M183" i="3"/>
  <c r="M725" i="3"/>
  <c r="M502" i="3"/>
  <c r="M23" i="3"/>
  <c r="M1338" i="3"/>
  <c r="M1016" i="3"/>
  <c r="M201" i="3"/>
  <c r="M1466" i="3"/>
  <c r="M322" i="3"/>
  <c r="M873" i="3"/>
  <c r="M43" i="3"/>
  <c r="M1368" i="3"/>
  <c r="M625" i="3"/>
  <c r="M612" i="3"/>
  <c r="M1433" i="3"/>
  <c r="M865" i="3"/>
  <c r="M425" i="3"/>
  <c r="M1471" i="3"/>
  <c r="M376" i="3"/>
  <c r="M576" i="3"/>
  <c r="M788" i="3"/>
  <c r="M510" i="3"/>
  <c r="M784" i="3"/>
  <c r="M290" i="3"/>
  <c r="M1228" i="3"/>
  <c r="M701" i="3"/>
  <c r="M584" i="3"/>
  <c r="M985" i="3"/>
  <c r="M394" i="3"/>
  <c r="M938" i="3"/>
  <c r="M504" i="3"/>
  <c r="M1384" i="3"/>
  <c r="M1045" i="3"/>
  <c r="M314" i="3"/>
  <c r="M1437" i="3"/>
  <c r="M191" i="3"/>
  <c r="M579" i="3"/>
  <c r="M913" i="3"/>
  <c r="M291" i="3"/>
  <c r="M1281" i="3"/>
  <c r="M356" i="3"/>
  <c r="M66" i="3"/>
  <c r="M987" i="3"/>
  <c r="M981" i="3"/>
  <c r="M1498" i="3"/>
  <c r="M1066" i="3"/>
  <c r="M1141" i="3"/>
  <c r="M671" i="3"/>
  <c r="M68" i="3"/>
  <c r="M668" i="3"/>
  <c r="M840" i="3"/>
  <c r="M240" i="3"/>
  <c r="M1447" i="3"/>
  <c r="F31" i="21"/>
  <c r="M722" i="3"/>
  <c r="M1173" i="3"/>
  <c r="M363" i="3"/>
  <c r="M317" i="3"/>
  <c r="M188" i="3"/>
  <c r="M963" i="3"/>
  <c r="M1506" i="3"/>
  <c r="M602" i="3"/>
  <c r="M414" i="3"/>
  <c r="M403" i="3"/>
  <c r="M1114" i="3"/>
  <c r="M615" i="3"/>
  <c r="M115" i="3"/>
  <c r="M1107" i="3"/>
  <c r="M825" i="3"/>
  <c r="M719" i="3"/>
  <c r="M1005" i="3"/>
  <c r="M628" i="3"/>
  <c r="M837" i="3"/>
  <c r="M268" i="3"/>
  <c r="M275" i="3"/>
  <c r="M310" i="3"/>
  <c r="M92" i="3"/>
  <c r="M135" i="3"/>
  <c r="M1379" i="3"/>
  <c r="M596" i="3"/>
  <c r="M950" i="3"/>
  <c r="M634" i="3"/>
  <c r="M804" i="3"/>
  <c r="M210" i="3"/>
  <c r="M164" i="3"/>
  <c r="M1331" i="3"/>
  <c r="M1170" i="3"/>
  <c r="M562" i="3"/>
  <c r="M1282" i="3"/>
  <c r="M517" i="3"/>
  <c r="M1106" i="3"/>
  <c r="D34" i="21"/>
  <c r="M485" i="3"/>
  <c r="M1462" i="3"/>
  <c r="M1465" i="3"/>
  <c r="M1267" i="3"/>
  <c r="M332" i="3"/>
  <c r="M409" i="3"/>
  <c r="M1258" i="3"/>
  <c r="M446" i="3"/>
  <c r="M854" i="3"/>
  <c r="M877" i="3"/>
  <c r="M711" i="3"/>
  <c r="M1080" i="3"/>
  <c r="M261" i="3"/>
  <c r="M923" i="3"/>
  <c r="M1076" i="3"/>
  <c r="M1167" i="3"/>
  <c r="M1042" i="3"/>
  <c r="M1497" i="3"/>
  <c r="M650" i="3"/>
  <c r="M808" i="3"/>
  <c r="M792" i="3"/>
  <c r="M1428" i="3"/>
  <c r="M756" i="3"/>
  <c r="M186" i="3"/>
  <c r="M1354" i="3"/>
  <c r="M348" i="3"/>
  <c r="M862" i="3"/>
  <c r="M1407" i="3"/>
  <c r="M364" i="3"/>
  <c r="M489" i="3"/>
  <c r="M573" i="3"/>
  <c r="M1480" i="3"/>
  <c r="M1153" i="3"/>
  <c r="M1298" i="3"/>
  <c r="M1257" i="3"/>
  <c r="M736" i="3"/>
  <c r="M259" i="3"/>
  <c r="M1509" i="3"/>
  <c r="M117" i="3"/>
  <c r="M486" i="3"/>
  <c r="M469" i="3"/>
  <c r="M753" i="3"/>
  <c r="M24" i="3"/>
  <c r="M1200" i="3"/>
  <c r="M1135" i="3"/>
  <c r="M41" i="3"/>
  <c r="M407" i="3"/>
  <c r="M726" i="3"/>
  <c r="M649" i="3"/>
  <c r="M1218" i="3"/>
  <c r="M428" i="3"/>
  <c r="M271" i="3"/>
  <c r="M1203" i="3"/>
  <c r="M794" i="3"/>
  <c r="M1417" i="3"/>
  <c r="M1029" i="3"/>
  <c r="D42" i="21"/>
  <c r="M193" i="3"/>
  <c r="D13" i="21"/>
  <c r="M111" i="3"/>
  <c r="M61" i="3"/>
  <c r="M457" i="3"/>
  <c r="M1292" i="3"/>
  <c r="M1392" i="3"/>
  <c r="M1179" i="3"/>
  <c r="M1031" i="3"/>
  <c r="M1295" i="3"/>
  <c r="M601" i="3"/>
  <c r="M139" i="3"/>
  <c r="M324" i="3"/>
  <c r="M1353" i="3"/>
  <c r="M327" i="3"/>
  <c r="M105" i="3"/>
  <c r="M313" i="3"/>
  <c r="M564" i="3"/>
  <c r="M1196" i="3"/>
  <c r="M689" i="3"/>
  <c r="M270" i="3"/>
  <c r="M1217" i="3"/>
  <c r="M812" i="3"/>
  <c r="M1205" i="3"/>
  <c r="M838" i="3"/>
  <c r="M856" i="3"/>
  <c r="M122" i="3"/>
  <c r="M934" i="3"/>
  <c r="M1165" i="3"/>
  <c r="M912" i="3"/>
  <c r="M813" i="3"/>
  <c r="M465" i="3"/>
  <c r="M694" i="3"/>
  <c r="M1074" i="3"/>
  <c r="M1434" i="3"/>
  <c r="M556" i="3"/>
  <c r="M1385" i="3"/>
  <c r="M942" i="3"/>
  <c r="M309" i="3"/>
  <c r="M207" i="3"/>
  <c r="M336" i="3"/>
  <c r="M1457" i="3"/>
  <c r="M462" i="3"/>
  <c r="M797" i="3"/>
  <c r="M1364" i="3"/>
  <c r="M732" i="3"/>
  <c r="M230" i="3"/>
  <c r="M640" i="3"/>
  <c r="M1453" i="3"/>
  <c r="M367" i="3"/>
  <c r="M832" i="3"/>
  <c r="M1139" i="3"/>
  <c r="M1118" i="3"/>
  <c r="M103" i="3"/>
  <c r="M1172" i="3"/>
  <c r="M1505" i="3"/>
  <c r="M316" i="3"/>
  <c r="M663" i="3"/>
  <c r="M1345" i="3"/>
  <c r="M720" i="3"/>
  <c r="M1306" i="3"/>
  <c r="M1355" i="3"/>
  <c r="M618" i="3"/>
  <c r="M662" i="3"/>
  <c r="M67" i="3"/>
  <c r="M337" i="3"/>
  <c r="M836" i="3"/>
  <c r="M1056" i="3"/>
  <c r="M1285" i="3"/>
  <c r="M1400" i="3"/>
  <c r="M1416" i="3"/>
  <c r="M1166" i="3"/>
  <c r="D33" i="21"/>
  <c r="M1040" i="3"/>
  <c r="M72" i="3"/>
  <c r="M823" i="3"/>
  <c r="M176" i="3"/>
  <c r="M931" i="3"/>
  <c r="M1278" i="3"/>
  <c r="M90" i="3"/>
  <c r="M742" i="3"/>
  <c r="M673" i="3"/>
  <c r="M1052" i="3"/>
  <c r="M997" i="3"/>
  <c r="M346" i="3"/>
  <c r="M713" i="3"/>
  <c r="M1478" i="3"/>
  <c r="M822" i="3"/>
  <c r="M421" i="3"/>
  <c r="M623" i="3"/>
  <c r="M22" i="3"/>
  <c r="M1128" i="3"/>
  <c r="M607" i="3"/>
  <c r="M432" i="3"/>
  <c r="M772" i="3"/>
  <c r="M475" i="3"/>
  <c r="M1079" i="3"/>
  <c r="M685" i="3"/>
  <c r="M1238" i="3"/>
  <c r="M263" i="3"/>
  <c r="M632" i="3"/>
  <c r="M698" i="3"/>
  <c r="M374" i="3"/>
  <c r="M1408" i="3"/>
  <c r="M616" i="3"/>
  <c r="M1171" i="3"/>
  <c r="M1019" i="3"/>
  <c r="M868" i="3"/>
  <c r="M1157" i="3"/>
  <c r="M559" i="3"/>
  <c r="M1262" i="3"/>
  <c r="M1175" i="3"/>
  <c r="M807" i="3"/>
  <c r="M38" i="3"/>
  <c r="M141" i="3"/>
  <c r="M1123" i="3"/>
  <c r="M738" i="3"/>
  <c r="M729" i="3"/>
  <c r="M861" i="3"/>
  <c r="M383" i="3"/>
  <c r="M1070" i="3"/>
  <c r="M1336" i="3"/>
  <c r="M21" i="3"/>
  <c r="M1502" i="3"/>
  <c r="M543" i="3"/>
  <c r="M206" i="3"/>
  <c r="M1225" i="3"/>
  <c r="M1127" i="3"/>
  <c r="M429" i="3"/>
  <c r="M1266" i="3"/>
  <c r="M178" i="3"/>
  <c r="M1222" i="3"/>
  <c r="M937" i="3"/>
  <c r="M380" i="3"/>
  <c r="M29" i="3"/>
  <c r="M1343" i="3"/>
  <c r="M568" i="3"/>
  <c r="M233" i="3"/>
  <c r="M352" i="3"/>
  <c r="M1078" i="3"/>
  <c r="M936" i="3"/>
  <c r="M811" i="3"/>
  <c r="M483" i="3"/>
  <c r="M1071" i="3"/>
  <c r="M1134" i="3"/>
  <c r="M675" i="3"/>
  <c r="M192" i="3"/>
  <c r="M1454" i="3"/>
  <c r="M802" i="3"/>
  <c r="M1503" i="3"/>
  <c r="M385" i="3"/>
  <c r="M996" i="3"/>
  <c r="M488" i="3"/>
  <c r="M153" i="3"/>
  <c r="M1495" i="3"/>
  <c r="M228" i="3"/>
  <c r="M388" i="3"/>
  <c r="M786" i="3"/>
  <c r="M34" i="3"/>
  <c r="M171" i="3"/>
  <c r="M408" i="3"/>
  <c r="M361" i="3"/>
  <c r="M1425" i="3"/>
  <c r="M780" i="3"/>
  <c r="M1371" i="3"/>
  <c r="M167" i="3"/>
  <c r="M1253" i="3"/>
  <c r="M1348" i="3"/>
  <c r="M88" i="3"/>
  <c r="M1256" i="3"/>
  <c r="M739" i="3"/>
  <c r="M406" i="3"/>
  <c r="M1245" i="3"/>
  <c r="M847" i="3"/>
  <c r="M993" i="3"/>
  <c r="M1188" i="3"/>
  <c r="M553" i="3"/>
  <c r="M160" i="3"/>
  <c r="M870" i="3"/>
  <c r="M493" i="3"/>
  <c r="M916" i="3"/>
  <c r="M585" i="3"/>
  <c r="M45" i="3"/>
  <c r="M55" i="3"/>
  <c r="M1507" i="3"/>
  <c r="M705" i="3"/>
  <c r="M301" i="3"/>
  <c r="M243" i="3"/>
  <c r="M194" i="3"/>
  <c r="M338" i="3"/>
  <c r="M956" i="3"/>
  <c r="M91" i="3"/>
  <c r="M1473" i="3"/>
  <c r="E19" i="3" a="1"/>
  <c r="M287" i="3"/>
  <c r="M1124" i="3"/>
  <c r="M1511" i="3"/>
  <c r="M603" i="3"/>
  <c r="M468" i="3"/>
  <c r="M1017" i="3"/>
  <c r="M448" i="3"/>
  <c r="M1144" i="3"/>
  <c r="M1468" i="3"/>
  <c r="M1063" i="3"/>
  <c r="M1477" i="3"/>
  <c r="M1039" i="3"/>
  <c r="M49" i="3"/>
  <c r="M289" i="3"/>
  <c r="M679" i="3"/>
  <c r="M580" i="3"/>
  <c r="M203" i="3"/>
  <c r="M229" i="3"/>
  <c r="M109" i="3"/>
  <c r="M1488" i="3"/>
  <c r="M839" i="3"/>
  <c r="M758" i="3"/>
  <c r="M129" i="3"/>
  <c r="D14" i="21"/>
  <c r="M494" i="3"/>
  <c r="M1227" i="3"/>
  <c r="M1431" i="3"/>
  <c r="M405" i="3"/>
  <c r="M902" i="3"/>
  <c r="M896" i="3"/>
  <c r="M427" i="3"/>
  <c r="M1237" i="3"/>
  <c r="M747" i="3"/>
  <c r="M967" i="3"/>
  <c r="M664" i="3"/>
  <c r="M441" i="3"/>
  <c r="M935" i="3"/>
  <c r="M571" i="3"/>
  <c r="M1255" i="3"/>
  <c r="M643" i="3"/>
  <c r="M1151" i="3"/>
  <c r="M874" i="3"/>
  <c r="M146" i="3"/>
  <c r="M112" i="3"/>
  <c r="M197" i="3"/>
  <c r="M1163" i="3"/>
  <c r="M714" i="3"/>
  <c r="M886" i="3"/>
  <c r="M418" i="3"/>
  <c r="M766" i="3"/>
  <c r="M179" i="3"/>
  <c r="M884" i="3"/>
  <c r="M1288" i="3"/>
  <c r="M1370" i="3"/>
  <c r="M393" i="3"/>
  <c r="M1372" i="3"/>
  <c r="M1027" i="3"/>
  <c r="M1254" i="3"/>
  <c r="M844" i="3"/>
  <c r="M1318" i="3"/>
  <c r="M1443" i="3"/>
  <c r="M343" i="3"/>
  <c r="M1221" i="3"/>
  <c r="M1212" i="3"/>
  <c r="M315" i="3"/>
  <c r="M1423" i="3"/>
  <c r="M639" i="3"/>
  <c r="M919" i="3"/>
  <c r="M80" i="3"/>
  <c r="M202" i="3"/>
  <c r="M595" i="3"/>
  <c r="M724" i="3"/>
  <c r="M1082" i="3"/>
  <c r="M1198" i="3"/>
  <c r="M120" i="3"/>
  <c r="M328" i="3"/>
  <c r="M965" i="3"/>
  <c r="M619" i="3"/>
  <c r="M320" i="3"/>
  <c r="M611" i="3"/>
  <c r="M93" i="3"/>
  <c r="M384" i="3"/>
  <c r="M39" i="3"/>
  <c r="M60" i="3"/>
  <c r="M1325" i="3"/>
  <c r="M1436" i="3"/>
  <c r="M1321" i="3"/>
  <c r="M666" i="3"/>
  <c r="M286" i="3"/>
  <c r="M205" i="3"/>
  <c r="M1097" i="3"/>
  <c r="M583" i="3"/>
  <c r="M1311" i="3"/>
  <c r="M118" i="3"/>
  <c r="M1330" i="3"/>
  <c r="M850" i="3"/>
  <c r="M1467" i="3"/>
  <c r="M980" i="3"/>
  <c r="M33" i="3"/>
  <c r="M741" i="3"/>
  <c r="M918" i="3"/>
  <c r="M1023" i="3"/>
  <c r="M386" i="3"/>
  <c r="M707" i="3"/>
  <c r="M773" i="3"/>
  <c r="M1365" i="3"/>
  <c r="M1426" i="3"/>
  <c r="M300" i="3"/>
  <c r="M378" i="3"/>
  <c r="M1394" i="3"/>
  <c r="M331" i="3"/>
  <c r="M87" i="3"/>
  <c r="M354" i="3"/>
  <c r="M968" i="3"/>
  <c r="M682" i="3"/>
  <c r="M1458" i="3"/>
  <c r="M1514" i="3"/>
  <c r="M302" i="3"/>
  <c r="M570" i="3"/>
  <c r="M1190" i="3"/>
  <c r="M1119" i="3"/>
  <c r="M1378" i="3"/>
  <c r="M347" i="3"/>
  <c r="M749" i="3"/>
  <c r="M196" i="3"/>
  <c r="M373" i="3"/>
  <c r="M988" i="3"/>
  <c r="M892" i="3"/>
  <c r="M683" i="3"/>
  <c r="M976" i="3"/>
  <c r="M375" i="3"/>
  <c r="M928" i="3"/>
  <c r="M292" i="3"/>
  <c r="M806" i="3"/>
  <c r="M1449" i="3"/>
  <c r="M770" i="3"/>
  <c r="M1492" i="3"/>
  <c r="M1194" i="3"/>
  <c r="M1250" i="3"/>
  <c r="M1000" i="3"/>
  <c r="M369" i="3"/>
  <c r="M349" i="3"/>
  <c r="M1202" i="3"/>
  <c r="M85" i="3"/>
  <c r="M718" i="3"/>
  <c r="M1008" i="3"/>
  <c r="M1011" i="3"/>
  <c r="M248" i="3"/>
  <c r="M500" i="3"/>
  <c r="M989" i="3"/>
  <c r="M703" i="3"/>
  <c r="M1413" i="3"/>
  <c r="M567" i="3"/>
  <c r="M676" i="3"/>
  <c r="M1235" i="3"/>
  <c r="M138" i="3"/>
  <c r="M491" i="3"/>
  <c r="M1357" i="3"/>
  <c r="M512" i="3"/>
  <c r="M1168" i="3"/>
  <c r="M98" i="3"/>
  <c r="M1286" i="3"/>
  <c r="M514" i="3"/>
  <c r="M31" i="3"/>
  <c r="M381" i="3"/>
  <c r="M187" i="3"/>
  <c r="M613" i="3"/>
  <c r="M220" i="3"/>
  <c r="M1049" i="3"/>
  <c r="M412" i="3"/>
  <c r="M831" i="3"/>
  <c r="M1460" i="3"/>
  <c r="M1229" i="3"/>
  <c r="M1208" i="3"/>
  <c r="M677" i="3"/>
  <c r="M930" i="3"/>
  <c r="M200" i="3"/>
  <c r="M209" i="3"/>
  <c r="M108" i="3"/>
  <c r="M281" i="3"/>
  <c r="M124" i="3"/>
  <c r="M1187" i="3"/>
  <c r="M790" i="3"/>
  <c r="M535" i="3"/>
  <c r="M966" i="3"/>
  <c r="M704" i="3"/>
  <c r="M1456" i="3"/>
  <c r="M84" i="3"/>
  <c r="M1464" i="3"/>
  <c r="M879" i="3"/>
  <c r="M1451" i="3"/>
  <c r="M717" i="3"/>
  <c r="M1367" i="3"/>
  <c r="M547" i="3"/>
  <c r="M599" i="3"/>
  <c r="M172" i="3"/>
  <c r="M282" i="3"/>
  <c r="M1264" i="3"/>
  <c r="M100" i="3"/>
  <c r="M622" i="3"/>
  <c r="M258" i="3"/>
  <c r="M522" i="3"/>
  <c r="M525" i="3"/>
  <c r="M1452" i="3"/>
  <c r="M134" i="3"/>
  <c r="M1178" i="3"/>
  <c r="M827" i="3"/>
  <c r="M342" i="3"/>
  <c r="M1315" i="3"/>
  <c r="M1197" i="3"/>
  <c r="M82" i="3"/>
  <c r="M609" i="3"/>
  <c r="M733" i="3"/>
  <c r="M1307" i="3"/>
  <c r="M986" i="3"/>
  <c r="M463" i="3"/>
  <c r="M144" i="3"/>
  <c r="M953" i="3"/>
  <c r="M238" i="3"/>
  <c r="M1236" i="3"/>
  <c r="M716" i="3"/>
  <c r="M126" i="3"/>
  <c r="M1515" i="3"/>
  <c r="M1067" i="3"/>
  <c r="M799" i="3"/>
  <c r="M795" i="3"/>
  <c r="M531" i="3"/>
  <c r="M71" i="3"/>
  <c r="M184" i="3"/>
  <c r="M1091" i="3"/>
  <c r="M775" i="3"/>
  <c r="M582" i="3"/>
  <c r="M1352" i="3"/>
  <c r="M614" i="3"/>
  <c r="M140" i="3"/>
  <c r="M1323" i="3"/>
  <c r="M867" i="3"/>
  <c r="M1001" i="3"/>
  <c r="M1393" i="3"/>
  <c r="M130" i="3"/>
  <c r="M1150" i="3"/>
  <c r="M549" i="3"/>
  <c r="M990" i="3"/>
  <c r="M590" i="3"/>
  <c r="M368" i="3"/>
  <c r="M1446" i="3"/>
  <c r="M1115" i="3"/>
  <c r="M1494" i="3"/>
  <c r="M1512" i="3"/>
  <c r="M819" i="3"/>
  <c r="M946" i="3"/>
  <c r="D44" i="21"/>
  <c r="M1406" i="3"/>
  <c r="M1350" i="3"/>
  <c r="M1149" i="3"/>
  <c r="M133" i="3"/>
  <c r="M204" i="3"/>
  <c r="M1189" i="3"/>
  <c r="M1121" i="3"/>
  <c r="D11" i="21"/>
  <c r="M1129" i="3"/>
  <c r="M1062" i="3"/>
  <c r="M1224" i="3"/>
  <c r="M1047" i="3"/>
  <c r="M1241" i="3"/>
  <c r="M326" i="3"/>
  <c r="M764" i="3"/>
  <c r="M973" i="3"/>
  <c r="M762" i="3"/>
  <c r="M787" i="3"/>
  <c r="M166" i="3"/>
  <c r="M217" i="3"/>
  <c r="M818" i="3"/>
  <c r="M431" i="3"/>
  <c r="M496" i="3"/>
  <c r="M391" i="3"/>
  <c r="M858" i="3"/>
  <c r="M297" i="3"/>
  <c r="M256" i="3"/>
  <c r="M1409" i="3"/>
  <c r="M695" i="3"/>
  <c r="M353" i="3"/>
  <c r="M154" i="3"/>
  <c r="M830" i="3"/>
  <c r="D41" i="21"/>
  <c r="M32" i="3"/>
  <c r="M218" i="3"/>
  <c r="M635" i="3"/>
  <c r="M1500" i="3"/>
  <c r="M999" i="3"/>
  <c r="M940" i="3"/>
  <c r="M1182" i="3"/>
  <c r="M560" i="3"/>
  <c r="M173" i="3"/>
  <c r="M257" i="3"/>
  <c r="M820" i="3"/>
  <c r="M610" i="3"/>
  <c r="M278" i="3"/>
  <c r="M37" i="3"/>
  <c r="M1112" i="3"/>
  <c r="M779" i="3"/>
  <c r="M78" i="3"/>
  <c r="M1461" i="3"/>
  <c r="M449" i="3"/>
  <c r="M558" i="3"/>
  <c r="M1068" i="3"/>
  <c r="M299" i="3"/>
  <c r="M106" i="3"/>
  <c r="M267" i="3"/>
  <c r="M1136" i="3"/>
  <c r="M251" i="3"/>
  <c r="M653" i="3"/>
  <c r="M1133" i="3"/>
  <c r="M920" i="3"/>
  <c r="M158" i="3"/>
  <c r="M769" i="3"/>
  <c r="M712" i="3"/>
  <c r="M1132" i="3"/>
  <c r="M555" i="3"/>
  <c r="M654" i="3"/>
  <c r="M1248" i="3"/>
  <c r="M751" i="3"/>
  <c r="M1109" i="3"/>
  <c r="M1403" i="3"/>
  <c r="M152" i="3"/>
  <c r="M110" i="3"/>
  <c r="M551" i="3"/>
  <c r="M1243" i="3"/>
  <c r="M1404" i="3"/>
  <c r="M505" i="3"/>
  <c r="M1333" i="3"/>
  <c r="M845" i="3"/>
  <c r="M550" i="3"/>
  <c r="M693" i="3"/>
  <c r="M1263" i="3"/>
  <c r="M796" i="3"/>
  <c r="M1516" i="3"/>
  <c r="M1474" i="3"/>
  <c r="M554" i="3"/>
  <c r="M641" i="3"/>
  <c r="M545" i="3"/>
  <c r="M1242" i="3"/>
  <c r="M199" i="3"/>
  <c r="M982" i="3"/>
  <c r="M1469" i="3"/>
  <c r="M1296" i="3"/>
  <c r="M1046" i="3"/>
  <c r="M284" i="3"/>
  <c r="M961" i="3"/>
  <c r="M1362" i="3"/>
  <c r="M1130" i="3"/>
  <c r="M70" i="3"/>
  <c r="M1283" i="3"/>
  <c r="M351" i="3"/>
  <c r="M752" i="3"/>
  <c r="M849" i="3"/>
  <c r="M426" i="3"/>
  <c r="M1204" i="3"/>
  <c r="M939" i="3"/>
  <c r="M890" i="3"/>
  <c r="M710" i="3"/>
  <c r="M273" i="3"/>
  <c r="M264" i="3"/>
  <c r="M1308" i="3"/>
  <c r="M1169" i="3"/>
  <c r="M413" i="3"/>
  <c r="M439" i="3"/>
  <c r="M1239" i="3"/>
  <c r="M1410" i="3"/>
  <c r="M149" i="3"/>
  <c r="M147" i="3"/>
  <c r="M168" i="3"/>
  <c r="M433" i="3"/>
  <c r="M113" i="3"/>
  <c r="M1126" i="3"/>
  <c r="M1155" i="3"/>
  <c r="M195" i="3"/>
  <c r="M1301" i="3"/>
  <c r="M226" i="3"/>
  <c r="M490" i="3"/>
  <c r="M917" i="3"/>
  <c r="M1342" i="3"/>
  <c r="M824" i="3"/>
  <c r="M1210" i="3"/>
  <c r="M479" i="3"/>
  <c r="M789" i="3"/>
  <c r="M882" i="3"/>
  <c r="M1088" i="3"/>
  <c r="M915" i="3"/>
  <c r="M266" i="3"/>
  <c r="M456" i="3"/>
  <c r="M681" i="3"/>
  <c r="M1148" i="3"/>
  <c r="M358" i="3"/>
  <c r="M648" i="3"/>
  <c r="M1024" i="3"/>
  <c r="M79" i="3"/>
  <c r="M1290" i="3"/>
  <c r="M1501" i="3"/>
  <c r="M540" i="3"/>
  <c r="M372" i="3"/>
  <c r="D37" i="21"/>
  <c r="M451" i="3"/>
  <c r="M800" i="3"/>
  <c r="M914" i="3"/>
  <c r="M46" i="3"/>
  <c r="M971" i="3"/>
  <c r="M174" i="3"/>
  <c r="M387" i="3"/>
  <c r="M1479" i="3"/>
  <c r="M605" i="3"/>
  <c r="M1015" i="3"/>
  <c r="M876" i="3"/>
  <c r="M735" i="3"/>
  <c r="M1072" i="3"/>
  <c r="M572" i="3"/>
  <c r="M1090" i="3"/>
  <c r="M1207" i="3"/>
  <c r="M885" i="3"/>
  <c r="M519" i="3"/>
  <c r="M727" i="3"/>
  <c r="M1405" i="3"/>
  <c r="M594" i="3"/>
  <c r="M443" i="3"/>
  <c r="M959" i="3"/>
  <c r="M672" i="3"/>
  <c r="M1060" i="3"/>
  <c r="M708" i="3"/>
  <c r="M1201" i="3"/>
  <c r="M1344" i="3"/>
  <c r="M1010" i="3"/>
  <c r="M1192" i="3"/>
  <c r="M943" i="3"/>
  <c r="M702" i="3"/>
  <c r="M42" i="3"/>
  <c r="M189" i="3"/>
  <c r="M1490" i="3"/>
  <c r="M627" i="3"/>
  <c r="M501" i="3"/>
  <c r="M903" i="3"/>
  <c r="M544" i="3"/>
  <c r="M235" i="3"/>
  <c r="M507" i="3"/>
  <c r="M534" i="3"/>
  <c r="M692" i="3"/>
  <c r="M1101" i="3"/>
  <c r="M678" i="3"/>
  <c r="M459" i="3"/>
  <c r="M65" i="3"/>
  <c r="M48" i="3"/>
  <c r="M669" i="3"/>
  <c r="M323" i="3"/>
  <c r="M957" i="3"/>
  <c r="M1161" i="3"/>
  <c r="M1486" i="3"/>
  <c r="M1424" i="3"/>
  <c r="M1261" i="3"/>
  <c r="M442" i="3"/>
  <c r="M872" i="3"/>
  <c r="M835" i="3"/>
  <c r="M1181" i="3"/>
  <c r="M1412" i="3"/>
  <c r="M1375" i="3"/>
  <c r="M1322" i="3"/>
  <c r="M1340" i="3"/>
  <c r="M306" i="3"/>
  <c r="M132" i="3"/>
  <c r="M26" i="3"/>
  <c r="M419" i="3"/>
  <c r="M180" i="3"/>
  <c r="M1481" i="3"/>
  <c r="M1402" i="3"/>
  <c r="M1030" i="3"/>
  <c r="M1034" i="3"/>
  <c r="M1054" i="3"/>
  <c r="M1391" i="3"/>
  <c r="M1422" i="3"/>
  <c r="M377" i="3"/>
  <c r="M452" i="3"/>
  <c r="M1444" i="3"/>
  <c r="M312" i="3"/>
  <c r="M1374" i="3"/>
  <c r="M506" i="3"/>
  <c r="M156" i="3"/>
  <c r="M35" i="3"/>
  <c r="M557" i="3"/>
  <c r="M696" i="3"/>
  <c r="M1284" i="3"/>
  <c r="M116" i="3"/>
  <c r="M1009" i="3"/>
  <c r="M754" i="3"/>
  <c r="M379" i="3"/>
  <c r="M53" i="3"/>
  <c r="M1086" i="3"/>
  <c r="M1376" i="3"/>
  <c r="M656" i="3"/>
  <c r="M311" i="3"/>
  <c r="M1387" i="3"/>
  <c r="M1313" i="3"/>
  <c r="M1442" i="3"/>
  <c r="M593" i="3"/>
  <c r="M357" i="3"/>
  <c r="M952" i="3"/>
  <c r="M1099" i="3"/>
  <c r="M1215" i="3"/>
  <c r="M470" i="3"/>
  <c r="M293" i="3"/>
  <c r="M1513" i="3"/>
  <c r="M288" i="3"/>
  <c r="M1018" i="3"/>
  <c r="M213" i="3"/>
  <c r="M461" i="3"/>
  <c r="M1033" i="3"/>
  <c r="M826" i="3"/>
  <c r="M1280" i="3"/>
  <c r="M992" i="3"/>
  <c r="M658" i="3"/>
  <c r="M241" i="3"/>
  <c r="M1113" i="3"/>
  <c r="M1007" i="3"/>
  <c r="M626" i="3"/>
  <c r="M906" i="3"/>
  <c r="M1314" i="3"/>
  <c r="M1435" i="3"/>
  <c r="M212" i="3"/>
  <c r="M1211" i="3"/>
  <c r="M1219" i="3"/>
  <c r="M781" i="3"/>
  <c r="M791" i="3"/>
  <c r="M803" i="3"/>
  <c r="M1003" i="3"/>
  <c r="M511" i="3"/>
  <c r="M983" i="3"/>
  <c r="M528" i="3"/>
  <c r="M1152" i="3"/>
  <c r="M410" i="3"/>
  <c r="M863" i="3"/>
  <c r="D35" i="21"/>
  <c r="M341" i="3"/>
  <c r="M1035" i="3"/>
  <c r="M1470" i="3"/>
  <c r="M1185" i="3"/>
  <c r="M1013" i="3"/>
  <c r="M539" i="3"/>
  <c r="M972" i="3"/>
  <c r="M402" i="3"/>
  <c r="M422" i="3"/>
  <c r="M398" i="3"/>
  <c r="M763" i="3"/>
  <c r="M1334" i="3"/>
  <c r="M642" i="3"/>
  <c r="M828" i="3"/>
  <c r="M521" i="3"/>
  <c r="M119" i="3"/>
  <c r="M1420" i="3"/>
  <c r="M977" i="3"/>
  <c r="M821" i="3"/>
  <c r="M734" i="3"/>
  <c r="M399" i="3"/>
  <c r="M1117" i="3"/>
  <c r="M223" i="3"/>
  <c r="M308" i="3"/>
  <c r="M1247" i="3"/>
  <c r="M665" i="3"/>
  <c r="M1273" i="3"/>
  <c r="M247" i="3"/>
  <c r="M344" i="3"/>
  <c r="D43" i="21"/>
  <c r="M1087" i="3"/>
  <c r="M64" i="3"/>
  <c r="M1230" i="3"/>
  <c r="M970" i="3"/>
  <c r="M400" i="3"/>
  <c r="M926" i="3"/>
  <c r="M1053" i="3"/>
  <c r="M843" i="3"/>
  <c r="M170" i="3"/>
  <c r="M495" i="3"/>
  <c r="M1463" i="3"/>
  <c r="M417" i="3"/>
  <c r="L19" i="3"/>
  <c r="M1484" i="3"/>
  <c r="M370" i="3"/>
  <c r="M898" i="3"/>
  <c r="M1445" i="3"/>
  <c r="M1214" i="3"/>
  <c r="M880" i="3"/>
  <c r="M136" i="3"/>
  <c r="M102" i="3"/>
  <c r="M904" i="3"/>
  <c r="M637" i="3"/>
  <c r="M833" i="3"/>
  <c r="M744" i="3"/>
  <c r="M1305" i="3"/>
  <c r="M265" i="3"/>
  <c r="M1160" i="3"/>
  <c r="M1038" i="3"/>
  <c r="M1339" i="3"/>
  <c r="M887" i="3"/>
  <c r="M221" i="3"/>
  <c r="M1156" i="3"/>
  <c r="M630" i="3"/>
  <c r="M435" i="3"/>
  <c r="M1252" i="3"/>
  <c r="M137" i="3"/>
  <c r="M883" i="3"/>
  <c r="M975" i="3"/>
  <c r="M480" i="3"/>
  <c r="M1297" i="3"/>
  <c r="M533" i="3"/>
  <c r="M76" i="3"/>
  <c r="D45" i="21"/>
  <c r="D36" i="21"/>
  <c r="M163" i="3"/>
  <c r="M730" i="3"/>
  <c r="M382" i="3"/>
  <c r="M423" i="3"/>
  <c r="M1277" i="3"/>
  <c r="M190" i="3"/>
  <c r="M909" i="3"/>
  <c r="M958" i="3"/>
  <c r="M1268" i="3"/>
  <c r="M1138" i="3"/>
  <c r="M280" i="3"/>
  <c r="M492" i="3"/>
  <c r="M1351" i="3"/>
  <c r="M760" i="3"/>
  <c r="M1260" i="3"/>
  <c r="M652" i="3"/>
  <c r="M624" i="3"/>
  <c r="M121" i="3"/>
  <c r="M1487" i="3"/>
  <c r="M687" i="3"/>
  <c r="M1233" i="3"/>
  <c r="M684" i="3"/>
  <c r="M1381" i="3"/>
  <c r="M600" i="3"/>
  <c r="M1476" i="3"/>
  <c r="M782" i="3"/>
  <c r="M497" i="3"/>
  <c r="M274" i="3"/>
  <c r="M1440" i="3"/>
  <c r="M1002" i="3"/>
  <c r="M1004" i="3"/>
  <c r="M283" i="3"/>
  <c r="M390" i="3"/>
  <c r="M1120" i="3"/>
  <c r="M1251" i="3"/>
  <c r="M51" i="3"/>
  <c r="M893" i="3"/>
  <c r="M1324" i="3"/>
  <c r="M1411" i="3"/>
  <c r="M1316" i="3"/>
  <c r="M1186" i="3"/>
  <c r="M964" i="3"/>
  <c r="M518" i="3"/>
  <c r="M444" i="3"/>
  <c r="M750" i="3"/>
  <c r="M371" i="3"/>
  <c r="M1125" i="3"/>
  <c r="M706" i="3"/>
  <c r="M646" i="3"/>
  <c r="M395" i="3"/>
  <c r="M1183" i="3"/>
  <c r="M1369" i="3"/>
  <c r="M1012" i="3"/>
  <c r="M1485" i="3"/>
  <c r="M1022" i="3"/>
  <c r="G31" i="21"/>
  <c r="M1104" i="3"/>
  <c r="M617" i="3"/>
  <c r="M911" i="3"/>
  <c r="M608" i="3"/>
  <c r="M853" i="3"/>
  <c r="M1397" i="3"/>
  <c r="M767" i="3"/>
  <c r="M631" i="3"/>
  <c r="M454" i="3"/>
  <c r="M125" i="3"/>
  <c r="M208" i="3"/>
  <c r="M1028" i="3"/>
  <c r="M63" i="3"/>
  <c r="M249" i="3"/>
  <c r="M1450" i="3"/>
  <c r="M231" i="3"/>
  <c r="M396" i="3"/>
  <c r="M765" i="3"/>
  <c r="M272" i="3"/>
  <c r="M472" i="3"/>
  <c r="M1270" i="3"/>
  <c r="M1419" i="3"/>
  <c r="M466" i="3"/>
  <c r="M588" i="3"/>
  <c r="M659" i="3"/>
  <c r="M891" i="3"/>
  <c r="M392" i="3"/>
  <c r="M723" i="3"/>
  <c r="M1259" i="3"/>
  <c r="M225" i="3"/>
  <c r="M636" i="3"/>
  <c r="M1193" i="3"/>
  <c r="M1213" i="3"/>
  <c r="M566" i="3"/>
  <c r="M57" i="3"/>
  <c r="M127" i="3"/>
  <c r="M941" i="3"/>
  <c r="M277" i="3"/>
  <c r="M1289" i="3"/>
  <c r="M474" i="3"/>
  <c r="M95" i="3"/>
  <c r="M1438" i="3"/>
  <c r="M1021" i="3"/>
  <c r="M430" i="3"/>
  <c r="M748" i="3"/>
  <c r="M215" i="3"/>
  <c r="M633" i="3"/>
  <c r="M508" i="3"/>
  <c r="M691" i="3"/>
  <c r="M814" i="3"/>
  <c r="M1304" i="3"/>
  <c r="M464" i="3"/>
  <c r="M948" i="3"/>
  <c r="M575" i="3"/>
  <c r="M629" i="3"/>
  <c r="M901" i="3"/>
  <c r="M645" i="3"/>
  <c r="M755" i="3"/>
  <c r="M1361" i="3"/>
  <c r="M294" i="3"/>
  <c r="M438" i="3"/>
  <c r="M1069" i="3"/>
  <c r="M1265" i="3"/>
  <c r="M481" i="3"/>
  <c r="M561" i="3"/>
  <c r="M777" i="3"/>
  <c r="M995" i="3"/>
  <c r="M1432" i="3"/>
  <c r="M262" i="3"/>
  <c r="M1493" i="3"/>
  <c r="M222" i="3"/>
  <c r="M984" i="3"/>
  <c r="M295" i="3"/>
  <c r="M888" i="3"/>
  <c r="M161" i="3"/>
  <c r="M234" i="3"/>
  <c r="M947" i="3"/>
  <c r="M900" i="3"/>
  <c r="M244" i="3"/>
  <c r="M185" i="3"/>
  <c r="M516" i="3"/>
  <c r="M330" i="3"/>
  <c r="M1360" i="3"/>
  <c r="M339" i="3"/>
  <c r="M606" i="3"/>
  <c r="M296" i="3"/>
  <c r="M1489" i="3"/>
  <c r="M169" i="3"/>
  <c r="M667" i="3"/>
  <c r="M1174" i="3"/>
  <c r="M473" i="3"/>
  <c r="M925" i="3"/>
  <c r="M1388" i="3"/>
  <c r="M453" i="3"/>
  <c r="M578" i="3"/>
  <c r="M1131" i="3"/>
  <c r="M250" i="3"/>
  <c r="M768" i="3"/>
  <c r="M1459" i="3"/>
  <c r="M537" i="3"/>
  <c r="M638" i="3"/>
  <c r="M1122" i="3"/>
  <c r="M697" i="3"/>
  <c r="M1055" i="3"/>
  <c r="M955" i="3"/>
  <c r="M177" i="3"/>
  <c r="M1206" i="3"/>
  <c r="M1401" i="3"/>
  <c r="M908" i="3"/>
  <c r="M83" i="3"/>
  <c r="M541" i="3"/>
  <c r="M895" i="3"/>
  <c r="M1496" i="3"/>
  <c r="M415" i="3"/>
  <c r="M1299" i="3"/>
  <c r="M450" i="3"/>
  <c r="M1137" i="3"/>
  <c r="M175" i="3"/>
  <c r="M860" i="3"/>
  <c r="M563" i="3"/>
  <c r="M99" i="3"/>
  <c r="M1057" i="3"/>
  <c r="M1398" i="3"/>
  <c r="M674" i="3"/>
  <c r="M1191" i="3"/>
  <c r="M1103" i="3"/>
  <c r="M1519" i="3"/>
  <c r="M359" i="3"/>
  <c r="M1294" i="3"/>
  <c r="M285" i="3"/>
  <c r="M227" i="3"/>
  <c r="M859" i="3"/>
  <c r="M746" i="3"/>
  <c r="M1036" i="3"/>
  <c r="M793" i="3"/>
  <c r="M424" i="3"/>
  <c r="M816" i="3"/>
  <c r="M123" i="3"/>
  <c r="M1504" i="3"/>
  <c r="M305" i="3"/>
  <c r="M1209" i="3"/>
  <c r="M148" i="3"/>
  <c r="M1102" i="3"/>
  <c r="M237" i="3"/>
  <c r="M1499" i="3"/>
  <c r="M245" i="3"/>
  <c r="M52" i="3"/>
  <c r="M1176" i="3"/>
  <c r="M932" i="3"/>
  <c r="M165" i="3"/>
  <c r="M1303" i="3"/>
  <c r="M523" i="3"/>
  <c r="M1358" i="3"/>
  <c r="M776" i="3"/>
  <c r="M815" i="3"/>
  <c r="M54" i="3"/>
  <c r="M538" i="3"/>
  <c r="M47" i="3"/>
  <c r="M526" i="3"/>
  <c r="M1347" i="3"/>
  <c r="M318" i="3"/>
  <c r="M142" i="3"/>
  <c r="M785" i="3"/>
  <c r="M1310" i="3"/>
  <c r="M621" i="3"/>
  <c r="M260" i="3"/>
  <c r="M1064" i="3"/>
  <c r="M1346" i="3"/>
  <c r="M1430" i="3"/>
  <c r="M329" i="3"/>
  <c r="M1059" i="3"/>
  <c r="M445" i="3"/>
  <c r="M597" i="3"/>
  <c r="M355" i="3"/>
  <c r="M1335" i="3"/>
  <c r="M350" i="3"/>
  <c r="M1414" i="3"/>
  <c r="M50" i="3"/>
  <c r="M253" i="3"/>
  <c r="M852" i="3"/>
  <c r="M276" i="3"/>
  <c r="M889" i="3"/>
  <c r="M214" i="3"/>
  <c r="M58" i="3"/>
  <c r="M279" i="3"/>
  <c r="M128" i="3"/>
  <c r="M520" i="3"/>
  <c r="M581" i="3"/>
  <c r="M503" i="3"/>
  <c r="M333" i="3"/>
  <c r="M1309" i="3"/>
  <c r="M1448" i="3"/>
  <c r="M529" i="3"/>
  <c r="M1043" i="3"/>
  <c r="M1510" i="3"/>
  <c r="M1140" i="3"/>
  <c r="M397" i="3"/>
  <c r="M1159" i="3"/>
  <c r="M709" i="3"/>
  <c r="M476" i="3"/>
  <c r="D15" i="21"/>
  <c r="M478" i="3"/>
  <c r="M778" i="3"/>
  <c r="M651" i="3"/>
  <c r="M783" i="3"/>
  <c r="M1083" i="3"/>
  <c r="M1427" i="3"/>
  <c r="M36" i="3"/>
  <c r="M598" i="3"/>
  <c r="M1158" i="3"/>
  <c r="M991" i="3"/>
  <c r="M389" i="3"/>
  <c r="M484" i="3"/>
  <c r="M73" i="3"/>
  <c r="M527" i="3"/>
  <c r="M436" i="3"/>
  <c r="M848" i="3"/>
  <c r="M745" i="3"/>
  <c r="M1517" i="3"/>
  <c r="M1110" i="3"/>
  <c r="M1302" i="3"/>
  <c r="M1291" i="3"/>
  <c r="M150" i="3"/>
  <c r="M548" i="3"/>
  <c r="M1472" i="3"/>
  <c r="M1098" i="3"/>
  <c r="M1111" i="3"/>
  <c r="M1429" i="3"/>
  <c r="M774" i="3"/>
  <c r="M1382" i="3"/>
  <c r="M801" i="3"/>
  <c r="D3" i="24" a="1"/>
  <c r="M1491" i="3"/>
  <c r="M19" i="3"/>
  <c r="D3" i="24" l="1"/>
  <c r="G33" i="21"/>
  <c r="G32" i="21"/>
  <c r="G45" i="21"/>
  <c r="F45" i="21"/>
  <c r="F43" i="21"/>
  <c r="G44" i="21"/>
  <c r="G46" i="21"/>
  <c r="F41" i="21"/>
  <c r="D39" i="21"/>
  <c r="F44" i="21"/>
  <c r="E19" i="3"/>
  <c r="G41" i="21"/>
  <c r="G42" i="21"/>
  <c r="D29" i="21"/>
  <c r="F42" i="21"/>
  <c r="G43" i="21"/>
  <c r="F32" i="21"/>
  <c r="F33" i="21"/>
  <c r="F46" i="21"/>
  <c r="G1" i="24"/>
  <c r="F1" i="21" l="1"/>
  <c r="I1" i="3"/>
  <c r="F35" i="21"/>
  <c r="F34" i="21"/>
  <c r="G34" i="21"/>
  <c r="G35" i="21"/>
  <c r="G47" i="21"/>
  <c r="F47" i="21"/>
</calcChain>
</file>

<file path=xl/sharedStrings.xml><?xml version="1.0" encoding="utf-8"?>
<sst xmlns="http://schemas.openxmlformats.org/spreadsheetml/2006/main" count="2214" uniqueCount="1633">
  <si>
    <t>SEPA</t>
  </si>
  <si>
    <t>-</t>
  </si>
  <si>
    <t>TRF</t>
  </si>
  <si>
    <t>SLEV</t>
  </si>
  <si>
    <t>x</t>
  </si>
  <si>
    <t>NL</t>
  </si>
  <si>
    <t>C</t>
  </si>
  <si>
    <t>D</t>
  </si>
  <si>
    <t>E</t>
  </si>
  <si>
    <t>F</t>
  </si>
  <si>
    <t>G</t>
  </si>
  <si>
    <t>H</t>
  </si>
  <si>
    <t>I</t>
  </si>
  <si>
    <t>J</t>
  </si>
  <si>
    <t xml:space="preserve">Type </t>
  </si>
  <si>
    <t>XMLTagOnly</t>
  </si>
  <si>
    <t>XMLTagCellReference</t>
  </si>
  <si>
    <t>XMLTagValue</t>
  </si>
  <si>
    <t>Verplicht SEPA</t>
  </si>
  <si>
    <t>XMLColumnReference</t>
  </si>
  <si>
    <t>Onderdeel SEPA</t>
  </si>
  <si>
    <t>Werkblad</t>
  </si>
  <si>
    <t>Cel</t>
  </si>
  <si>
    <t>Instellingen</t>
  </si>
  <si>
    <t>Transacties</t>
  </si>
  <si>
    <t>Ccy="EUR"</t>
  </si>
  <si>
    <t>XML Tag Hierarchy</t>
  </si>
  <si>
    <t>Naam opdrachtgever:</t>
  </si>
  <si>
    <t>Landcode:</t>
  </si>
  <si>
    <t>Prefix:</t>
  </si>
  <si>
    <t>Aantal XML-tags:</t>
  </si>
  <si>
    <t>Aantal Transacties:</t>
  </si>
  <si>
    <t>MsgId:</t>
  </si>
  <si>
    <t>Creationdatetime:</t>
  </si>
  <si>
    <t>PmtInfId:</t>
  </si>
  <si>
    <t>ReqdExctnDt:</t>
  </si>
  <si>
    <t>$D$12</t>
  </si>
  <si>
    <t>$D$13</t>
  </si>
  <si>
    <t>$D$14</t>
  </si>
  <si>
    <t>$D$7</t>
  </si>
  <si>
    <t>$D$15</t>
  </si>
  <si>
    <t>$D$6</t>
  </si>
  <si>
    <t>&lt;-----------</t>
  </si>
  <si>
    <t>K</t>
  </si>
  <si>
    <t xml:space="preserve"> (Al in de header en de footer van het document meegenomen)</t>
  </si>
  <si>
    <t>/GrpHdr</t>
  </si>
  <si>
    <t>/GrpHdr/MsgId</t>
  </si>
  <si>
    <t>/GrpHdr/CreDtTm</t>
  </si>
  <si>
    <t>/GrpHdr/NbOfTxs</t>
  </si>
  <si>
    <t>/GrpHdr/CtrlSum</t>
  </si>
  <si>
    <t>/GrpHdr/InitgPty</t>
  </si>
  <si>
    <t>/GrpHdr/InitgPty/Nm</t>
  </si>
  <si>
    <t>/GrpHdr/InitgPty/Id</t>
  </si>
  <si>
    <t>/GrpHdr/InitgPty/Id/OrgId</t>
  </si>
  <si>
    <t>/GrpHdr/InitgPty/Id/OrgId/BICOrBEI</t>
  </si>
  <si>
    <t>/GrpHdr/InitgPty/Id/OrgId/Othr</t>
  </si>
  <si>
    <t>/GrpHdr/InitgPty/Id/OrgId/Othr/Id</t>
  </si>
  <si>
    <t>/GrpHdr/InitgPty/Id/OrgId/Othr/SchmeNm</t>
  </si>
  <si>
    <t>/GrpHdr/InitgPty/Id/OrgId/Othr/SchmeNm/Cd</t>
  </si>
  <si>
    <t>/GrpHdr/InitgPty/Id/OrgId/Othr/SchmeNm/Prtry</t>
  </si>
  <si>
    <t>/GrpHdr/InitgPty/Id/OrgId/Othr/Issr</t>
  </si>
  <si>
    <t>/GrpHdr/InitgPty/Id/PrvtId</t>
  </si>
  <si>
    <t>/GrpHdr/InitgPty/Id/PrvtId/DtAndPlcOfBirth</t>
  </si>
  <si>
    <t>/GrpHdr/InitgPty/Id/PrvtId/DtAndPlcOfBirth/BirthDt</t>
  </si>
  <si>
    <t>/GrpHdr/InitgPty/Id/PrvtId/DtAndPlcOfBirth/PrvcOfBirth</t>
  </si>
  <si>
    <t>/GrpHdr/InitgPty/Id/PrvtId/DtAndPlcOfBirth/CityOfBirth</t>
  </si>
  <si>
    <t>/GrpHdr/InitgPty/Id/PrvtId/DtAndPlcOfBirth/CtryOfBirth</t>
  </si>
  <si>
    <t>/GrpHdr/InitgPty/Id/PrvtId/Othr</t>
  </si>
  <si>
    <t>/GrpHdr/InitgPty/Id/PrvtId/Othr/Id</t>
  </si>
  <si>
    <t>/GrpHdr/InitgPty/Id/PrvtId/Othr/SchmeNm</t>
  </si>
  <si>
    <t>/GrpHdr/InitgPty/Id/PrvtId/Othr/SchmeNm/Cd</t>
  </si>
  <si>
    <t>/GrpHdr/InitgPty/Id/PrvtId/Othr/SchmeNm/Prtry</t>
  </si>
  <si>
    <t>/GrpHdr/InitgPty/Id/PrvtId/Othr/Issr</t>
  </si>
  <si>
    <t>/PmtInf</t>
  </si>
  <si>
    <t>/PmtInf/PmtInfId</t>
  </si>
  <si>
    <t>/PmtInf/PmtMtd</t>
  </si>
  <si>
    <t>/PmtInf/BtchBookg</t>
  </si>
  <si>
    <t>/PmtInf/NbOfTxs</t>
  </si>
  <si>
    <t>/PmtInf/CtrlSum</t>
  </si>
  <si>
    <t>/PmtInf/PmtTpInf</t>
  </si>
  <si>
    <t>/PmtInf/PmtTpInf/InstrPrty</t>
  </si>
  <si>
    <t>/PmtInf/PmtTpInf/SvcLvl</t>
  </si>
  <si>
    <t>/PmtInf/PmtTpInf/SvcLvl/Cd</t>
  </si>
  <si>
    <t>/PmtInf/PmtTpInf/LclInstrm</t>
  </si>
  <si>
    <t>/PmtInf/PmtTpInf/LclInstrm/Cd</t>
  </si>
  <si>
    <t>/PmtInf/PmtTpInf/LclInstrm/Prtry</t>
  </si>
  <si>
    <t>/PmtInf/PmtTpInf/CtgyPurp</t>
  </si>
  <si>
    <t>/PmtInf/PmtTpInf/CtgyPurp/Cd</t>
  </si>
  <si>
    <t>/PmtInf/PmtTpInf/CtgyPurp/Prtry</t>
  </si>
  <si>
    <t>/PmtInf/ReqdExctnDt</t>
  </si>
  <si>
    <t>/PmtInf/Dbtr</t>
  </si>
  <si>
    <t>/PmtInf/Dbtr/Nm</t>
  </si>
  <si>
    <t>/PmtInf/Dbtr/PstlAdr</t>
  </si>
  <si>
    <t>/PmtInf/Dbtr/PstlAdr/Ctry</t>
  </si>
  <si>
    <t>/PmtInf/Dbtr/PstlAdr/AdrLine</t>
  </si>
  <si>
    <t>/PmtInf/Dbtr/Id</t>
  </si>
  <si>
    <t>/PmtInf/Dbtr/Id/OrgId</t>
  </si>
  <si>
    <t>/PmtInf/Dbtr/Id/OrgId/BICOrBEI</t>
  </si>
  <si>
    <t>/PmtInf/Dbtr/Id/OrgId/Othr</t>
  </si>
  <si>
    <t>/PmtInf/Dbtr/Id/OrgId/Othr/Id</t>
  </si>
  <si>
    <t>/PmtInf/Dbtr/Id/OrgId/Othr/SchmeNm</t>
  </si>
  <si>
    <t>/PmtInf/Dbtr/Id/OrgId/Othr/SchmeNm/Cd</t>
  </si>
  <si>
    <t>/PmtInf/Dbtr/Id/OrgId/Othr/SchmeNm/Prtry</t>
  </si>
  <si>
    <t>/PmtInf/Dbtr/Id/OrgId/Othr/Issr</t>
  </si>
  <si>
    <t>/PmtInf/Dbtr/Id/PrvtId</t>
  </si>
  <si>
    <t>/PmtInf/Dbtr/Id/PrvtId/DtAndPlcOfBirth</t>
  </si>
  <si>
    <t>/PmtInf/Dbtr/Id/PrvtId/DtAndPlcOfBirth/BirthDt</t>
  </si>
  <si>
    <t>/PmtInf/Dbtr/Id/PrvtId/DtAndPlcOfBirth/PrvcOfBirth</t>
  </si>
  <si>
    <t>/PmtInf/Dbtr/Id/PrvtId/DtAndPlcOfBirth/CityOfBirth</t>
  </si>
  <si>
    <t>/PmtInf/Dbtr/Id/PrvtId/DtAndPlcOfBirth/CtryOfBirth</t>
  </si>
  <si>
    <t>/PmtInf/Dbtr/Id/PrvtId/Othr</t>
  </si>
  <si>
    <t>/PmtInf/Dbtr/Id/PrvtId/Othr/Id</t>
  </si>
  <si>
    <t>/PmtInf/Dbtr/Id/PrvtId/Othr/SchmeNm</t>
  </si>
  <si>
    <t>/PmtInf/Dbtr/Id/PrvtId/Othr/SchmeNm/Cd</t>
  </si>
  <si>
    <t>/PmtInf/Dbtr/Id/PrvtId/Othr/SchmeNm/Prtry</t>
  </si>
  <si>
    <t>/PmtInf/Dbtr/Id/PrvtId/Othr/Issr</t>
  </si>
  <si>
    <t>/PmtInf/DbtrAcct</t>
  </si>
  <si>
    <t>/PmtInf/DbtrAcct/Id</t>
  </si>
  <si>
    <t>/PmtInf/DbtrAcct/Id/IBAN</t>
  </si>
  <si>
    <t>/PmtInf/DbtrAcct/Ccy</t>
  </si>
  <si>
    <t>/PmtInf/DbtrAgt</t>
  </si>
  <si>
    <t>/PmtInf/DbtrAgt/FinInstnId</t>
  </si>
  <si>
    <t>/PmtInf/DbtrAgt/FinInstnId/BIC</t>
  </si>
  <si>
    <t>/PmtInf/UltmtDbtr</t>
  </si>
  <si>
    <t>/PmtInf/UltmtDbtr/Nm</t>
  </si>
  <si>
    <t>/PmtInf/UltmtDbtr/Id</t>
  </si>
  <si>
    <t>/PmtInf/UltmtDbtr/Id/OrgId</t>
  </si>
  <si>
    <t>/PmtInf/UltmtDbtr/Id/OrgId/BICOrBEI</t>
  </si>
  <si>
    <t>/PmtInf/UltmtDbtr/Id/OrgId/Othr</t>
  </si>
  <si>
    <t>/PmtInf/UltmtDbtr/Id/OrgId/Othr/Id</t>
  </si>
  <si>
    <t>/PmtInf/UltmtDbtr/Id/OrgId/Othr/SchmeNm</t>
  </si>
  <si>
    <t>/PmtInf/UltmtDbtr/Id/OrgId/Othr/SchmeNm/Cd</t>
  </si>
  <si>
    <t>/PmtInf/UltmtDbtr/Id/OrgId/Othr/SchmeNm/Prtry</t>
  </si>
  <si>
    <t>/PmtInf/UltmtDbtr/Id/OrgId/Othr/Issr</t>
  </si>
  <si>
    <t>/PmtInf/UltmtDbtr/Id/PrvtId</t>
  </si>
  <si>
    <t>/PmtInf/UltmtDbtr/Id/PrvtId/DtAndPlcOfBirth</t>
  </si>
  <si>
    <t>/PmtInf/UltmtDbtr/Id/PrvtId/DtAndPlcOfBirth/BirthDt</t>
  </si>
  <si>
    <t>/PmtInf/UltmtDbtr/Id/PrvtId/DtAndPlcOfBirth/PrvcOfBirth</t>
  </si>
  <si>
    <t>/PmtInf/UltmtDbtr/Id/PrvtId/DtAndPlcOfBirth/CityOfBirth</t>
  </si>
  <si>
    <t>/PmtInf/UltmtDbtr/Id/PrvtId/DtAndPlcOfBirth/CtryOfBirth</t>
  </si>
  <si>
    <t>/PmtInf/UltmtDbtr/Id/PrvtId/Othr</t>
  </si>
  <si>
    <t>/PmtInf/UltmtDbtr/Id/PrvtId/Othr/Id</t>
  </si>
  <si>
    <t>/PmtInf/UltmtDbtr/Id/PrvtId/Othr/SchmeNm</t>
  </si>
  <si>
    <t>/PmtInf/UltmtDbtr/Id/PrvtId/Othr/SchmeNm/Cd</t>
  </si>
  <si>
    <t>/PmtInf/UltmtDbtr/Id/PrvtId/Othr/SchmeNm/Prtry</t>
  </si>
  <si>
    <t>/PmtInf/UltmtDbtr/Id/PrvtId/Othr/Issr</t>
  </si>
  <si>
    <t>/PmtInf/ChrgBr</t>
  </si>
  <si>
    <t>/PmtInf/CdtTrfTxInf</t>
  </si>
  <si>
    <t>/PmtInf/CdtTrfTxInf/PmtId</t>
  </si>
  <si>
    <t>/PmtInf/CdtTrfTxInf/PmtId/InstrId</t>
  </si>
  <si>
    <t>/PmtInf/CdtTrfTxInf/PmtId/EndToEndId</t>
  </si>
  <si>
    <t>/PmtInf/CdtTrfTxInf/PmtTpInf</t>
  </si>
  <si>
    <t>/PmtInf/CdtTrfTxInf/PmtTpInf/SvcLvl</t>
  </si>
  <si>
    <t>/PmtInf/CdtTrfTxInf/PmtTpInf/SvcLvl/Cd</t>
  </si>
  <si>
    <t>/PmtInf/CdtTrfTxInf/PmtTpInf/LclInstrm</t>
  </si>
  <si>
    <t>/PmtInf/CdtTrfTxInf/PmtTpInf/LclInstrm/Cd</t>
  </si>
  <si>
    <t>/PmtInf/CdtTrfTxInf/PmtTpInf/LclInstrm/Prtry</t>
  </si>
  <si>
    <t>/PmtInf/CdtTrfTxInf/PmtTpInf/CtgyPurp</t>
  </si>
  <si>
    <t>/PmtInf/CdtTrfTxInf/PmtTpInf/CtgyPurp/Cd</t>
  </si>
  <si>
    <t>/PmtInf/CdtTrfTxInf/PmtTpInf/CtgyPurp/Prtry</t>
  </si>
  <si>
    <t>/PmtInf/CdtTrfTxInf/Amt</t>
  </si>
  <si>
    <t>/PmtInf/CdtTrfTxInf/Amt/InstdAmt</t>
  </si>
  <si>
    <t>/PmtInf/CdtTrfTxInf/Amt/InstdAmt/Ccy</t>
  </si>
  <si>
    <t>/PmtInf/CdtTrfTxInf/ChrgBr</t>
  </si>
  <si>
    <t>/PmtInf/CdtTrfTxInf/ChrgBr/</t>
  </si>
  <si>
    <t>/PmtInf/CdtTrfTxInf/UltmtDbtr</t>
  </si>
  <si>
    <t>/PmtInf/CdtTrfTxInf/UltmtDbtr/Nm</t>
  </si>
  <si>
    <t>/PmtInf/CdtTrfTxInf/UltmtDbtr/Id</t>
  </si>
  <si>
    <t>/PmtInf/CdtTrfTxInf/UltmtDbtr/Id/OrgId</t>
  </si>
  <si>
    <t>/PmtInf/CdtTrfTxInf/UltmtDbtr/Id/OrgId/BICOrBEI</t>
  </si>
  <si>
    <t>/PmtInf/CdtTrfTxInf/UltmtDbtr/Id/OrgId/Othr</t>
  </si>
  <si>
    <t>/PmtInf/CdtTrfTxInf/UltmtDbtr/Id/OrgId/Othr/Id</t>
  </si>
  <si>
    <t>/PmtInf/CdtTrfTxInf/UltmtDbtr/Id/OrgId/Othr/SchmeNm</t>
  </si>
  <si>
    <t>/PmtInf/CdtTrfTxInf/UltmtDbtr/Id/OrgId/Othr/SchmeNm/Cd</t>
  </si>
  <si>
    <t>/PmtInf/CdtTrfTxInf/UltmtDbtr/Id/OrgId/Othr/SchmeNm/Prtry</t>
  </si>
  <si>
    <t>/PmtInf/CdtTrfTxInf/UltmtDbtr/Id/OrgId/Othr/Issr</t>
  </si>
  <si>
    <t>/PmtInf/CdtTrfTxInf/UltmtDbtr/Id/PrvtId</t>
  </si>
  <si>
    <t>/PmtInf/CdtTrfTxInf/UltmtDbtr/Id/PrvtId/DtAndPlcOfBirth</t>
  </si>
  <si>
    <t>/PmtInf/CdtTrfTxInf/UltmtDbtr/Id/PrvtId/DtAndPlcOfBirth/BirthDt</t>
  </si>
  <si>
    <t>/PmtInf/CdtTrfTxInf/UltmtDbtr/Id/PrvtId/DtAndPlcOfBirth/PrvcOfBirth</t>
  </si>
  <si>
    <t>/PmtInf/CdtTrfTxInf/UltmtDbtr/Id/PrvtId/DtAndPlcOfBirth/CityOfBirth</t>
  </si>
  <si>
    <t>/PmtInf/CdtTrfTxInf/UltmtDbtr/Id/PrvtId/DtAndPlcOfBirth/CtryOfBirth</t>
  </si>
  <si>
    <t>/PmtInf/CdtTrfTxInf/UltmtDbtr/Id/PrvtId/Othr</t>
  </si>
  <si>
    <t>/PmtInf/CdtTrfTxInf/UltmtDbtr/Id/PrvtId/Othr/Id</t>
  </si>
  <si>
    <t>/PmtInf/CdtTrfTxInf/UltmtDbtr/Id/PrvtId/Othr/SchmeNm</t>
  </si>
  <si>
    <t>/PmtInf/CdtTrfTxInf/UltmtDbtr/Id/PrvtId/Othr/SchmeNm/Cd</t>
  </si>
  <si>
    <t>/PmtInf/CdtTrfTxInf/UltmtDbtr/Id/PrvtId/Othr/SchmeNm/Prtry</t>
  </si>
  <si>
    <t>/PmtInf/CdtTrfTxInf/UltmtDbtr/Id/PrvtId/Othr/Issr</t>
  </si>
  <si>
    <t>/PmtInf/CdtTrfTxInf/CdtrAgt</t>
  </si>
  <si>
    <t>/PmtInf/CdtTrfTxInf/CdtrAgt/FinInstnId</t>
  </si>
  <si>
    <t>/PmtInf/CdtTrfTxInf/CdtrAgt/FinInstnId/BIC</t>
  </si>
  <si>
    <t>/PmtInf/CdtTrfTxInf/Cdtr</t>
  </si>
  <si>
    <t>/PmtInf/CdtTrfTxInf/Cdtr/Nm</t>
  </si>
  <si>
    <t>/PmtInf/CdtTrfTxInf/Cdtr/PstlAdr</t>
  </si>
  <si>
    <t>/PmtInf/CdtTrfTxInf/Cdtr/PstlAdr/Ctry</t>
  </si>
  <si>
    <t>/PmtInf/CdtTrfTxInf/Cdtr/PstlAdr/AdrLine</t>
  </si>
  <si>
    <t>/PmtInf/CdtTrfTxInf/Cdtr/Id</t>
  </si>
  <si>
    <t>/PmtInf/CdtTrfTxInf/Cdtr/Id/OrgId</t>
  </si>
  <si>
    <t>/PmtInf/CdtTrfTxInf/Cdtr/Id/OrgId/BICOrBEI</t>
  </si>
  <si>
    <t>/PmtInf/CdtTrfTxInf/Cdtr/Id/OrgId/Othr</t>
  </si>
  <si>
    <t>/PmtInf/CdtTrfTxInf/Cdtr/Id/OrgId/Othr/Id</t>
  </si>
  <si>
    <t>/PmtInf/CdtTrfTxInf/Cdtr/Id/OrgId/Othr/SchmeNm</t>
  </si>
  <si>
    <t>/PmtInf/CdtTrfTxInf/Cdtr/Id/OrgId/Othr/SchmeNm/Cd</t>
  </si>
  <si>
    <t>/PmtInf/CdtTrfTxInf/Cdtr/Id/OrgId/Othr/SchmeNm/Prtry</t>
  </si>
  <si>
    <t>/PmtInf/CdtTrfTxInf/Cdtr/Id/OrgId/Othr/Issr</t>
  </si>
  <si>
    <t>/PmtInf/CdtTrfTxInf/Cdtr/Id/PrvtId</t>
  </si>
  <si>
    <t>/PmtInf/CdtTrfTxInf/Cdtr/Id/PrvtId/DtAndPlcOfBirth</t>
  </si>
  <si>
    <t>/PmtInf/CdtTrfTxInf/Cdtr/Id/PrvtId/DtAndPlcOfBirth/BirthDt</t>
  </si>
  <si>
    <t>/PmtInf/CdtTrfTxInf/Cdtr/Id/PrvtId/DtAndPlcOfBirth/PrvcOfBirth</t>
  </si>
  <si>
    <t>/PmtInf/CdtTrfTxInf/Cdtr/Id/PrvtId/DtAndPlcOfBirth/CityOfBirth</t>
  </si>
  <si>
    <t>/PmtInf/CdtTrfTxInf/Cdtr/Id/PrvtId/DtAndPlcOfBirth/CtryOfBirth</t>
  </si>
  <si>
    <t>/PmtInf/CdtTrfTxInf/Cdtr/Id/PrvtId/Othr</t>
  </si>
  <si>
    <t>/PmtInf/CdtTrfTxInf/Cdtr/Id/PrvtId/Othr/Id</t>
  </si>
  <si>
    <t>/PmtInf/CdtTrfTxInf/Cdtr/Id/PrvtId/Othr/SchmeNm</t>
  </si>
  <si>
    <t>/PmtInf/CdtTrfTxInf/Cdtr/Id/PrvtId/Othr/SchmeNm/Cd</t>
  </si>
  <si>
    <t>/PmtInf/CdtTrfTxInf/Cdtr/Id/PrvtId/Othr/SchmeNm/Prtry</t>
  </si>
  <si>
    <t>/PmtInf/CdtTrfTxInf/Cdtr/Id/PrvtId/Othr/Issr</t>
  </si>
  <si>
    <t>/PmtInf/CdtTrfTxInf/CdtrAcct</t>
  </si>
  <si>
    <t>/PmtInf/CdtTrfTxInf/CdtrAcct/Id</t>
  </si>
  <si>
    <t>/PmtInf/CdtTrfTxInf/CdtrAcct/Id/IBAN</t>
  </si>
  <si>
    <t>/PmtInf/CdtTrfTxInf/UltmtCdtr</t>
  </si>
  <si>
    <t>/PmtInf/CdtTrfTxInf/UltmtCdtr/Nm</t>
  </si>
  <si>
    <t>/PmtInf/CdtTrfTxInf/UltmtCdtr/Id</t>
  </si>
  <si>
    <t>/PmtInf/CdtTrfTxInf/UltmtCdtr/Id/OrgId</t>
  </si>
  <si>
    <t>/PmtInf/CdtTrfTxInf/UltmtCdtr/Id/OrgId/BICOrBEI</t>
  </si>
  <si>
    <t>/PmtInf/CdtTrfTxInf/UltmtCdtr/Id/OrgId/Othr</t>
  </si>
  <si>
    <t>/PmtInf/CdtTrfTxInf/UltmtCdtr/Id/OrgId/Othr/Id</t>
  </si>
  <si>
    <t>/PmtInf/CdtTrfTxInf/UltmtCdtr/Id/OrgId/Othr/SchmeNm</t>
  </si>
  <si>
    <t>/PmtInf/CdtTrfTxInf/UltmtCdtr/Id/OrgId/Othr/SchmeNm/Cd</t>
  </si>
  <si>
    <t>/PmtInf/CdtTrfTxInf/UltmtCdtr/Id/OrgId/Othr/SchmeNm/Prtry</t>
  </si>
  <si>
    <t>/PmtInf/CdtTrfTxInf/UltmtCdtr/Id/OrgId/Othr/Issr</t>
  </si>
  <si>
    <t>/PmtInf/CdtTrfTxInf/UltmtCdtr/Id/PrvtId</t>
  </si>
  <si>
    <t>/PmtInf/CdtTrfTxInf/UltmtCdtr/Id/PrvtId/DtAndPlcOfBirth</t>
  </si>
  <si>
    <t>/PmtInf/CdtTrfTxInf/UltmtCdtr/Id/PrvtId/DtAndPlcOfBirth/BirthDt</t>
  </si>
  <si>
    <t>/PmtInf/CdtTrfTxInf/UltmtCdtr/Id/PrvtId/DtAndPlcOfBirth/PrvcOfBirth</t>
  </si>
  <si>
    <t>/PmtInf/CdtTrfTxInf/UltmtCdtr/Id/PrvtId/DtAndPlcOfBirth/CityOfBirth</t>
  </si>
  <si>
    <t>/PmtInf/CdtTrfTxInf/UltmtCdtr/Id/PrvtId/DtAndPlcOfBirth/CtryOfBirth</t>
  </si>
  <si>
    <t>/PmtInf/CdtTrfTxInf/UltmtCdtr/Id/PrvtId/Othr</t>
  </si>
  <si>
    <t>/PmtInf/CdtTrfTxInf/UltmtCdtr/Id/PrvtId/Othr/Id</t>
  </si>
  <si>
    <t>/PmtInf/CdtTrfTxInf/UltmtCdtr/Id/PrvtId/Othr/SchmeNm</t>
  </si>
  <si>
    <t>/PmtInf/CdtTrfTxInf/UltmtCdtr/Id/PrvtId/Othr/SchmeNm/Cd</t>
  </si>
  <si>
    <t>/PmtInf/CdtTrfTxInf/UltmtCdtr/Id/PrvtId/Othr/SchmeNm/Prtry</t>
  </si>
  <si>
    <t>/PmtInf/CdtTrfTxInf/UltmtCdtr/Id/PrvtId/Othr/Issr</t>
  </si>
  <si>
    <t>/PmtInf/CdtTrfTxInf/Purp</t>
  </si>
  <si>
    <t>/PmtInf/CdtTrfTxInf/Purp/Cd</t>
  </si>
  <si>
    <t>/PmtInf/CdtTrfTxInf/RmtInf</t>
  </si>
  <si>
    <t>/PmtInf/CdtTrfTxInf/RmtInf/Ustrd</t>
  </si>
  <si>
    <t>/PmtInf/CdtTrfTxInf/RmtInf/Strd</t>
  </si>
  <si>
    <t>/PmtInf/CdtTrfTxInf/RmtInf/Strd/CdtrRefInf</t>
  </si>
  <si>
    <t>/PmtInf/CdtTrfTxInf/RmtInf/Strd/CdtrRefInf/Tp</t>
  </si>
  <si>
    <t>/PmtInf/CdtTrfTxInf/RmtInf/Strd/CdtrRefInf/Tp/CdOrPrtry</t>
  </si>
  <si>
    <t>/PmtInf/CdtTrfTxInf/RmtInf/Strd/CdtrRefInf/Tp/CdOrPrtry/Cd</t>
  </si>
  <si>
    <t>/PmtInf/CdtTrfTxInf/RmtInf/Strd/CdtrRefInf/Tp/CdOrPrtry/Cd/</t>
  </si>
  <si>
    <t>/PmtInf/CdtTrfTxInf/RmtInf/Strd/CdtrRefInf/Tp/Issr</t>
  </si>
  <si>
    <t>n</t>
  </si>
  <si>
    <t>MinOccurs</t>
  </si>
  <si>
    <t>MaxOccurs</t>
  </si>
  <si>
    <t>Value</t>
  </si>
  <si>
    <t xml:space="preserve">Naam Opdrachtgever:    </t>
  </si>
  <si>
    <t xml:space="preserve">IBAN-nummer:    </t>
  </si>
  <si>
    <t xml:space="preserve">BIC-code bank:    </t>
  </si>
  <si>
    <t xml:space="preserve">Landcode:    </t>
  </si>
  <si>
    <t xml:space="preserve">Eigen kenmerk (3 pos):    </t>
  </si>
  <si>
    <t>2-letterig</t>
  </si>
  <si>
    <t>Land</t>
  </si>
  <si>
    <t>AF</t>
  </si>
  <si>
    <t xml:space="preserve">Afghanistan </t>
  </si>
  <si>
    <t>AX</t>
  </si>
  <si>
    <t xml:space="preserve">Åland </t>
  </si>
  <si>
    <t>AL</t>
  </si>
  <si>
    <t xml:space="preserve">Albanië </t>
  </si>
  <si>
    <t>DZ</t>
  </si>
  <si>
    <t xml:space="preserve">Algerije </t>
  </si>
  <si>
    <t>VI</t>
  </si>
  <si>
    <t xml:space="preserve">Amerikaanse </t>
  </si>
  <si>
    <t>AS</t>
  </si>
  <si>
    <t xml:space="preserve">Amerikaans-Samoa </t>
  </si>
  <si>
    <t>AD</t>
  </si>
  <si>
    <t xml:space="preserve">Andorra </t>
  </si>
  <si>
    <t>AO</t>
  </si>
  <si>
    <t xml:space="preserve">Angola </t>
  </si>
  <si>
    <t>AI</t>
  </si>
  <si>
    <t xml:space="preserve">Anguilla </t>
  </si>
  <si>
    <t>AQ</t>
  </si>
  <si>
    <t xml:space="preserve">Antarctica </t>
  </si>
  <si>
    <t>AG</t>
  </si>
  <si>
    <t>Antigua en Barbuda</t>
  </si>
  <si>
    <t>AR</t>
  </si>
  <si>
    <t xml:space="preserve">Argentinië </t>
  </si>
  <si>
    <t>AM</t>
  </si>
  <si>
    <t xml:space="preserve">Armenië </t>
  </si>
  <si>
    <t>AW</t>
  </si>
  <si>
    <t xml:space="preserve">Aruba </t>
  </si>
  <si>
    <t>AU</t>
  </si>
  <si>
    <t xml:space="preserve">Australië </t>
  </si>
  <si>
    <t>AZ</t>
  </si>
  <si>
    <t xml:space="preserve">Azerbeidzjan </t>
  </si>
  <si>
    <t>BS</t>
  </si>
  <si>
    <t xml:space="preserve">Bahama's </t>
  </si>
  <si>
    <t>BH</t>
  </si>
  <si>
    <t xml:space="preserve">Bahrein </t>
  </si>
  <si>
    <t>BD</t>
  </si>
  <si>
    <t xml:space="preserve">Bangladesh </t>
  </si>
  <si>
    <t>BB</t>
  </si>
  <si>
    <t xml:space="preserve">Barbados </t>
  </si>
  <si>
    <t>BE</t>
  </si>
  <si>
    <t xml:space="preserve">België </t>
  </si>
  <si>
    <t>BZ</t>
  </si>
  <si>
    <t xml:space="preserve">Belize </t>
  </si>
  <si>
    <t>BJ</t>
  </si>
  <si>
    <t xml:space="preserve">Benin </t>
  </si>
  <si>
    <t>BM</t>
  </si>
  <si>
    <t xml:space="preserve">Bermuda </t>
  </si>
  <si>
    <t>BT</t>
  </si>
  <si>
    <t xml:space="preserve">Bhutan </t>
  </si>
  <si>
    <t>BO</t>
  </si>
  <si>
    <t xml:space="preserve">Bolivia </t>
  </si>
  <si>
    <t>BQ</t>
  </si>
  <si>
    <t xml:space="preserve">Nederland Bonaire, Sint Eustatius en Saba </t>
  </si>
  <si>
    <t>BA</t>
  </si>
  <si>
    <t>Bosnië en Herzegovina</t>
  </si>
  <si>
    <t>BW</t>
  </si>
  <si>
    <t xml:space="preserve">Botswana </t>
  </si>
  <si>
    <t>BV</t>
  </si>
  <si>
    <t xml:space="preserve">Noorwegen </t>
  </si>
  <si>
    <t>BR</t>
  </si>
  <si>
    <t xml:space="preserve">Brazilië </t>
  </si>
  <si>
    <t>VG</t>
  </si>
  <si>
    <t>Britse Maagdeneilanden</t>
  </si>
  <si>
    <t>IO</t>
  </si>
  <si>
    <t xml:space="preserve">Brits </t>
  </si>
  <si>
    <t>BN</t>
  </si>
  <si>
    <t xml:space="preserve">Brunei </t>
  </si>
  <si>
    <t>BG</t>
  </si>
  <si>
    <t xml:space="preserve">Bulgarije </t>
  </si>
  <si>
    <t>BF</t>
  </si>
  <si>
    <t>Burkina Faso</t>
  </si>
  <si>
    <t>BI</t>
  </si>
  <si>
    <t xml:space="preserve">Burundi </t>
  </si>
  <si>
    <t>KH</t>
  </si>
  <si>
    <t xml:space="preserve">Cambodja </t>
  </si>
  <si>
    <t>CA</t>
  </si>
  <si>
    <t xml:space="preserve">Canada </t>
  </si>
  <si>
    <t>CF</t>
  </si>
  <si>
    <t>Centraal-Afrikaanse Republiek</t>
  </si>
  <si>
    <t>CL</t>
  </si>
  <si>
    <t xml:space="preserve">Chili </t>
  </si>
  <si>
    <t>CN</t>
  </si>
  <si>
    <t xml:space="preserve">China </t>
  </si>
  <si>
    <t>CX</t>
  </si>
  <si>
    <t xml:space="preserve">Christmaseiland </t>
  </si>
  <si>
    <t>CC</t>
  </si>
  <si>
    <t xml:space="preserve">Cocoseilanden </t>
  </si>
  <si>
    <t>CO</t>
  </si>
  <si>
    <t xml:space="preserve">Colombia </t>
  </si>
  <si>
    <t>KM</t>
  </si>
  <si>
    <t>de Comoren</t>
  </si>
  <si>
    <t>CG</t>
  </si>
  <si>
    <t xml:space="preserve">Congo-Brazzaville </t>
  </si>
  <si>
    <t>CD</t>
  </si>
  <si>
    <t xml:space="preserve">Congo-Kinshasa </t>
  </si>
  <si>
    <t>CK</t>
  </si>
  <si>
    <t xml:space="preserve">Cookeilanden </t>
  </si>
  <si>
    <t>CR</t>
  </si>
  <si>
    <t>Costa Rica</t>
  </si>
  <si>
    <t>CU</t>
  </si>
  <si>
    <t xml:space="preserve">Cuba </t>
  </si>
  <si>
    <t>CW</t>
  </si>
  <si>
    <t xml:space="preserve">Curaçao </t>
  </si>
  <si>
    <t>CY</t>
  </si>
  <si>
    <t xml:space="preserve">Cyprus </t>
  </si>
  <si>
    <t>DK</t>
  </si>
  <si>
    <t xml:space="preserve">Denemarken </t>
  </si>
  <si>
    <t>DJ</t>
  </si>
  <si>
    <t xml:space="preserve">Djibouti </t>
  </si>
  <si>
    <t>DM</t>
  </si>
  <si>
    <t xml:space="preserve">Dominica </t>
  </si>
  <si>
    <t>DO</t>
  </si>
  <si>
    <t>Dominicaanse Republiek</t>
  </si>
  <si>
    <t>DE</t>
  </si>
  <si>
    <t xml:space="preserve">Duitsland </t>
  </si>
  <si>
    <t>EC</t>
  </si>
  <si>
    <t xml:space="preserve">Ecuador </t>
  </si>
  <si>
    <t>EG</t>
  </si>
  <si>
    <t xml:space="preserve">Egypte </t>
  </si>
  <si>
    <t>SV</t>
  </si>
  <si>
    <t>El Salvador</t>
  </si>
  <si>
    <t>GQ</t>
  </si>
  <si>
    <t xml:space="preserve">Equatoriaal-Guinea </t>
  </si>
  <si>
    <t>ER</t>
  </si>
  <si>
    <t xml:space="preserve">Eritrea </t>
  </si>
  <si>
    <t>EE</t>
  </si>
  <si>
    <t xml:space="preserve">Estland </t>
  </si>
  <si>
    <t>ET</t>
  </si>
  <si>
    <t xml:space="preserve">Ethiopië </t>
  </si>
  <si>
    <t>FO</t>
  </si>
  <si>
    <t>de Faeröer</t>
  </si>
  <si>
    <t>FK</t>
  </si>
  <si>
    <t xml:space="preserve">Falklandeilanden </t>
  </si>
  <si>
    <t>FJ</t>
  </si>
  <si>
    <t xml:space="preserve">Fiji </t>
  </si>
  <si>
    <t>PH</t>
  </si>
  <si>
    <t xml:space="preserve">Filipijnen </t>
  </si>
  <si>
    <t>FI</t>
  </si>
  <si>
    <t xml:space="preserve">Finland </t>
  </si>
  <si>
    <t>FR</t>
  </si>
  <si>
    <t xml:space="preserve">Frankrijk </t>
  </si>
  <si>
    <t>TF</t>
  </si>
  <si>
    <t xml:space="preserve">Frankrijk Franse Zuidelijke en Antarctische Gebieden </t>
  </si>
  <si>
    <t>GF</t>
  </si>
  <si>
    <t xml:space="preserve">Frankrijk Frans-Guyana </t>
  </si>
  <si>
    <t>PF</t>
  </si>
  <si>
    <t xml:space="preserve">Frans-Polynesië </t>
  </si>
  <si>
    <t>GA</t>
  </si>
  <si>
    <t xml:space="preserve">Gabon </t>
  </si>
  <si>
    <t>GM</t>
  </si>
  <si>
    <t xml:space="preserve">Gambia </t>
  </si>
  <si>
    <t>GE</t>
  </si>
  <si>
    <t xml:space="preserve">Georgië </t>
  </si>
  <si>
    <t>GH</t>
  </si>
  <si>
    <t xml:space="preserve">Ghana </t>
  </si>
  <si>
    <t>GI</t>
  </si>
  <si>
    <t xml:space="preserve">Gibraltar </t>
  </si>
  <si>
    <t>GD</t>
  </si>
  <si>
    <t xml:space="preserve">Grenada </t>
  </si>
  <si>
    <t>GR</t>
  </si>
  <si>
    <t xml:space="preserve">Griekenland </t>
  </si>
  <si>
    <t>GL</t>
  </si>
  <si>
    <t xml:space="preserve">Groenland </t>
  </si>
  <si>
    <t>GP</t>
  </si>
  <si>
    <t xml:space="preserve">Frankrijk Guadeloupe </t>
  </si>
  <si>
    <t>GU</t>
  </si>
  <si>
    <t xml:space="preserve">Guam </t>
  </si>
  <si>
    <t>GT</t>
  </si>
  <si>
    <t xml:space="preserve">Guatemala </t>
  </si>
  <si>
    <t>GG</t>
  </si>
  <si>
    <t xml:space="preserve">Guernsey </t>
  </si>
  <si>
    <t>GN</t>
  </si>
  <si>
    <t xml:space="preserve">Guinee </t>
  </si>
  <si>
    <t>GW</t>
  </si>
  <si>
    <t xml:space="preserve">Guinee-Bissau </t>
  </si>
  <si>
    <t>GY</t>
  </si>
  <si>
    <t xml:space="preserve">Guyana </t>
  </si>
  <si>
    <t>HT</t>
  </si>
  <si>
    <t xml:space="preserve">Haïti </t>
  </si>
  <si>
    <t>HM</t>
  </si>
  <si>
    <t xml:space="preserve">Australië Heard en McDonaldeilanden </t>
  </si>
  <si>
    <t>HN</t>
  </si>
  <si>
    <t xml:space="preserve">Honduras </t>
  </si>
  <si>
    <t>HU</t>
  </si>
  <si>
    <t xml:space="preserve">Hongarije </t>
  </si>
  <si>
    <t>HK</t>
  </si>
  <si>
    <t xml:space="preserve">Hongkong </t>
  </si>
  <si>
    <t>IE</t>
  </si>
  <si>
    <t xml:space="preserve">Ierland </t>
  </si>
  <si>
    <t>IS</t>
  </si>
  <si>
    <t xml:space="preserve">IJsland </t>
  </si>
  <si>
    <t>IN</t>
  </si>
  <si>
    <t xml:space="preserve">India </t>
  </si>
  <si>
    <t>ID</t>
  </si>
  <si>
    <t xml:space="preserve">Indonesië </t>
  </si>
  <si>
    <t>IQ</t>
  </si>
  <si>
    <t xml:space="preserve">Irak </t>
  </si>
  <si>
    <t>IR</t>
  </si>
  <si>
    <t xml:space="preserve">Iran </t>
  </si>
  <si>
    <t>IM</t>
  </si>
  <si>
    <t>Isle of Man</t>
  </si>
  <si>
    <t>IL</t>
  </si>
  <si>
    <t xml:space="preserve">Israël </t>
  </si>
  <si>
    <t>IT</t>
  </si>
  <si>
    <t xml:space="preserve">Italië </t>
  </si>
  <si>
    <t>CI</t>
  </si>
  <si>
    <t xml:space="preserve">Ivoorkust </t>
  </si>
  <si>
    <t>JM</t>
  </si>
  <si>
    <t xml:space="preserve">Jamaica </t>
  </si>
  <si>
    <t>JP</t>
  </si>
  <si>
    <t xml:space="preserve">Japan </t>
  </si>
  <si>
    <t>YE</t>
  </si>
  <si>
    <t xml:space="preserve">Jemen </t>
  </si>
  <si>
    <t>JE</t>
  </si>
  <si>
    <t xml:space="preserve">Jersey </t>
  </si>
  <si>
    <t>JO</t>
  </si>
  <si>
    <t xml:space="preserve">Jordanië </t>
  </si>
  <si>
    <t>KY</t>
  </si>
  <si>
    <t xml:space="preserve">Kaaimaneilanden </t>
  </si>
  <si>
    <t>CV</t>
  </si>
  <si>
    <t xml:space="preserve">Kaapverdië </t>
  </si>
  <si>
    <t>CM</t>
  </si>
  <si>
    <t xml:space="preserve">Kameroen </t>
  </si>
  <si>
    <t>KZ</t>
  </si>
  <si>
    <t xml:space="preserve">Kazachstan </t>
  </si>
  <si>
    <t>KE</t>
  </si>
  <si>
    <t xml:space="preserve">Kenia </t>
  </si>
  <si>
    <t>KG</t>
  </si>
  <si>
    <t xml:space="preserve">Kirgizië </t>
  </si>
  <si>
    <t>KI</t>
  </si>
  <si>
    <t xml:space="preserve">Kiribati </t>
  </si>
  <si>
    <t>UM</t>
  </si>
  <si>
    <t xml:space="preserve">Kleine Pacifische eilanden van de Verenigde Staten </t>
  </si>
  <si>
    <t>KW</t>
  </si>
  <si>
    <t xml:space="preserve">Koeweit </t>
  </si>
  <si>
    <t>HR</t>
  </si>
  <si>
    <t xml:space="preserve">Kroatië </t>
  </si>
  <si>
    <t>LA</t>
  </si>
  <si>
    <t xml:space="preserve">Laos </t>
  </si>
  <si>
    <t>LS</t>
  </si>
  <si>
    <t xml:space="preserve">Lesotho </t>
  </si>
  <si>
    <t>LV</t>
  </si>
  <si>
    <t xml:space="preserve">Letland </t>
  </si>
  <si>
    <t>LB</t>
  </si>
  <si>
    <t xml:space="preserve">Libanon </t>
  </si>
  <si>
    <t>LR</t>
  </si>
  <si>
    <t xml:space="preserve">Liberia </t>
  </si>
  <si>
    <t>LY</t>
  </si>
  <si>
    <t xml:space="preserve">Libië </t>
  </si>
  <si>
    <t>LI</t>
  </si>
  <si>
    <t xml:space="preserve">Liechtenstein </t>
  </si>
  <si>
    <t>LT</t>
  </si>
  <si>
    <t xml:space="preserve">Litouwen </t>
  </si>
  <si>
    <t>LU</t>
  </si>
  <si>
    <t xml:space="preserve">Luxemburg </t>
  </si>
  <si>
    <t>MO</t>
  </si>
  <si>
    <t xml:space="preserve">Macau </t>
  </si>
  <si>
    <t>MK</t>
  </si>
  <si>
    <t xml:space="preserve">Macedonië </t>
  </si>
  <si>
    <t>MG</t>
  </si>
  <si>
    <t xml:space="preserve">Madagaskar </t>
  </si>
  <si>
    <t>MW</t>
  </si>
  <si>
    <t xml:space="preserve">Malawi </t>
  </si>
  <si>
    <t>MV</t>
  </si>
  <si>
    <t xml:space="preserve">Maldiven </t>
  </si>
  <si>
    <t>MY</t>
  </si>
  <si>
    <t xml:space="preserve">Maleisië </t>
  </si>
  <si>
    <t>ML</t>
  </si>
  <si>
    <t xml:space="preserve">Mali </t>
  </si>
  <si>
    <t>MT</t>
  </si>
  <si>
    <t xml:space="preserve">Malta </t>
  </si>
  <si>
    <t>MA</t>
  </si>
  <si>
    <t xml:space="preserve">Marokko </t>
  </si>
  <si>
    <t>MH</t>
  </si>
  <si>
    <t xml:space="preserve">Marshalleilanden </t>
  </si>
  <si>
    <t>MQ</t>
  </si>
  <si>
    <t xml:space="preserve">Frankrijk Martinique </t>
  </si>
  <si>
    <t>MR</t>
  </si>
  <si>
    <t xml:space="preserve">Mauritanië </t>
  </si>
  <si>
    <t>MU</t>
  </si>
  <si>
    <t xml:space="preserve">Mauritius </t>
  </si>
  <si>
    <t>YT</t>
  </si>
  <si>
    <t>Frankrijk (inclusief Mayotte)</t>
  </si>
  <si>
    <t>MX</t>
  </si>
  <si>
    <t xml:space="preserve">Mexico </t>
  </si>
  <si>
    <t>FM</t>
  </si>
  <si>
    <t xml:space="preserve">Micronesia </t>
  </si>
  <si>
    <t>MD</t>
  </si>
  <si>
    <t xml:space="preserve">Moldavië </t>
  </si>
  <si>
    <t>MC</t>
  </si>
  <si>
    <t xml:space="preserve">Monaco </t>
  </si>
  <si>
    <t>MN</t>
  </si>
  <si>
    <t xml:space="preserve">Mongolië </t>
  </si>
  <si>
    <t>ME</t>
  </si>
  <si>
    <t xml:space="preserve">Montenegro </t>
  </si>
  <si>
    <t>MS</t>
  </si>
  <si>
    <t xml:space="preserve">Montserrat </t>
  </si>
  <si>
    <t>MZ</t>
  </si>
  <si>
    <t xml:space="preserve">Mozambique </t>
  </si>
  <si>
    <t>MM</t>
  </si>
  <si>
    <t xml:space="preserve">Myanmar </t>
  </si>
  <si>
    <t>NA</t>
  </si>
  <si>
    <t xml:space="preserve">Namibië </t>
  </si>
  <si>
    <t>NR</t>
  </si>
  <si>
    <t xml:space="preserve">Nauru </t>
  </si>
  <si>
    <t xml:space="preserve">Nederland </t>
  </si>
  <si>
    <t>NP</t>
  </si>
  <si>
    <t xml:space="preserve">Nepal </t>
  </si>
  <si>
    <t>NI</t>
  </si>
  <si>
    <t xml:space="preserve">Nicaragua </t>
  </si>
  <si>
    <t>NC</t>
  </si>
  <si>
    <t xml:space="preserve">Nieuw-Caledonië </t>
  </si>
  <si>
    <t>NZ</t>
  </si>
  <si>
    <t xml:space="preserve">Nieuw-Zeeland </t>
  </si>
  <si>
    <t>NE</t>
  </si>
  <si>
    <t xml:space="preserve">Niger </t>
  </si>
  <si>
    <t>NG</t>
  </si>
  <si>
    <t xml:space="preserve">Nigeria </t>
  </si>
  <si>
    <t>NU</t>
  </si>
  <si>
    <t xml:space="preserve">Niue </t>
  </si>
  <si>
    <t>MP</t>
  </si>
  <si>
    <t xml:space="preserve">Noordelijke-Marianen </t>
  </si>
  <si>
    <t>KP</t>
  </si>
  <si>
    <t xml:space="preserve">Noord-Korea </t>
  </si>
  <si>
    <t>NO</t>
  </si>
  <si>
    <t>NF</t>
  </si>
  <si>
    <t xml:space="preserve">Norfolkeiland </t>
  </si>
  <si>
    <t>UG</t>
  </si>
  <si>
    <t xml:space="preserve">Oeganda </t>
  </si>
  <si>
    <t>UA</t>
  </si>
  <si>
    <t xml:space="preserve">Oekraïne </t>
  </si>
  <si>
    <t>UZ</t>
  </si>
  <si>
    <t xml:space="preserve">Oezbekistan </t>
  </si>
  <si>
    <t>OM</t>
  </si>
  <si>
    <t xml:space="preserve">Oman </t>
  </si>
  <si>
    <t>AT</t>
  </si>
  <si>
    <t xml:space="preserve">Oostenrijk </t>
  </si>
  <si>
    <t>TL</t>
  </si>
  <si>
    <t xml:space="preserve">Oost-Timor </t>
  </si>
  <si>
    <t>PK</t>
  </si>
  <si>
    <t xml:space="preserve">Pakistan </t>
  </si>
  <si>
    <t>PW</t>
  </si>
  <si>
    <t xml:space="preserve">Palau </t>
  </si>
  <si>
    <t>PS</t>
  </si>
  <si>
    <t xml:space="preserve">Palestina </t>
  </si>
  <si>
    <t>PA</t>
  </si>
  <si>
    <t xml:space="preserve">Panama </t>
  </si>
  <si>
    <t>PG</t>
  </si>
  <si>
    <t xml:space="preserve">Papoea-Nieuw-Guinea </t>
  </si>
  <si>
    <t>PY</t>
  </si>
  <si>
    <t xml:space="preserve">Paraguay </t>
  </si>
  <si>
    <t>PE</t>
  </si>
  <si>
    <t xml:space="preserve">Peru </t>
  </si>
  <si>
    <t>PN</t>
  </si>
  <si>
    <t xml:space="preserve">Pitcairneilanden </t>
  </si>
  <si>
    <t>PL</t>
  </si>
  <si>
    <t xml:space="preserve">Polen </t>
  </si>
  <si>
    <t>PT</t>
  </si>
  <si>
    <t xml:space="preserve">Portugal </t>
  </si>
  <si>
    <t>PR</t>
  </si>
  <si>
    <t xml:space="preserve">Puerto-Rico </t>
  </si>
  <si>
    <t>QA</t>
  </si>
  <si>
    <t xml:space="preserve">Qatar </t>
  </si>
  <si>
    <t>RE</t>
  </si>
  <si>
    <t>RO</t>
  </si>
  <si>
    <t xml:space="preserve">Roemenië </t>
  </si>
  <si>
    <t>RU</t>
  </si>
  <si>
    <t xml:space="preserve">Rusland </t>
  </si>
  <si>
    <t>RW</t>
  </si>
  <si>
    <t xml:space="preserve">Rwanda </t>
  </si>
  <si>
    <t>BL</t>
  </si>
  <si>
    <t xml:space="preserve">Frankrijk Saint-Barthélemy </t>
  </si>
  <si>
    <t>KN</t>
  </si>
  <si>
    <t>Saint Kitts en Nevis</t>
  </si>
  <si>
    <t>LC</t>
  </si>
  <si>
    <t xml:space="preserve">Saint-Lucia </t>
  </si>
  <si>
    <t>PM</t>
  </si>
  <si>
    <t xml:space="preserve">Saint-Pierre </t>
  </si>
  <si>
    <t>VC</t>
  </si>
  <si>
    <t>Saint Vincent en de Grenadines</t>
  </si>
  <si>
    <t>SB</t>
  </si>
  <si>
    <t xml:space="preserve">Salomonseilanden </t>
  </si>
  <si>
    <t>WS</t>
  </si>
  <si>
    <t xml:space="preserve">Samoa </t>
  </si>
  <si>
    <t>SM</t>
  </si>
  <si>
    <t xml:space="preserve">San-Marino </t>
  </si>
  <si>
    <t>SA</t>
  </si>
  <si>
    <t xml:space="preserve">Saoedi-Arabië </t>
  </si>
  <si>
    <t>ST</t>
  </si>
  <si>
    <t>Sao Tomé en Principe</t>
  </si>
  <si>
    <t>SN</t>
  </si>
  <si>
    <t xml:space="preserve">Senegal </t>
  </si>
  <si>
    <t>RS</t>
  </si>
  <si>
    <t xml:space="preserve">Servië </t>
  </si>
  <si>
    <t>SC</t>
  </si>
  <si>
    <t xml:space="preserve">Seychellen </t>
  </si>
  <si>
    <t>SL</t>
  </si>
  <si>
    <t xml:space="preserve">Sierra-Leone </t>
  </si>
  <si>
    <t>SG</t>
  </si>
  <si>
    <t xml:space="preserve">Singapore </t>
  </si>
  <si>
    <t>SH</t>
  </si>
  <si>
    <t>Sint-Helena, Ascension en Tristan da Cunha</t>
  </si>
  <si>
    <t>MF</t>
  </si>
  <si>
    <t xml:space="preserve">Frankrijk Sint-Maarten </t>
  </si>
  <si>
    <t>SX</t>
  </si>
  <si>
    <t xml:space="preserve">Sint-Maarten </t>
  </si>
  <si>
    <t>SI</t>
  </si>
  <si>
    <t xml:space="preserve">Slovenië </t>
  </si>
  <si>
    <t>SK</t>
  </si>
  <si>
    <t xml:space="preserve">Slowakije </t>
  </si>
  <si>
    <t>SD</t>
  </si>
  <si>
    <t xml:space="preserve">Soedan </t>
  </si>
  <si>
    <t>SO</t>
  </si>
  <si>
    <t xml:space="preserve">Somalië </t>
  </si>
  <si>
    <t>ES</t>
  </si>
  <si>
    <t xml:space="preserve">Spanje </t>
  </si>
  <si>
    <t>SJ</t>
  </si>
  <si>
    <t xml:space="preserve">Noorwegen Spitsbergen en Jan Mayen </t>
  </si>
  <si>
    <t>LK</t>
  </si>
  <si>
    <t xml:space="preserve">Sri-Lanka </t>
  </si>
  <si>
    <t>SR</t>
  </si>
  <si>
    <t xml:space="preserve">Suriname </t>
  </si>
  <si>
    <t>SZ</t>
  </si>
  <si>
    <t xml:space="preserve">Swaziland </t>
  </si>
  <si>
    <t>SY</t>
  </si>
  <si>
    <t xml:space="preserve">Syrië </t>
  </si>
  <si>
    <t>TJ</t>
  </si>
  <si>
    <t xml:space="preserve">Tadzjikistan </t>
  </si>
  <si>
    <t>TW</t>
  </si>
  <si>
    <t xml:space="preserve">Taiwan </t>
  </si>
  <si>
    <t>TZ</t>
  </si>
  <si>
    <t xml:space="preserve">Tanzania </t>
  </si>
  <si>
    <t>TH</t>
  </si>
  <si>
    <t xml:space="preserve">Thailand </t>
  </si>
  <si>
    <t>TG</t>
  </si>
  <si>
    <t xml:space="preserve">Togo </t>
  </si>
  <si>
    <t>TK</t>
  </si>
  <si>
    <t>de Tokelau-eilanden</t>
  </si>
  <si>
    <t>TO</t>
  </si>
  <si>
    <t xml:space="preserve">Tonga </t>
  </si>
  <si>
    <t>TT</t>
  </si>
  <si>
    <t>Trinidad en Tobago</t>
  </si>
  <si>
    <t>TD</t>
  </si>
  <si>
    <t xml:space="preserve">Tsjaad </t>
  </si>
  <si>
    <t>CZ</t>
  </si>
  <si>
    <t xml:space="preserve">Tsjechië </t>
  </si>
  <si>
    <t>TN</t>
  </si>
  <si>
    <t xml:space="preserve">Tunesië </t>
  </si>
  <si>
    <t>TR</t>
  </si>
  <si>
    <t xml:space="preserve">Turkije </t>
  </si>
  <si>
    <t>TM</t>
  </si>
  <si>
    <t xml:space="preserve">Turkmenistan </t>
  </si>
  <si>
    <t>TC</t>
  </si>
  <si>
    <t xml:space="preserve">Turks- en Caicoseilanden </t>
  </si>
  <si>
    <t>TV</t>
  </si>
  <si>
    <t xml:space="preserve">Tuvalu </t>
  </si>
  <si>
    <t>UY</t>
  </si>
  <si>
    <t xml:space="preserve">Uruguay </t>
  </si>
  <si>
    <t>VU</t>
  </si>
  <si>
    <t xml:space="preserve">Vanuatu </t>
  </si>
  <si>
    <t>VA</t>
  </si>
  <si>
    <t xml:space="preserve">Vaticaanstad </t>
  </si>
  <si>
    <t>VE</t>
  </si>
  <si>
    <t xml:space="preserve">Venezuela </t>
  </si>
  <si>
    <t>AE</t>
  </si>
  <si>
    <t>de Verenigde Arabische Emiraten</t>
  </si>
  <si>
    <t>US</t>
  </si>
  <si>
    <t>de Verenigde Staten</t>
  </si>
  <si>
    <t>GB</t>
  </si>
  <si>
    <t>het Verenigd Koninkrijk</t>
  </si>
  <si>
    <t>VN</t>
  </si>
  <si>
    <t xml:space="preserve">Vietnam </t>
  </si>
  <si>
    <t>WF</t>
  </si>
  <si>
    <t>Wallis en Futuna</t>
  </si>
  <si>
    <t>EH</t>
  </si>
  <si>
    <t>estelijke Sahara</t>
  </si>
  <si>
    <t>BY</t>
  </si>
  <si>
    <t xml:space="preserve">Wit-Rusland </t>
  </si>
  <si>
    <t>ZM</t>
  </si>
  <si>
    <t xml:space="preserve">Zambia </t>
  </si>
  <si>
    <t>ZW</t>
  </si>
  <si>
    <t xml:space="preserve">Zimbabwe </t>
  </si>
  <si>
    <t>ZA</t>
  </si>
  <si>
    <t xml:space="preserve">Zuid-Afrika </t>
  </si>
  <si>
    <t>GS</t>
  </si>
  <si>
    <t xml:space="preserve">Zuid-Georgia </t>
  </si>
  <si>
    <t>KR</t>
  </si>
  <si>
    <t xml:space="preserve">Zuid-Korea </t>
  </si>
  <si>
    <t>SS</t>
  </si>
  <si>
    <t xml:space="preserve">Zuid-Soedan </t>
  </si>
  <si>
    <t>SE</t>
  </si>
  <si>
    <t>Zweden</t>
  </si>
  <si>
    <t>CH</t>
  </si>
  <si>
    <t>Zwitserland</t>
  </si>
  <si>
    <t>Gegevens opdrachtgever:</t>
  </si>
  <si>
    <t># Transacties:</t>
  </si>
  <si>
    <t xml:space="preserve">     Mapnaam:</t>
  </si>
  <si>
    <t xml:space="preserve">     Bestandsnaam:</t>
  </si>
  <si>
    <r>
      <rPr>
        <sz val="10"/>
        <color theme="10"/>
        <rFont val="Arial"/>
        <family val="2"/>
      </rPr>
      <t xml:space="preserve">           </t>
    </r>
    <r>
      <rPr>
        <u/>
        <sz val="10"/>
        <color theme="10"/>
        <rFont val="Arial"/>
        <family val="2"/>
      </rPr>
      <t>IBAN BIC service</t>
    </r>
  </si>
  <si>
    <t>Totaalbedrag:</t>
  </si>
  <si>
    <t>$D$9</t>
  </si>
  <si>
    <t>$D$17</t>
  </si>
  <si>
    <t>$D$18</t>
  </si>
  <si>
    <t>$D$8</t>
  </si>
  <si>
    <t>Type bericht:</t>
  </si>
  <si>
    <t>Instellingen SEPA Credit Transfer XML bestand</t>
  </si>
  <si>
    <t>BIC nr opdrachtgever:</t>
  </si>
  <si>
    <t xml:space="preserve">    Handmatig invoeren</t>
  </si>
  <si>
    <t>/GrpHdr/Authstn</t>
  </si>
  <si>
    <t>/GrpHdr/Authstn/Cd</t>
  </si>
  <si>
    <t>/GrpHdr/Authstn/Prtry</t>
  </si>
  <si>
    <t>/GrpHdr/InitgPty/PstlAdr</t>
  </si>
  <si>
    <t>/GrpHdr/InitgPty/PstlAdr/AdrTp</t>
  </si>
  <si>
    <t>/GrpHdr/InitgPty/PstlAdr/Dept</t>
  </si>
  <si>
    <t>/GrpHdr/InitgPty/PstlAdr/SubDept</t>
  </si>
  <si>
    <t>/GrpHdr/InitgPty/PstlAdr/StrtNm</t>
  </si>
  <si>
    <t>/GrpHdr/InitgPty/PstlAdr/BldgNb</t>
  </si>
  <si>
    <t>/GrpHdr/InitgPty/PstlAdr/PstCd</t>
  </si>
  <si>
    <t>/GrpHdr/InitgPty/PstlAdr/TwnNm</t>
  </si>
  <si>
    <t>/GrpHdr/InitgPty/PstlAdr/CtrySubDvsn</t>
  </si>
  <si>
    <t>/GrpHdr/InitgPty/PstlAdr/Ctry</t>
  </si>
  <si>
    <t>/GrpHdr/InitgPty/PstlAdr/AdrLine</t>
  </si>
  <si>
    <t>/GrpHdr/InitgPty/Id/OrgId/AnyBIC</t>
  </si>
  <si>
    <t>/GrpHdr/InitgPty/CtryOfRes</t>
  </si>
  <si>
    <t>/GrpHdr/InitgPty/CtctDtls</t>
  </si>
  <si>
    <t>/GrpHdr/InitgPty/CtctDtls/NmPrfx</t>
  </si>
  <si>
    <t>/GrpHdr/InitgPty/CtctDtls/Nm</t>
  </si>
  <si>
    <t>/GrpHdr/InitgPty/CtctDtls/PhneNb</t>
  </si>
  <si>
    <t>/GrpHdr/InitgPty/CtctDtls/MobNb</t>
  </si>
  <si>
    <t>/GrpHdr/InitgPty/CtctDtls/FaxNb</t>
  </si>
  <si>
    <t>/GrpHdr/InitgPty/CtctDtls/EmailAdr</t>
  </si>
  <si>
    <t>/GrpHdr/InitgPty/CtctDtls/Othr</t>
  </si>
  <si>
    <t>/GrpHdr/FwdgAgt</t>
  </si>
  <si>
    <t>/GrpHdr/FwdgAgt/FinInstnId</t>
  </si>
  <si>
    <t>/GrpHdr/FwdgAgt/FinInstnId/BICFI</t>
  </si>
  <si>
    <t>/GrpHdr/FwdgAgt/FinInstnId/ClrSysMmbId</t>
  </si>
  <si>
    <t>/GrpHdr/FwdgAgt/FinInstnId/ClrSysMmbId/ClrSysId</t>
  </si>
  <si>
    <t>/GrpHdr/FwdgAgt/FinInstnId/ClrSysMmbId/ClrSysId/Cd</t>
  </si>
  <si>
    <t>/GrpHdr/FwdgAgt/FinInstnId/ClrSysMmbId/ClrSysId/Prtry</t>
  </si>
  <si>
    <t>/GrpHdr/FwdgAgt/FinInstnId/ClrSysMmbId/MmbId</t>
  </si>
  <si>
    <t>/GrpHdr/FwdgAgt/FinInstnId/Nm</t>
  </si>
  <si>
    <t>/GrpHdr/FwdgAgt/FinInstnId/PstlAdr</t>
  </si>
  <si>
    <t>/GrpHdr/FwdgAgt/FinInstnId/PstlAdr/AdrTp</t>
  </si>
  <si>
    <t>/GrpHdr/FwdgAgt/FinInstnId/PstlAdr/Dept</t>
  </si>
  <si>
    <t>/GrpHdr/FwdgAgt/FinInstnId/PstlAdr/SubDept</t>
  </si>
  <si>
    <t>/GrpHdr/FwdgAgt/FinInstnId/PstlAdr/StrtNm</t>
  </si>
  <si>
    <t>/GrpHdr/FwdgAgt/FinInstnId/PstlAdr/BldgNb</t>
  </si>
  <si>
    <t>/GrpHdr/FwdgAgt/FinInstnId/PstlAdr/PstCd</t>
  </si>
  <si>
    <t>/GrpHdr/FwdgAgt/FinInstnId/PstlAdr/TwnNm</t>
  </si>
  <si>
    <t>/GrpHdr/FwdgAgt/FinInstnId/PstlAdr/CtrySubDvsn</t>
  </si>
  <si>
    <t>/GrpHdr/FwdgAgt/FinInstnId/PstlAdr/Ctry</t>
  </si>
  <si>
    <t>/GrpHdr/FwdgAgt/FinInstnId/PstlAdr/AdrLine</t>
  </si>
  <si>
    <t>/GrpHdr/FwdgAgt/FinInstnId/Othr</t>
  </si>
  <si>
    <t>/GrpHdr/FwdgAgt/FinInstnId/Othr/Id</t>
  </si>
  <si>
    <t>/GrpHdr/FwdgAgt/FinInstnId/Othr/SchmeNm</t>
  </si>
  <si>
    <t>/GrpHdr/FwdgAgt/FinInstnId/Othr/SchmeNm/Cd</t>
  </si>
  <si>
    <t>/GrpHdr/FwdgAgt/FinInstnId/Othr/SchmeNm/Prtry</t>
  </si>
  <si>
    <t>/GrpHdr/FwdgAgt/FinInstnId/Othr/Issr</t>
  </si>
  <si>
    <t>/GrpHdr/FwdgAgt/BrnchId</t>
  </si>
  <si>
    <t>/GrpHdr/FwdgAgt/BrnchId/Id</t>
  </si>
  <si>
    <t>/GrpHdr/FwdgAgt/BrnchId/Nm</t>
  </si>
  <si>
    <t>/GrpHdr/FwdgAgt/BrnchId/PstlAdr</t>
  </si>
  <si>
    <t>/GrpHdr/FwdgAgt/BrnchId/PstlAdr/AdrTp</t>
  </si>
  <si>
    <t>/GrpHdr/FwdgAgt/BrnchId/PstlAdr/Dept</t>
  </si>
  <si>
    <t>/GrpHdr/FwdgAgt/BrnchId/PstlAdr/SubDept</t>
  </si>
  <si>
    <t>/GrpHdr/FwdgAgt/BrnchId/PstlAdr/StrtNm</t>
  </si>
  <si>
    <t>/GrpHdr/FwdgAgt/BrnchId/PstlAdr/BldgNb</t>
  </si>
  <si>
    <t>/GrpHdr/FwdgAgt/BrnchId/PstlAdr/PstCd</t>
  </si>
  <si>
    <t>/GrpHdr/FwdgAgt/BrnchId/PstlAdr/TwnNm</t>
  </si>
  <si>
    <t>/GrpHdr/FwdgAgt/BrnchId/PstlAdr/CtrySubDvsn</t>
  </si>
  <si>
    <t>/GrpHdr/FwdgAgt/BrnchId/PstlAdr/Ctry</t>
  </si>
  <si>
    <t>/GrpHdr/FwdgAgt/BrnchId/PstlAdr/AdrLine</t>
  </si>
  <si>
    <t>/PmtInf/PmtTpInf/SvcLvl/Prtry</t>
  </si>
  <si>
    <t>/PmtInf/PoolgAdjstmntDt</t>
  </si>
  <si>
    <t>/PmtInf/Dbtr/PstlAdr/AdrTp</t>
  </si>
  <si>
    <t>/PmtInf/Dbtr/PstlAdr/Dept</t>
  </si>
  <si>
    <t>/PmtInf/Dbtr/PstlAdr/SubDept</t>
  </si>
  <si>
    <t>/PmtInf/Dbtr/PstlAdr/StrtNm</t>
  </si>
  <si>
    <t>/PmtInf/Dbtr/PstlAdr/BldgNb</t>
  </si>
  <si>
    <t>/PmtInf/Dbtr/PstlAdr/PstCd</t>
  </si>
  <si>
    <t>/PmtInf/Dbtr/PstlAdr/TwnNm</t>
  </si>
  <si>
    <t>/PmtInf/Dbtr/PstlAdr/CtrySubDvsn</t>
  </si>
  <si>
    <t>/PmtInf/Dbtr/Id/OrgId/AnyBIC</t>
  </si>
  <si>
    <t>/PmtInf/Dbtr/CtryOfRes</t>
  </si>
  <si>
    <t>/PmtInf/Dbtr/CtctDtls</t>
  </si>
  <si>
    <t>/PmtInf/Dbtr/CtctDtls/NmPrfx</t>
  </si>
  <si>
    <t>/PmtInf/Dbtr/CtctDtls/Nm</t>
  </si>
  <si>
    <t>/PmtInf/Dbtr/CtctDtls/PhneNb</t>
  </si>
  <si>
    <t>/PmtInf/Dbtr/CtctDtls/MobNb</t>
  </si>
  <si>
    <t>/PmtInf/Dbtr/CtctDtls/FaxNb</t>
  </si>
  <si>
    <t>/PmtInf/Dbtr/CtctDtls/EmailAdr</t>
  </si>
  <si>
    <t>/PmtInf/Dbtr/CtctDtls/Othr</t>
  </si>
  <si>
    <t>/PmtInf/DbtrAcct/Id/Othr</t>
  </si>
  <si>
    <t>/PmtInf/DbtrAcct/Id/Othr/Id</t>
  </si>
  <si>
    <t>/PmtInf/DbtrAcct/Id/Othr/SchmeNm</t>
  </si>
  <si>
    <t>/PmtInf/DbtrAcct/Id/Othr/SchmeNm/Cd</t>
  </si>
  <si>
    <t>/PmtInf/DbtrAcct/Id/Othr/SchmeNm/Prtry</t>
  </si>
  <si>
    <t>/PmtInf/DbtrAcct/Id/Othr/Issr</t>
  </si>
  <si>
    <t>/PmtInf/DbtrAcct/Tp</t>
  </si>
  <si>
    <t>/PmtInf/DbtrAcct/Tp/Cd</t>
  </si>
  <si>
    <t>/PmtInf/DbtrAcct/Tp/Prtry</t>
  </si>
  <si>
    <t>/PmtInf/DbtrAcct/Nm</t>
  </si>
  <si>
    <t>/PmtInf/DbtrAgt/FinInstnId/BICFI</t>
  </si>
  <si>
    <t>/PmtInf/DbtrAgt/FinInstnId/ClrSysMmbId</t>
  </si>
  <si>
    <t>/PmtInf/DbtrAgt/FinInstnId/ClrSysMmbId/ClrSysId</t>
  </si>
  <si>
    <t>/PmtInf/DbtrAgt/FinInstnId/ClrSysMmbId/ClrSysId/Cd</t>
  </si>
  <si>
    <t>/PmtInf/DbtrAgt/FinInstnId/ClrSysMmbId/ClrSysId/Prtry</t>
  </si>
  <si>
    <t>/PmtInf/DbtrAgt/FinInstnId/ClrSysMmbId/MmbId</t>
  </si>
  <si>
    <t>/PmtInf/DbtrAgt/FinInstnId/Nm</t>
  </si>
  <si>
    <t>/PmtInf/DbtrAgt/FinInstnId/PstlAdr</t>
  </si>
  <si>
    <t>/PmtInf/DbtrAgt/FinInstnId/PstlAdr/AdrTp</t>
  </si>
  <si>
    <t>/PmtInf/DbtrAgt/FinInstnId/PstlAdr/Dept</t>
  </si>
  <si>
    <t>/PmtInf/DbtrAgt/FinInstnId/PstlAdr/SubDept</t>
  </si>
  <si>
    <t>/PmtInf/DbtrAgt/FinInstnId/PstlAdr/StrtNm</t>
  </si>
  <si>
    <t>/PmtInf/DbtrAgt/FinInstnId/PstlAdr/BldgNb</t>
  </si>
  <si>
    <t>/PmtInf/DbtrAgt/FinInstnId/PstlAdr/PstCd</t>
  </si>
  <si>
    <t>/PmtInf/DbtrAgt/FinInstnId/PstlAdr/TwnNm</t>
  </si>
  <si>
    <t>/PmtInf/DbtrAgt/FinInstnId/PstlAdr/CtrySubDvsn</t>
  </si>
  <si>
    <t>/PmtInf/DbtrAgt/FinInstnId/PstlAdr/Ctry</t>
  </si>
  <si>
    <t>/PmtInf/DbtrAgt/FinInstnId/PstlAdr/AdrLine</t>
  </si>
  <si>
    <t>/PmtInf/DbtrAgt/FinInstnId/Othr</t>
  </si>
  <si>
    <t>/PmtInf/DbtrAgt/FinInstnId/Othr/Id</t>
  </si>
  <si>
    <t>/PmtInf/DbtrAgt/FinInstnId/Othr/SchmeNm</t>
  </si>
  <si>
    <t>/PmtInf/DbtrAgt/FinInstnId/Othr/SchmeNm/Cd</t>
  </si>
  <si>
    <t>/PmtInf/DbtrAgt/FinInstnId/Othr/SchmeNm/Prtry</t>
  </si>
  <si>
    <t>/PmtInf/DbtrAgt/FinInstnId/Othr/Issr</t>
  </si>
  <si>
    <t>/PmtInf/DbtrAgt/BrnchId</t>
  </si>
  <si>
    <t>/PmtInf/DbtrAgt/BrnchId/Id</t>
  </si>
  <si>
    <t>/PmtInf/DbtrAgt/BrnchId/Nm</t>
  </si>
  <si>
    <t>/PmtInf/DbtrAgt/BrnchId/PstlAdr</t>
  </si>
  <si>
    <t>/PmtInf/DbtrAgt/BrnchId/PstlAdr/AdrTp</t>
  </si>
  <si>
    <t>/PmtInf/DbtrAgt/BrnchId/PstlAdr/Dept</t>
  </si>
  <si>
    <t>/PmtInf/DbtrAgt/BrnchId/PstlAdr/SubDept</t>
  </si>
  <si>
    <t>/PmtInf/DbtrAgt/BrnchId/PstlAdr/StrtNm</t>
  </si>
  <si>
    <t>/PmtInf/DbtrAgt/BrnchId/PstlAdr/BldgNb</t>
  </si>
  <si>
    <t>/PmtInf/DbtrAgt/BrnchId/PstlAdr/PstCd</t>
  </si>
  <si>
    <t>/PmtInf/DbtrAgt/BrnchId/PstlAdr/TwnNm</t>
  </si>
  <si>
    <t>/PmtInf/DbtrAgt/BrnchId/PstlAdr/CtrySubDvsn</t>
  </si>
  <si>
    <t>/PmtInf/DbtrAgt/BrnchId/PstlAdr/Ctry</t>
  </si>
  <si>
    <t>/PmtInf/DbtrAgt/BrnchId/PstlAdr/AdrLine</t>
  </si>
  <si>
    <t>/PmtInf/DbtrAgtAcct</t>
  </si>
  <si>
    <t>/PmtInf/DbtrAgtAcct/Id</t>
  </si>
  <si>
    <t>/PmtInf/DbtrAgtAcct/Id/IBAN</t>
  </si>
  <si>
    <t>/PmtInf/DbtrAgtAcct/Id/Othr</t>
  </si>
  <si>
    <t>/PmtInf/DbtrAgtAcct/Id/Othr/Id</t>
  </si>
  <si>
    <t>/PmtInf/DbtrAgtAcct/Id/Othr/SchmeNm</t>
  </si>
  <si>
    <t>/PmtInf/DbtrAgtAcct/Id/Othr/SchmeNm/Cd</t>
  </si>
  <si>
    <t>/PmtInf/DbtrAgtAcct/Id/Othr/SchmeNm/Prtry</t>
  </si>
  <si>
    <t>/PmtInf/DbtrAgtAcct/Id/Othr/Issr</t>
  </si>
  <si>
    <t>/PmtInf/DbtrAgtAcct/Tp</t>
  </si>
  <si>
    <t>/PmtInf/DbtrAgtAcct/Tp/Cd</t>
  </si>
  <si>
    <t>/PmtInf/DbtrAgtAcct/Tp/Prtry</t>
  </si>
  <si>
    <t>/PmtInf/DbtrAgtAcct/Ccy</t>
  </si>
  <si>
    <t>/PmtInf/DbtrAgtAcct/Nm</t>
  </si>
  <si>
    <t>/PmtInf/InstrForDbtrAgt</t>
  </si>
  <si>
    <t>/PmtInf/UltmtDbtr/PstlAdr</t>
  </si>
  <si>
    <t>/PmtInf/UltmtDbtr/PstlAdr/AdrTp</t>
  </si>
  <si>
    <t>/PmtInf/UltmtDbtr/PstlAdr/Dept</t>
  </si>
  <si>
    <t>/PmtInf/UltmtDbtr/PstlAdr/SubDept</t>
  </si>
  <si>
    <t>/PmtInf/UltmtDbtr/PstlAdr/StrtNm</t>
  </si>
  <si>
    <t>/PmtInf/UltmtDbtr/PstlAdr/BldgNb</t>
  </si>
  <si>
    <t>/PmtInf/UltmtDbtr/PstlAdr/PstCd</t>
  </si>
  <si>
    <t>/PmtInf/UltmtDbtr/PstlAdr/TwnNm</t>
  </si>
  <si>
    <t>/PmtInf/UltmtDbtr/PstlAdr/CtrySubDvsn</t>
  </si>
  <si>
    <t>/PmtInf/UltmtDbtr/PstlAdr/Ctry</t>
  </si>
  <si>
    <t>/PmtInf/UltmtDbtr/PstlAdr/AdrLine</t>
  </si>
  <si>
    <t>/PmtInf/UltmtDbtr/Id/OrgId/AnyBIC</t>
  </si>
  <si>
    <t>/PmtInf/UltmtDbtr/CtryOfRes</t>
  </si>
  <si>
    <t>/PmtInf/UltmtDbtr/CtctDtls</t>
  </si>
  <si>
    <t>/PmtInf/UltmtDbtr/CtctDtls/NmPrfx</t>
  </si>
  <si>
    <t>/PmtInf/UltmtDbtr/CtctDtls/Nm</t>
  </si>
  <si>
    <t>/PmtInf/UltmtDbtr/CtctDtls/PhneNb</t>
  </si>
  <si>
    <t>/PmtInf/UltmtDbtr/CtctDtls/MobNb</t>
  </si>
  <si>
    <t>/PmtInf/UltmtDbtr/CtctDtls/FaxNb</t>
  </si>
  <si>
    <t>/PmtInf/UltmtDbtr/CtctDtls/EmailAdr</t>
  </si>
  <si>
    <t>/PmtInf/UltmtDbtr/CtctDtls/Othr</t>
  </si>
  <si>
    <t>/PmtInf/ChrgsAcct</t>
  </si>
  <si>
    <t>/PmtInf/ChrgsAcct/Id</t>
  </si>
  <si>
    <t>/PmtInf/ChrgsAcct/Id/IBAN</t>
  </si>
  <si>
    <t>/PmtInf/ChrgsAcct/Id/Othr</t>
  </si>
  <si>
    <t>/PmtInf/ChrgsAcct/Id/Othr/Id</t>
  </si>
  <si>
    <t>/PmtInf/ChrgsAcct/Id/Othr/SchmeNm</t>
  </si>
  <si>
    <t>/PmtInf/ChrgsAcct/Id/Othr/SchmeNm/Cd</t>
  </si>
  <si>
    <t>/PmtInf/ChrgsAcct/Id/Othr/SchmeNm/Prtry</t>
  </si>
  <si>
    <t>/PmtInf/ChrgsAcct/Id/Othr/Issr</t>
  </si>
  <si>
    <t>/PmtInf/ChrgsAcct/Tp</t>
  </si>
  <si>
    <t>/PmtInf/ChrgsAcct/Tp/Cd</t>
  </si>
  <si>
    <t>/PmtInf/ChrgsAcct/Tp/Prtry</t>
  </si>
  <si>
    <t>/PmtInf/ChrgsAcct/Ccy</t>
  </si>
  <si>
    <t>/PmtInf/ChrgsAcct/Nm</t>
  </si>
  <si>
    <t>/PmtInf/ChrgsAcctAgt</t>
  </si>
  <si>
    <t>/PmtInf/ChrgsAcctAgt/FinInstnId</t>
  </si>
  <si>
    <t>/PmtInf/ChrgsAcctAgt/FinInstnId/BICFI</t>
  </si>
  <si>
    <t>/PmtInf/ChrgsAcctAgt/FinInstnId/ClrSysMmbId</t>
  </si>
  <si>
    <t>/PmtInf/ChrgsAcctAgt/FinInstnId/ClrSysMmbId/ClrSysId</t>
  </si>
  <si>
    <t>/PmtInf/ChrgsAcctAgt/FinInstnId/ClrSysMmbId/ClrSysId/Cd</t>
  </si>
  <si>
    <t>/PmtInf/ChrgsAcctAgt/FinInstnId/ClrSysMmbId/ClrSysId/Prtry</t>
  </si>
  <si>
    <t>/PmtInf/ChrgsAcctAgt/FinInstnId/ClrSysMmbId/MmbId</t>
  </si>
  <si>
    <t>/PmtInf/ChrgsAcctAgt/FinInstnId/Nm</t>
  </si>
  <si>
    <t>/PmtInf/ChrgsAcctAgt/FinInstnId/PstlAdr</t>
  </si>
  <si>
    <t>/PmtInf/ChrgsAcctAgt/FinInstnId/PstlAdr/AdrTp</t>
  </si>
  <si>
    <t>/PmtInf/ChrgsAcctAgt/FinInstnId/PstlAdr/Dept</t>
  </si>
  <si>
    <t>/PmtInf/ChrgsAcctAgt/FinInstnId/PstlAdr/SubDept</t>
  </si>
  <si>
    <t>/PmtInf/ChrgsAcctAgt/FinInstnId/PstlAdr/StrtNm</t>
  </si>
  <si>
    <t>/PmtInf/ChrgsAcctAgt/FinInstnId/PstlAdr/BldgNb</t>
  </si>
  <si>
    <t>/PmtInf/ChrgsAcctAgt/FinInstnId/PstlAdr/PstCd</t>
  </si>
  <si>
    <t>/PmtInf/ChrgsAcctAgt/FinInstnId/PstlAdr/TwnNm</t>
  </si>
  <si>
    <t>/PmtInf/ChrgsAcctAgt/FinInstnId/PstlAdr/CtrySubDvsn</t>
  </si>
  <si>
    <t>/PmtInf/ChrgsAcctAgt/FinInstnId/PstlAdr/Ctry</t>
  </si>
  <si>
    <t>/PmtInf/ChrgsAcctAgt/FinInstnId/PstlAdr/AdrLine</t>
  </si>
  <si>
    <t>/PmtInf/ChrgsAcctAgt/FinInstnId/Othr</t>
  </si>
  <si>
    <t>/PmtInf/ChrgsAcctAgt/FinInstnId/Othr/Id</t>
  </si>
  <si>
    <t>/PmtInf/ChrgsAcctAgt/FinInstnId/Othr/SchmeNm</t>
  </si>
  <si>
    <t>/PmtInf/ChrgsAcctAgt/FinInstnId/Othr/SchmeNm/Cd</t>
  </si>
  <si>
    <t>/PmtInf/ChrgsAcctAgt/FinInstnId/Othr/SchmeNm/Prtry</t>
  </si>
  <si>
    <t>/PmtInf/ChrgsAcctAgt/FinInstnId/Othr/Issr</t>
  </si>
  <si>
    <t>/PmtInf/ChrgsAcctAgt/BrnchId</t>
  </si>
  <si>
    <t>/PmtInf/ChrgsAcctAgt/BrnchId/Id</t>
  </si>
  <si>
    <t>/PmtInf/ChrgsAcctAgt/BrnchId/Nm</t>
  </si>
  <si>
    <t>/PmtInf/ChrgsAcctAgt/BrnchId/PstlAdr</t>
  </si>
  <si>
    <t>/PmtInf/ChrgsAcctAgt/BrnchId/PstlAdr/AdrTp</t>
  </si>
  <si>
    <t>/PmtInf/ChrgsAcctAgt/BrnchId/PstlAdr/Dept</t>
  </si>
  <si>
    <t>/PmtInf/ChrgsAcctAgt/BrnchId/PstlAdr/SubDept</t>
  </si>
  <si>
    <t>/PmtInf/ChrgsAcctAgt/BrnchId/PstlAdr/StrtNm</t>
  </si>
  <si>
    <t>/PmtInf/ChrgsAcctAgt/BrnchId/PstlAdr/BldgNb</t>
  </si>
  <si>
    <t>/PmtInf/ChrgsAcctAgt/BrnchId/PstlAdr/PstCd</t>
  </si>
  <si>
    <t>/PmtInf/ChrgsAcctAgt/BrnchId/PstlAdr/TwnNm</t>
  </si>
  <si>
    <t>/PmtInf/ChrgsAcctAgt/BrnchId/PstlAdr/CtrySubDvsn</t>
  </si>
  <si>
    <t>/PmtInf/ChrgsAcctAgt/BrnchId/PstlAdr/Ctry</t>
  </si>
  <si>
    <t>/PmtInf/ChrgsAcctAgt/BrnchId/PstlAdr/AdrLine</t>
  </si>
  <si>
    <t>/PmtInf/CdtTrfTxInf/PmtTpInf/InstrPrty</t>
  </si>
  <si>
    <t>/PmtInf/CdtTrfTxInf/PmtTpInf/SvcLvl/Prtry</t>
  </si>
  <si>
    <t>/PmtInf/CdtTrfTxInf/Amt/EqvtAmt</t>
  </si>
  <si>
    <t>/PmtInf/CdtTrfTxInf/Amt/EqvtAmt/Amt</t>
  </si>
  <si>
    <t>/PmtInf/CdtTrfTxInf/Amt/EqvtAmt/Amt/Ccy</t>
  </si>
  <si>
    <t>/PmtInf/CdtTrfTxInf/Amt/EqvtAmt/CcyOfTrf</t>
  </si>
  <si>
    <t>/PmtInf/CdtTrfTxInf/XchgRateInf</t>
  </si>
  <si>
    <t>/PmtInf/CdtTrfTxInf/XchgRateInf/UnitCcy</t>
  </si>
  <si>
    <t>/PmtInf/CdtTrfTxInf/XchgRateInf/XchgRate</t>
  </si>
  <si>
    <t>/PmtInf/CdtTrfTxInf/XchgRateInf/RateTp</t>
  </si>
  <si>
    <t>/PmtInf/CdtTrfTxInf/XchgRateInf/CtrctId</t>
  </si>
  <si>
    <t>/PmtInf/CdtTrfTxInf/ChqInstr</t>
  </si>
  <si>
    <t>/PmtInf/CdtTrfTxInf/ChqInstr/ChqTp</t>
  </si>
  <si>
    <t>/PmtInf/CdtTrfTxInf/ChqInstr/ChqNb</t>
  </si>
  <si>
    <t>/PmtInf/CdtTrfTxInf/ChqInstr/ChqFr</t>
  </si>
  <si>
    <t>/PmtInf/CdtTrfTxInf/ChqInstr/ChqFr/Nm</t>
  </si>
  <si>
    <t>/PmtInf/CdtTrfTxInf/ChqInstr/ChqFr/Adr</t>
  </si>
  <si>
    <t>/PmtInf/CdtTrfTxInf/ChqInstr/ChqFr/Adr/AdrTp</t>
  </si>
  <si>
    <t>/PmtInf/CdtTrfTxInf/ChqInstr/ChqFr/Adr/Dept</t>
  </si>
  <si>
    <t>/PmtInf/CdtTrfTxInf/ChqInstr/ChqFr/Adr/SubDept</t>
  </si>
  <si>
    <t>/PmtInf/CdtTrfTxInf/ChqInstr/ChqFr/Adr/StrtNm</t>
  </si>
  <si>
    <t>/PmtInf/CdtTrfTxInf/ChqInstr/ChqFr/Adr/BldgNb</t>
  </si>
  <si>
    <t>/PmtInf/CdtTrfTxInf/ChqInstr/ChqFr/Adr/PstCd</t>
  </si>
  <si>
    <t>/PmtInf/CdtTrfTxInf/ChqInstr/ChqFr/Adr/TwnNm</t>
  </si>
  <si>
    <t>/PmtInf/CdtTrfTxInf/ChqInstr/ChqFr/Adr/CtrySubDvsn</t>
  </si>
  <si>
    <t>/PmtInf/CdtTrfTxInf/ChqInstr/ChqFr/Adr/Ctry</t>
  </si>
  <si>
    <t>/PmtInf/CdtTrfTxInf/ChqInstr/ChqFr/Adr/AdrLine</t>
  </si>
  <si>
    <t>/PmtInf/CdtTrfTxInf/ChqInstr/DlvryMtd</t>
  </si>
  <si>
    <t>/PmtInf/CdtTrfTxInf/ChqInstr/DlvryMtd/Cd</t>
  </si>
  <si>
    <t>/PmtInf/CdtTrfTxInf/ChqInstr/DlvryMtd/Prtry</t>
  </si>
  <si>
    <t>/PmtInf/CdtTrfTxInf/ChqInstr/DlvrTo</t>
  </si>
  <si>
    <t>/PmtInf/CdtTrfTxInf/ChqInstr/DlvrTo/Nm</t>
  </si>
  <si>
    <t>/PmtInf/CdtTrfTxInf/ChqInstr/DlvrTo/Adr</t>
  </si>
  <si>
    <t>/PmtInf/CdtTrfTxInf/ChqInstr/DlvrTo/Adr/AdrTp</t>
  </si>
  <si>
    <t>/PmtInf/CdtTrfTxInf/ChqInstr/DlvrTo/Adr/Dept</t>
  </si>
  <si>
    <t>/PmtInf/CdtTrfTxInf/ChqInstr/DlvrTo/Adr/SubDept</t>
  </si>
  <si>
    <t>/PmtInf/CdtTrfTxInf/ChqInstr/DlvrTo/Adr/StrtNm</t>
  </si>
  <si>
    <t>/PmtInf/CdtTrfTxInf/ChqInstr/DlvrTo/Adr/BldgNb</t>
  </si>
  <si>
    <t>/PmtInf/CdtTrfTxInf/ChqInstr/DlvrTo/Adr/PstCd</t>
  </si>
  <si>
    <t>/PmtInf/CdtTrfTxInf/ChqInstr/DlvrTo/Adr/TwnNm</t>
  </si>
  <si>
    <t>/PmtInf/CdtTrfTxInf/ChqInstr/DlvrTo/Adr/CtrySubDvsn</t>
  </si>
  <si>
    <t>/PmtInf/CdtTrfTxInf/ChqInstr/DlvrTo/Adr/Ctry</t>
  </si>
  <si>
    <t>/PmtInf/CdtTrfTxInf/ChqInstr/DlvrTo/Adr/AdrLine</t>
  </si>
  <si>
    <t>/PmtInf/CdtTrfTxInf/ChqInstr/InstrPrty</t>
  </si>
  <si>
    <t>/PmtInf/CdtTrfTxInf/ChqInstr/ChqMtrtyDt</t>
  </si>
  <si>
    <t>/PmtInf/CdtTrfTxInf/ChqInstr/FrmsCd</t>
  </si>
  <si>
    <t>/PmtInf/CdtTrfTxInf/ChqInstr/MemoFld</t>
  </si>
  <si>
    <t>/PmtInf/CdtTrfTxInf/ChqInstr/RgnlClrZone</t>
  </si>
  <si>
    <t>/PmtInf/CdtTrfTxInf/ChqInstr/PrtLctn</t>
  </si>
  <si>
    <t>/PmtInf/CdtTrfTxInf/ChqInstr/Sgntr</t>
  </si>
  <si>
    <t>/PmtInf/CdtTrfTxInf/UltmtDbtr/PstlAdr</t>
  </si>
  <si>
    <t>/PmtInf/CdtTrfTxInf/UltmtDbtr/PstlAdr/AdrTp</t>
  </si>
  <si>
    <t>/PmtInf/CdtTrfTxInf/UltmtDbtr/PstlAdr/Dept</t>
  </si>
  <si>
    <t>/PmtInf/CdtTrfTxInf/UltmtDbtr/PstlAdr/SubDept</t>
  </si>
  <si>
    <t>/PmtInf/CdtTrfTxInf/UltmtDbtr/PstlAdr/StrtNm</t>
  </si>
  <si>
    <t>/PmtInf/CdtTrfTxInf/UltmtDbtr/PstlAdr/BldgNb</t>
  </si>
  <si>
    <t>/PmtInf/CdtTrfTxInf/UltmtDbtr/PstlAdr/PstCd</t>
  </si>
  <si>
    <t>/PmtInf/CdtTrfTxInf/UltmtDbtr/PstlAdr/TwnNm</t>
  </si>
  <si>
    <t>/PmtInf/CdtTrfTxInf/UltmtDbtr/PstlAdr/CtrySubDvsn</t>
  </si>
  <si>
    <t>/PmtInf/CdtTrfTxInf/UltmtDbtr/PstlAdr/Ctry</t>
  </si>
  <si>
    <t>/PmtInf/CdtTrfTxInf/UltmtDbtr/PstlAdr/AdrLine</t>
  </si>
  <si>
    <t>/PmtInf/CdtTrfTxInf/UltmtDbtr/Id/OrgId/AnyBIC</t>
  </si>
  <si>
    <t>/PmtInf/CdtTrfTxInf/UltmtDbtr/CtryOfRes</t>
  </si>
  <si>
    <t>/PmtInf/CdtTrfTxInf/UltmtDbtr/CtctDtls</t>
  </si>
  <si>
    <t>/PmtInf/CdtTrfTxInf/UltmtDbtr/CtctDtls/NmPrfx</t>
  </si>
  <si>
    <t>/PmtInf/CdtTrfTxInf/UltmtDbtr/CtctDtls/Nm</t>
  </si>
  <si>
    <t>/PmtInf/CdtTrfTxInf/UltmtDbtr/CtctDtls/PhneNb</t>
  </si>
  <si>
    <t>/PmtInf/CdtTrfTxInf/UltmtDbtr/CtctDtls/MobNb</t>
  </si>
  <si>
    <t>/PmtInf/CdtTrfTxInf/UltmtDbtr/CtctDtls/FaxNb</t>
  </si>
  <si>
    <t>/PmtInf/CdtTrfTxInf/UltmtDbtr/CtctDtls/EmailAdr</t>
  </si>
  <si>
    <t>/PmtInf/CdtTrfTxInf/UltmtDbtr/CtctDtls/Othr</t>
  </si>
  <si>
    <t>/PmtInf/CdtTrfTxInf/IntrmyAgt1</t>
  </si>
  <si>
    <t>/PmtInf/CdtTrfTxInf/IntrmyAgt1/FinInstnId</t>
  </si>
  <si>
    <t>/PmtInf/CdtTrfTxInf/IntrmyAgt1/FinInstnId/BICFI</t>
  </si>
  <si>
    <t>/PmtInf/CdtTrfTxInf/IntrmyAgt1/FinInstnId/ClrSysMmbId</t>
  </si>
  <si>
    <t>/PmtInf/CdtTrfTxInf/IntrmyAgt1/FinInstnId/ClrSysMmbId/ClrSysId</t>
  </si>
  <si>
    <t>/PmtInf/CdtTrfTxInf/IntrmyAgt1/FinInstnId/ClrSysMmbId/ClrSysId/Cd</t>
  </si>
  <si>
    <t>/PmtInf/CdtTrfTxInf/IntrmyAgt1/FinInstnId/ClrSysMmbId/ClrSysId/Prtry</t>
  </si>
  <si>
    <t>/PmtInf/CdtTrfTxInf/IntrmyAgt1/FinInstnId/ClrSysMmbId/MmbId</t>
  </si>
  <si>
    <t>/PmtInf/CdtTrfTxInf/IntrmyAgt1/FinInstnId/Nm</t>
  </si>
  <si>
    <t>/PmtInf/CdtTrfTxInf/IntrmyAgt1/FinInstnId/PstlAdr</t>
  </si>
  <si>
    <t>/PmtInf/CdtTrfTxInf/IntrmyAgt1/FinInstnId/PstlAdr/AdrTp</t>
  </si>
  <si>
    <t>/PmtInf/CdtTrfTxInf/IntrmyAgt1/FinInstnId/PstlAdr/Dept</t>
  </si>
  <si>
    <t>/PmtInf/CdtTrfTxInf/IntrmyAgt1/FinInstnId/PstlAdr/SubDept</t>
  </si>
  <si>
    <t>/PmtInf/CdtTrfTxInf/IntrmyAgt1/FinInstnId/PstlAdr/StrtNm</t>
  </si>
  <si>
    <t>/PmtInf/CdtTrfTxInf/IntrmyAgt1/FinInstnId/PstlAdr/BldgNb</t>
  </si>
  <si>
    <t>/PmtInf/CdtTrfTxInf/IntrmyAgt1/FinInstnId/PstlAdr/PstCd</t>
  </si>
  <si>
    <t>/PmtInf/CdtTrfTxInf/IntrmyAgt1/FinInstnId/PstlAdr/TwnNm</t>
  </si>
  <si>
    <t>/PmtInf/CdtTrfTxInf/IntrmyAgt1/FinInstnId/PstlAdr/CtrySubDvsn</t>
  </si>
  <si>
    <t>/PmtInf/CdtTrfTxInf/IntrmyAgt1/FinInstnId/PstlAdr/Ctry</t>
  </si>
  <si>
    <t>/PmtInf/CdtTrfTxInf/IntrmyAgt1/FinInstnId/PstlAdr/AdrLine</t>
  </si>
  <si>
    <t>/PmtInf/CdtTrfTxInf/IntrmyAgt1/FinInstnId/Othr</t>
  </si>
  <si>
    <t>/PmtInf/CdtTrfTxInf/IntrmyAgt1/FinInstnId/Othr/Id</t>
  </si>
  <si>
    <t>/PmtInf/CdtTrfTxInf/IntrmyAgt1/FinInstnId/Othr/SchmeNm</t>
  </si>
  <si>
    <t>/PmtInf/CdtTrfTxInf/IntrmyAgt1/FinInstnId/Othr/SchmeNm/Cd</t>
  </si>
  <si>
    <t>/PmtInf/CdtTrfTxInf/IntrmyAgt1/FinInstnId/Othr/SchmeNm/Prtry</t>
  </si>
  <si>
    <t>/PmtInf/CdtTrfTxInf/IntrmyAgt1/FinInstnId/Othr/Issr</t>
  </si>
  <si>
    <t>/PmtInf/CdtTrfTxInf/IntrmyAgt1/BrnchId</t>
  </si>
  <si>
    <t>/PmtInf/CdtTrfTxInf/IntrmyAgt1/BrnchId/Id</t>
  </si>
  <si>
    <t>/PmtInf/CdtTrfTxInf/IntrmyAgt1/BrnchId/Nm</t>
  </si>
  <si>
    <t>/PmtInf/CdtTrfTxInf/IntrmyAgt1/BrnchId/PstlAdr</t>
  </si>
  <si>
    <t>/PmtInf/CdtTrfTxInf/IntrmyAgt1/BrnchId/PstlAdr/AdrTp</t>
  </si>
  <si>
    <t>/PmtInf/CdtTrfTxInf/IntrmyAgt1/BrnchId/PstlAdr/Dept</t>
  </si>
  <si>
    <t>/PmtInf/CdtTrfTxInf/IntrmyAgt1/BrnchId/PstlAdr/SubDept</t>
  </si>
  <si>
    <t>/PmtInf/CdtTrfTxInf/IntrmyAgt1/BrnchId/PstlAdr/StrtNm</t>
  </si>
  <si>
    <t>/PmtInf/CdtTrfTxInf/IntrmyAgt1/BrnchId/PstlAdr/BldgNb</t>
  </si>
  <si>
    <t>/PmtInf/CdtTrfTxInf/IntrmyAgt1/BrnchId/PstlAdr/PstCd</t>
  </si>
  <si>
    <t>/PmtInf/CdtTrfTxInf/IntrmyAgt1/BrnchId/PstlAdr/TwnNm</t>
  </si>
  <si>
    <t>/PmtInf/CdtTrfTxInf/IntrmyAgt1/BrnchId/PstlAdr/CtrySubDvsn</t>
  </si>
  <si>
    <t>/PmtInf/CdtTrfTxInf/IntrmyAgt1/BrnchId/PstlAdr/Ctry</t>
  </si>
  <si>
    <t>/PmtInf/CdtTrfTxInf/IntrmyAgt1/BrnchId/PstlAdr/AdrLine</t>
  </si>
  <si>
    <t>/PmtInf/CdtTrfTxInf/IntrmyAgt1Acct</t>
  </si>
  <si>
    <t>/PmtInf/CdtTrfTxInf/IntrmyAgt1Acct/Id</t>
  </si>
  <si>
    <t>/PmtInf/CdtTrfTxInf/IntrmyAgt1Acct/Id/IBAN</t>
  </si>
  <si>
    <t>/PmtInf/CdtTrfTxInf/IntrmyAgt1Acct/Id/Othr</t>
  </si>
  <si>
    <t>/PmtInf/CdtTrfTxInf/IntrmyAgt1Acct/Id/Othr/Id</t>
  </si>
  <si>
    <t>/PmtInf/CdtTrfTxInf/IntrmyAgt1Acct/Id/Othr/SchmeNm</t>
  </si>
  <si>
    <t>/PmtInf/CdtTrfTxInf/IntrmyAgt1Acct/Id/Othr/SchmeNm/Cd</t>
  </si>
  <si>
    <t>/PmtInf/CdtTrfTxInf/IntrmyAgt1Acct/Id/Othr/SchmeNm/Prtry</t>
  </si>
  <si>
    <t>/PmtInf/CdtTrfTxInf/IntrmyAgt1Acct/Id/Othr/Issr</t>
  </si>
  <si>
    <t>/PmtInf/CdtTrfTxInf/IntrmyAgt1Acct/Tp</t>
  </si>
  <si>
    <t>/PmtInf/CdtTrfTxInf/IntrmyAgt1Acct/Tp/Cd</t>
  </si>
  <si>
    <t>/PmtInf/CdtTrfTxInf/IntrmyAgt1Acct/Tp/Prtry</t>
  </si>
  <si>
    <t>/PmtInf/CdtTrfTxInf/IntrmyAgt1Acct/Ccy</t>
  </si>
  <si>
    <t>/PmtInf/CdtTrfTxInf/IntrmyAgt1Acct/Nm</t>
  </si>
  <si>
    <t>/PmtInf/CdtTrfTxInf/IntrmyAgt2</t>
  </si>
  <si>
    <t>/PmtInf/CdtTrfTxInf/IntrmyAgt2/FinInstnId</t>
  </si>
  <si>
    <t>/PmtInf/CdtTrfTxInf/IntrmyAgt2/FinInstnId/BICFI</t>
  </si>
  <si>
    <t>/PmtInf/CdtTrfTxInf/IntrmyAgt2/FinInstnId/ClrSysMmbId</t>
  </si>
  <si>
    <t>/PmtInf/CdtTrfTxInf/IntrmyAgt2/FinInstnId/ClrSysMmbId/ClrSysId</t>
  </si>
  <si>
    <t>/PmtInf/CdtTrfTxInf/IntrmyAgt2/FinInstnId/ClrSysMmbId/ClrSysId/Cd</t>
  </si>
  <si>
    <t>/PmtInf/CdtTrfTxInf/IntrmyAgt2/FinInstnId/ClrSysMmbId/ClrSysId/Prtry</t>
  </si>
  <si>
    <t>/PmtInf/CdtTrfTxInf/IntrmyAgt2/FinInstnId/ClrSysMmbId/MmbId</t>
  </si>
  <si>
    <t>/PmtInf/CdtTrfTxInf/IntrmyAgt2/FinInstnId/Nm</t>
  </si>
  <si>
    <t>/PmtInf/CdtTrfTxInf/IntrmyAgt2/FinInstnId/PstlAdr</t>
  </si>
  <si>
    <t>/PmtInf/CdtTrfTxInf/IntrmyAgt2/FinInstnId/PstlAdr/AdrTp</t>
  </si>
  <si>
    <t>/PmtInf/CdtTrfTxInf/IntrmyAgt2/FinInstnId/PstlAdr/Dept</t>
  </si>
  <si>
    <t>/PmtInf/CdtTrfTxInf/IntrmyAgt2/FinInstnId/PstlAdr/SubDept</t>
  </si>
  <si>
    <t>/PmtInf/CdtTrfTxInf/IntrmyAgt2/FinInstnId/PstlAdr/StrtNm</t>
  </si>
  <si>
    <t>/PmtInf/CdtTrfTxInf/IntrmyAgt2/FinInstnId/PstlAdr/BldgNb</t>
  </si>
  <si>
    <t>/PmtInf/CdtTrfTxInf/IntrmyAgt2/FinInstnId/PstlAdr/PstCd</t>
  </si>
  <si>
    <t>/PmtInf/CdtTrfTxInf/IntrmyAgt2/FinInstnId/PstlAdr/TwnNm</t>
  </si>
  <si>
    <t>/PmtInf/CdtTrfTxInf/IntrmyAgt2/FinInstnId/PstlAdr/CtrySubDvsn</t>
  </si>
  <si>
    <t>/PmtInf/CdtTrfTxInf/IntrmyAgt2/FinInstnId/PstlAdr/Ctry</t>
  </si>
  <si>
    <t>/PmtInf/CdtTrfTxInf/IntrmyAgt2/FinInstnId/PstlAdr/AdrLine</t>
  </si>
  <si>
    <t>/PmtInf/CdtTrfTxInf/IntrmyAgt2/FinInstnId/Othr</t>
  </si>
  <si>
    <t>/PmtInf/CdtTrfTxInf/IntrmyAgt2/FinInstnId/Othr/Id</t>
  </si>
  <si>
    <t>/PmtInf/CdtTrfTxInf/IntrmyAgt2/FinInstnId/Othr/SchmeNm</t>
  </si>
  <si>
    <t>/PmtInf/CdtTrfTxInf/IntrmyAgt2/FinInstnId/Othr/SchmeNm/Cd</t>
  </si>
  <si>
    <t>/PmtInf/CdtTrfTxInf/IntrmyAgt2/FinInstnId/Othr/SchmeNm/Prtry</t>
  </si>
  <si>
    <t>/PmtInf/CdtTrfTxInf/IntrmyAgt2/FinInstnId/Othr/Issr</t>
  </si>
  <si>
    <t>/PmtInf/CdtTrfTxInf/IntrmyAgt2/BrnchId</t>
  </si>
  <si>
    <t>/PmtInf/CdtTrfTxInf/IntrmyAgt2/BrnchId/Id</t>
  </si>
  <si>
    <t>/PmtInf/CdtTrfTxInf/IntrmyAgt2/BrnchId/Nm</t>
  </si>
  <si>
    <t>/PmtInf/CdtTrfTxInf/IntrmyAgt2/BrnchId/PstlAdr</t>
  </si>
  <si>
    <t>/PmtInf/CdtTrfTxInf/IntrmyAgt2/BrnchId/PstlAdr/AdrTp</t>
  </si>
  <si>
    <t>/PmtInf/CdtTrfTxInf/IntrmyAgt2/BrnchId/PstlAdr/Dept</t>
  </si>
  <si>
    <t>/PmtInf/CdtTrfTxInf/IntrmyAgt2/BrnchId/PstlAdr/SubDept</t>
  </si>
  <si>
    <t>/PmtInf/CdtTrfTxInf/IntrmyAgt2/BrnchId/PstlAdr/StrtNm</t>
  </si>
  <si>
    <t>/PmtInf/CdtTrfTxInf/IntrmyAgt2/BrnchId/PstlAdr/BldgNb</t>
  </si>
  <si>
    <t>/PmtInf/CdtTrfTxInf/IntrmyAgt2/BrnchId/PstlAdr/PstCd</t>
  </si>
  <si>
    <t>/PmtInf/CdtTrfTxInf/IntrmyAgt2/BrnchId/PstlAdr/TwnNm</t>
  </si>
  <si>
    <t>/PmtInf/CdtTrfTxInf/IntrmyAgt2/BrnchId/PstlAdr/CtrySubDvsn</t>
  </si>
  <si>
    <t>/PmtInf/CdtTrfTxInf/IntrmyAgt2/BrnchId/PstlAdr/Ctry</t>
  </si>
  <si>
    <t>/PmtInf/CdtTrfTxInf/IntrmyAgt2/BrnchId/PstlAdr/AdrLine</t>
  </si>
  <si>
    <t>/PmtInf/CdtTrfTxInf/IntrmyAgt2Acct</t>
  </si>
  <si>
    <t>/PmtInf/CdtTrfTxInf/IntrmyAgt2Acct/Id</t>
  </si>
  <si>
    <t>/PmtInf/CdtTrfTxInf/IntrmyAgt2Acct/Id/IBAN</t>
  </si>
  <si>
    <t>/PmtInf/CdtTrfTxInf/IntrmyAgt2Acct/Id/Othr</t>
  </si>
  <si>
    <t>/PmtInf/CdtTrfTxInf/IntrmyAgt2Acct/Id/Othr/Id</t>
  </si>
  <si>
    <t>/PmtInf/CdtTrfTxInf/IntrmyAgt2Acct/Id/Othr/SchmeNm</t>
  </si>
  <si>
    <t>/PmtInf/CdtTrfTxInf/IntrmyAgt2Acct/Id/Othr/SchmeNm/Cd</t>
  </si>
  <si>
    <t>/PmtInf/CdtTrfTxInf/IntrmyAgt2Acct/Id/Othr/SchmeNm/Prtry</t>
  </si>
  <si>
    <t>/PmtInf/CdtTrfTxInf/IntrmyAgt2Acct/Id/Othr/Issr</t>
  </si>
  <si>
    <t>/PmtInf/CdtTrfTxInf/IntrmyAgt2Acct/Tp</t>
  </si>
  <si>
    <t>/PmtInf/CdtTrfTxInf/IntrmyAgt2Acct/Tp/Cd</t>
  </si>
  <si>
    <t>/PmtInf/CdtTrfTxInf/IntrmyAgt2Acct/Tp/Prtry</t>
  </si>
  <si>
    <t>/PmtInf/CdtTrfTxInf/IntrmyAgt2Acct/Ccy</t>
  </si>
  <si>
    <t>/PmtInf/CdtTrfTxInf/IntrmyAgt2Acct/Nm</t>
  </si>
  <si>
    <t>/PmtInf/CdtTrfTxInf/IntrmyAgt3</t>
  </si>
  <si>
    <t>/PmtInf/CdtTrfTxInf/IntrmyAgt3/FinInstnId</t>
  </si>
  <si>
    <t>/PmtInf/CdtTrfTxInf/IntrmyAgt3/FinInstnId/BICFI</t>
  </si>
  <si>
    <t>/PmtInf/CdtTrfTxInf/IntrmyAgt3/FinInstnId/ClrSysMmbId</t>
  </si>
  <si>
    <t>/PmtInf/CdtTrfTxInf/IntrmyAgt3/FinInstnId/ClrSysMmbId/ClrSysId</t>
  </si>
  <si>
    <t>/PmtInf/CdtTrfTxInf/IntrmyAgt3/FinInstnId/ClrSysMmbId/ClrSysId/Cd</t>
  </si>
  <si>
    <t>/PmtInf/CdtTrfTxInf/IntrmyAgt3/FinInstnId/ClrSysMmbId/ClrSysId/Prtry</t>
  </si>
  <si>
    <t>/PmtInf/CdtTrfTxInf/IntrmyAgt3/FinInstnId/ClrSysMmbId/MmbId</t>
  </si>
  <si>
    <t>/PmtInf/CdtTrfTxInf/IntrmyAgt3/FinInstnId/Nm</t>
  </si>
  <si>
    <t>/PmtInf/CdtTrfTxInf/IntrmyAgt3/FinInstnId/PstlAdr</t>
  </si>
  <si>
    <t>/PmtInf/CdtTrfTxInf/IntrmyAgt3/FinInstnId/PstlAdr/AdrTp</t>
  </si>
  <si>
    <t>/PmtInf/CdtTrfTxInf/IntrmyAgt3/FinInstnId/PstlAdr/Dept</t>
  </si>
  <si>
    <t>/PmtInf/CdtTrfTxInf/IntrmyAgt3/FinInstnId/PstlAdr/SubDept</t>
  </si>
  <si>
    <t>/PmtInf/CdtTrfTxInf/IntrmyAgt3/FinInstnId/PstlAdr/StrtNm</t>
  </si>
  <si>
    <t>/PmtInf/CdtTrfTxInf/IntrmyAgt3/FinInstnId/PstlAdr/BldgNb</t>
  </si>
  <si>
    <t>/PmtInf/CdtTrfTxInf/IntrmyAgt3/FinInstnId/PstlAdr/PstCd</t>
  </si>
  <si>
    <t>/PmtInf/CdtTrfTxInf/IntrmyAgt3/FinInstnId/PstlAdr/TwnNm</t>
  </si>
  <si>
    <t>/PmtInf/CdtTrfTxInf/IntrmyAgt3/FinInstnId/PstlAdr/CtrySubDvsn</t>
  </si>
  <si>
    <t>/PmtInf/CdtTrfTxInf/IntrmyAgt3/FinInstnId/PstlAdr/Ctry</t>
  </si>
  <si>
    <t>/PmtInf/CdtTrfTxInf/IntrmyAgt3/FinInstnId/PstlAdr/AdrLine</t>
  </si>
  <si>
    <t>/PmtInf/CdtTrfTxInf/IntrmyAgt3/FinInstnId/Othr</t>
  </si>
  <si>
    <t>/PmtInf/CdtTrfTxInf/IntrmyAgt3/FinInstnId/Othr/Id</t>
  </si>
  <si>
    <t>/PmtInf/CdtTrfTxInf/IntrmyAgt3/FinInstnId/Othr/SchmeNm</t>
  </si>
  <si>
    <t>/PmtInf/CdtTrfTxInf/IntrmyAgt3/FinInstnId/Othr/SchmeNm/Cd</t>
  </si>
  <si>
    <t>/PmtInf/CdtTrfTxInf/IntrmyAgt3/FinInstnId/Othr/SchmeNm/Prtry</t>
  </si>
  <si>
    <t>/PmtInf/CdtTrfTxInf/IntrmyAgt3/FinInstnId/Othr/Issr</t>
  </si>
  <si>
    <t>/PmtInf/CdtTrfTxInf/IntrmyAgt3/BrnchId</t>
  </si>
  <si>
    <t>/PmtInf/CdtTrfTxInf/IntrmyAgt3/BrnchId/Id</t>
  </si>
  <si>
    <t>/PmtInf/CdtTrfTxInf/IntrmyAgt3/BrnchId/Nm</t>
  </si>
  <si>
    <t>/PmtInf/CdtTrfTxInf/IntrmyAgt3/BrnchId/PstlAdr</t>
  </si>
  <si>
    <t>/PmtInf/CdtTrfTxInf/IntrmyAgt3/BrnchId/PstlAdr/AdrTp</t>
  </si>
  <si>
    <t>/PmtInf/CdtTrfTxInf/IntrmyAgt3/BrnchId/PstlAdr/Dept</t>
  </si>
  <si>
    <t>/PmtInf/CdtTrfTxInf/IntrmyAgt3/BrnchId/PstlAdr/SubDept</t>
  </si>
  <si>
    <t>/PmtInf/CdtTrfTxInf/IntrmyAgt3/BrnchId/PstlAdr/StrtNm</t>
  </si>
  <si>
    <t>/PmtInf/CdtTrfTxInf/IntrmyAgt3/BrnchId/PstlAdr/BldgNb</t>
  </si>
  <si>
    <t>/PmtInf/CdtTrfTxInf/IntrmyAgt3/BrnchId/PstlAdr/PstCd</t>
  </si>
  <si>
    <t>/PmtInf/CdtTrfTxInf/IntrmyAgt3/BrnchId/PstlAdr/TwnNm</t>
  </si>
  <si>
    <t>/PmtInf/CdtTrfTxInf/IntrmyAgt3/BrnchId/PstlAdr/CtrySubDvsn</t>
  </si>
  <si>
    <t>/PmtInf/CdtTrfTxInf/IntrmyAgt3/BrnchId/PstlAdr/Ctry</t>
  </si>
  <si>
    <t>/PmtInf/CdtTrfTxInf/IntrmyAgt3/BrnchId/PstlAdr/AdrLine</t>
  </si>
  <si>
    <t>/PmtInf/CdtTrfTxInf/IntrmyAgt3Acct</t>
  </si>
  <si>
    <t>/PmtInf/CdtTrfTxInf/IntrmyAgt3Acct/Id</t>
  </si>
  <si>
    <t>/PmtInf/CdtTrfTxInf/IntrmyAgt3Acct/Id/IBAN</t>
  </si>
  <si>
    <t>/PmtInf/CdtTrfTxInf/IntrmyAgt3Acct/Id/Othr</t>
  </si>
  <si>
    <t>/PmtInf/CdtTrfTxInf/IntrmyAgt3Acct/Id/Othr/Id</t>
  </si>
  <si>
    <t>/PmtInf/CdtTrfTxInf/IntrmyAgt3Acct/Id/Othr/SchmeNm</t>
  </si>
  <si>
    <t>/PmtInf/CdtTrfTxInf/IntrmyAgt3Acct/Id/Othr/SchmeNm/Cd</t>
  </si>
  <si>
    <t>/PmtInf/CdtTrfTxInf/IntrmyAgt3Acct/Id/Othr/SchmeNm/Prtry</t>
  </si>
  <si>
    <t>/PmtInf/CdtTrfTxInf/IntrmyAgt3Acct/Id/Othr/Issr</t>
  </si>
  <si>
    <t>/PmtInf/CdtTrfTxInf/IntrmyAgt3Acct/Tp</t>
  </si>
  <si>
    <t>/PmtInf/CdtTrfTxInf/IntrmyAgt3Acct/Tp/Cd</t>
  </si>
  <si>
    <t>/PmtInf/CdtTrfTxInf/IntrmyAgt3Acct/Tp/Prtry</t>
  </si>
  <si>
    <t>/PmtInf/CdtTrfTxInf/IntrmyAgt3Acct/Ccy</t>
  </si>
  <si>
    <t>/PmtInf/CdtTrfTxInf/IntrmyAgt3Acct/Nm</t>
  </si>
  <si>
    <t>/PmtInf/CdtTrfTxInf/CdtrAgt/FinInstnId/BICFI</t>
  </si>
  <si>
    <t>/PmtInf/CdtTrfTxInf/CdtrAgt/FinInstnId/ClrSysMmbId</t>
  </si>
  <si>
    <t>/PmtInf/CdtTrfTxInf/CdtrAgt/FinInstnId/ClrSysMmbId/ClrSysId</t>
  </si>
  <si>
    <t>/PmtInf/CdtTrfTxInf/CdtrAgt/FinInstnId/ClrSysMmbId/ClrSysId/Cd</t>
  </si>
  <si>
    <t>/PmtInf/CdtTrfTxInf/CdtrAgt/FinInstnId/ClrSysMmbId/ClrSysId/Prtry</t>
  </si>
  <si>
    <t>/PmtInf/CdtTrfTxInf/CdtrAgt/FinInstnId/ClrSysMmbId/MmbId</t>
  </si>
  <si>
    <t>/PmtInf/CdtTrfTxInf/CdtrAgt/FinInstnId/Nm</t>
  </si>
  <si>
    <t>/PmtInf/CdtTrfTxInf/CdtrAgt/FinInstnId/PstlAdr</t>
  </si>
  <si>
    <t>/PmtInf/CdtTrfTxInf/CdtrAgt/FinInstnId/PstlAdr/AdrTp</t>
  </si>
  <si>
    <t>/PmtInf/CdtTrfTxInf/CdtrAgt/FinInstnId/PstlAdr/Dept</t>
  </si>
  <si>
    <t>/PmtInf/CdtTrfTxInf/CdtrAgt/FinInstnId/PstlAdr/SubDept</t>
  </si>
  <si>
    <t>/PmtInf/CdtTrfTxInf/CdtrAgt/FinInstnId/PstlAdr/StrtNm</t>
  </si>
  <si>
    <t>/PmtInf/CdtTrfTxInf/CdtrAgt/FinInstnId/PstlAdr/BldgNb</t>
  </si>
  <si>
    <t>/PmtInf/CdtTrfTxInf/CdtrAgt/FinInstnId/PstlAdr/PstCd</t>
  </si>
  <si>
    <t>/PmtInf/CdtTrfTxInf/CdtrAgt/FinInstnId/PstlAdr/TwnNm</t>
  </si>
  <si>
    <t>/PmtInf/CdtTrfTxInf/CdtrAgt/FinInstnId/PstlAdr/CtrySubDvsn</t>
  </si>
  <si>
    <t>/PmtInf/CdtTrfTxInf/CdtrAgt/FinInstnId/PstlAdr/Ctry</t>
  </si>
  <si>
    <t>/PmtInf/CdtTrfTxInf/CdtrAgt/FinInstnId/PstlAdr/AdrLine</t>
  </si>
  <si>
    <t>/PmtInf/CdtTrfTxInf/CdtrAgt/FinInstnId/Othr</t>
  </si>
  <si>
    <t>/PmtInf/CdtTrfTxInf/CdtrAgt/FinInstnId/Othr/Id</t>
  </si>
  <si>
    <t>/PmtInf/CdtTrfTxInf/CdtrAgt/FinInstnId/Othr/SchmeNm</t>
  </si>
  <si>
    <t>/PmtInf/CdtTrfTxInf/CdtrAgt/FinInstnId/Othr/SchmeNm/Cd</t>
  </si>
  <si>
    <t>/PmtInf/CdtTrfTxInf/CdtrAgt/FinInstnId/Othr/SchmeNm/Prtry</t>
  </si>
  <si>
    <t>/PmtInf/CdtTrfTxInf/CdtrAgt/FinInstnId/Othr/Issr</t>
  </si>
  <si>
    <t>/PmtInf/CdtTrfTxInf/CdtrAgt/BrnchId</t>
  </si>
  <si>
    <t>/PmtInf/CdtTrfTxInf/CdtrAgt/BrnchId/Id</t>
  </si>
  <si>
    <t>/PmtInf/CdtTrfTxInf/CdtrAgt/BrnchId/Nm</t>
  </si>
  <si>
    <t>/PmtInf/CdtTrfTxInf/CdtrAgt/BrnchId/PstlAdr</t>
  </si>
  <si>
    <t>/PmtInf/CdtTrfTxInf/CdtrAgt/BrnchId/PstlAdr/AdrTp</t>
  </si>
  <si>
    <t>/PmtInf/CdtTrfTxInf/CdtrAgt/BrnchId/PstlAdr/Dept</t>
  </si>
  <si>
    <t>/PmtInf/CdtTrfTxInf/CdtrAgt/BrnchId/PstlAdr/SubDept</t>
  </si>
  <si>
    <t>/PmtInf/CdtTrfTxInf/CdtrAgt/BrnchId/PstlAdr/StrtNm</t>
  </si>
  <si>
    <t>/PmtInf/CdtTrfTxInf/CdtrAgt/BrnchId/PstlAdr/BldgNb</t>
  </si>
  <si>
    <t>/PmtInf/CdtTrfTxInf/CdtrAgt/BrnchId/PstlAdr/PstCd</t>
  </si>
  <si>
    <t>/PmtInf/CdtTrfTxInf/CdtrAgt/BrnchId/PstlAdr/TwnNm</t>
  </si>
  <si>
    <t>/PmtInf/CdtTrfTxInf/CdtrAgt/BrnchId/PstlAdr/CtrySubDvsn</t>
  </si>
  <si>
    <t>/PmtInf/CdtTrfTxInf/CdtrAgt/BrnchId/PstlAdr/Ctry</t>
  </si>
  <si>
    <t>/PmtInf/CdtTrfTxInf/CdtrAgt/BrnchId/PstlAdr/AdrLine</t>
  </si>
  <si>
    <t>/PmtInf/CdtTrfTxInf/CdtrAgtAcct</t>
  </si>
  <si>
    <t>/PmtInf/CdtTrfTxInf/CdtrAgtAcct/Id</t>
  </si>
  <si>
    <t>/PmtInf/CdtTrfTxInf/CdtrAgtAcct/Id/IBAN</t>
  </si>
  <si>
    <t>/PmtInf/CdtTrfTxInf/CdtrAgtAcct/Id/Othr</t>
  </si>
  <si>
    <t>/PmtInf/CdtTrfTxInf/CdtrAgtAcct/Id/Othr/Id</t>
  </si>
  <si>
    <t>/PmtInf/CdtTrfTxInf/CdtrAgtAcct/Id/Othr/SchmeNm</t>
  </si>
  <si>
    <t>/PmtInf/CdtTrfTxInf/CdtrAgtAcct/Id/Othr/SchmeNm/Cd</t>
  </si>
  <si>
    <t>/PmtInf/CdtTrfTxInf/CdtrAgtAcct/Id/Othr/SchmeNm/Prtry</t>
  </si>
  <si>
    <t>/PmtInf/CdtTrfTxInf/CdtrAgtAcct/Id/Othr/Issr</t>
  </si>
  <si>
    <t>/PmtInf/CdtTrfTxInf/CdtrAgtAcct/Tp</t>
  </si>
  <si>
    <t>/PmtInf/CdtTrfTxInf/CdtrAgtAcct/Tp/Cd</t>
  </si>
  <si>
    <t>/PmtInf/CdtTrfTxInf/CdtrAgtAcct/Tp/Prtry</t>
  </si>
  <si>
    <t>/PmtInf/CdtTrfTxInf/CdtrAgtAcct/Ccy</t>
  </si>
  <si>
    <t>/PmtInf/CdtTrfTxInf/CdtrAgtAcct/Nm</t>
  </si>
  <si>
    <t>/PmtInf/CdtTrfTxInf/Cdtr/PstlAdr/AdrTp</t>
  </si>
  <si>
    <t>/PmtInf/CdtTrfTxInf/Cdtr/PstlAdr/Dept</t>
  </si>
  <si>
    <t>/PmtInf/CdtTrfTxInf/Cdtr/PstlAdr/SubDept</t>
  </si>
  <si>
    <t>/PmtInf/CdtTrfTxInf/Cdtr/PstlAdr/StrtNm</t>
  </si>
  <si>
    <t>/PmtInf/CdtTrfTxInf/Cdtr/PstlAdr/BldgNb</t>
  </si>
  <si>
    <t>/PmtInf/CdtTrfTxInf/Cdtr/PstlAdr/PstCd</t>
  </si>
  <si>
    <t>/PmtInf/CdtTrfTxInf/Cdtr/PstlAdr/TwnNm</t>
  </si>
  <si>
    <t>/PmtInf/CdtTrfTxInf/Cdtr/PstlAdr/CtrySubDvsn</t>
  </si>
  <si>
    <t>/PmtInf/CdtTrfTxInf/Cdtr/Id/OrgId/AnyBIC</t>
  </si>
  <si>
    <t>/PmtInf/CdtTrfTxInf/Cdtr/CtryOfRes</t>
  </si>
  <si>
    <t>/PmtInf/CdtTrfTxInf/Cdtr/CtctDtls</t>
  </si>
  <si>
    <t>/PmtInf/CdtTrfTxInf/Cdtr/CtctDtls/NmPrfx</t>
  </si>
  <si>
    <t>/PmtInf/CdtTrfTxInf/Cdtr/CtctDtls/Nm</t>
  </si>
  <si>
    <t>/PmtInf/CdtTrfTxInf/Cdtr/CtctDtls/PhneNb</t>
  </si>
  <si>
    <t>/PmtInf/CdtTrfTxInf/Cdtr/CtctDtls/MobNb</t>
  </si>
  <si>
    <t>/PmtInf/CdtTrfTxInf/Cdtr/CtctDtls/FaxNb</t>
  </si>
  <si>
    <t>/PmtInf/CdtTrfTxInf/Cdtr/CtctDtls/EmailAdr</t>
  </si>
  <si>
    <t>/PmtInf/CdtTrfTxInf/Cdtr/CtctDtls/Othr</t>
  </si>
  <si>
    <t>/PmtInf/CdtTrfTxInf/CdtrAcct/Id/Othr</t>
  </si>
  <si>
    <t>/PmtInf/CdtTrfTxInf/CdtrAcct/Id/Othr/Id</t>
  </si>
  <si>
    <t>/PmtInf/CdtTrfTxInf/CdtrAcct/Id/Othr/SchmeNm</t>
  </si>
  <si>
    <t>/PmtInf/CdtTrfTxInf/CdtrAcct/Id/Othr/SchmeNm/Cd</t>
  </si>
  <si>
    <t>/PmtInf/CdtTrfTxInf/CdtrAcct/Id/Othr/SchmeNm/Prtry</t>
  </si>
  <si>
    <t>/PmtInf/CdtTrfTxInf/CdtrAcct/Id/Othr/Issr</t>
  </si>
  <si>
    <t>/PmtInf/CdtTrfTxInf/CdtrAcct/Tp</t>
  </si>
  <si>
    <t>/PmtInf/CdtTrfTxInf/CdtrAcct/Tp/Cd</t>
  </si>
  <si>
    <t>/PmtInf/CdtTrfTxInf/CdtrAcct/Tp/Prtry</t>
  </si>
  <si>
    <t>/PmtInf/CdtTrfTxInf/CdtrAcct/Ccy</t>
  </si>
  <si>
    <t>/PmtInf/CdtTrfTxInf/CdtrAcct/Nm</t>
  </si>
  <si>
    <t>/PmtInf/CdtTrfTxInf/UltmtCdtr/PstlAdr</t>
  </si>
  <si>
    <t>/PmtInf/CdtTrfTxInf/UltmtCdtr/PstlAdr/AdrTp</t>
  </si>
  <si>
    <t>/PmtInf/CdtTrfTxInf/UltmtCdtr/PstlAdr/Dept</t>
  </si>
  <si>
    <t>/PmtInf/CdtTrfTxInf/UltmtCdtr/PstlAdr/SubDept</t>
  </si>
  <si>
    <t>/PmtInf/CdtTrfTxInf/UltmtCdtr/PstlAdr/StrtNm</t>
  </si>
  <si>
    <t>/PmtInf/CdtTrfTxInf/UltmtCdtr/PstlAdr/BldgNb</t>
  </si>
  <si>
    <t>/PmtInf/CdtTrfTxInf/UltmtCdtr/PstlAdr/PstCd</t>
  </si>
  <si>
    <t>/PmtInf/CdtTrfTxInf/UltmtCdtr/PstlAdr/TwnNm</t>
  </si>
  <si>
    <t>/PmtInf/CdtTrfTxInf/UltmtCdtr/PstlAdr/CtrySubDvsn</t>
  </si>
  <si>
    <t>/PmtInf/CdtTrfTxInf/UltmtCdtr/PstlAdr/Ctry</t>
  </si>
  <si>
    <t>/PmtInf/CdtTrfTxInf/UltmtCdtr/PstlAdr/AdrLine</t>
  </si>
  <si>
    <t>/PmtInf/CdtTrfTxInf/UltmtCdtr/Id/OrgId/AnyBIC</t>
  </si>
  <si>
    <t>/PmtInf/CdtTrfTxInf/UltmtCdtr/CtryOfRes</t>
  </si>
  <si>
    <t>/PmtInf/CdtTrfTxInf/UltmtCdtr/CtctDtls</t>
  </si>
  <si>
    <t>/PmtInf/CdtTrfTxInf/UltmtCdtr/CtctDtls/NmPrfx</t>
  </si>
  <si>
    <t>/PmtInf/CdtTrfTxInf/UltmtCdtr/CtctDtls/Nm</t>
  </si>
  <si>
    <t>/PmtInf/CdtTrfTxInf/UltmtCdtr/CtctDtls/PhneNb</t>
  </si>
  <si>
    <t>/PmtInf/CdtTrfTxInf/UltmtCdtr/CtctDtls/MobNb</t>
  </si>
  <si>
    <t>/PmtInf/CdtTrfTxInf/UltmtCdtr/CtctDtls/FaxNb</t>
  </si>
  <si>
    <t>/PmtInf/CdtTrfTxInf/UltmtCdtr/CtctDtls/EmailAdr</t>
  </si>
  <si>
    <t>/PmtInf/CdtTrfTxInf/UltmtCdtr/CtctDtls/Othr</t>
  </si>
  <si>
    <t>/PmtInf/CdtTrfTxInf/InstrForCdtrAgt</t>
  </si>
  <si>
    <t>/PmtInf/CdtTrfTxInf/InstrForCdtrAgt/Cd</t>
  </si>
  <si>
    <t>/PmtInf/CdtTrfTxInf/InstrForCdtrAgt/InstrInf</t>
  </si>
  <si>
    <t>/PmtInf/CdtTrfTxInf/InstrForDbtrAgt</t>
  </si>
  <si>
    <t>/PmtInf/CdtTrfTxInf/Purp/Prtry</t>
  </si>
  <si>
    <t>/PmtInf/CdtTrfTxInf/RgltryRptg</t>
  </si>
  <si>
    <t>/PmtInf/CdtTrfTxInf/RgltryRptg/DbtCdtRptgInd</t>
  </si>
  <si>
    <t>/PmtInf/CdtTrfTxInf/RgltryRptg/Authrty</t>
  </si>
  <si>
    <t>/PmtInf/CdtTrfTxInf/RgltryRptg/Authrty/Nm</t>
  </si>
  <si>
    <t>/PmtInf/CdtTrfTxInf/RgltryRptg/Authrty/Ctry</t>
  </si>
  <si>
    <t>/PmtInf/CdtTrfTxInf/RgltryRptg/Dtls</t>
  </si>
  <si>
    <t>/PmtInf/CdtTrfTxInf/RgltryRptg/Dtls/Tp</t>
  </si>
  <si>
    <t>/PmtInf/CdtTrfTxInf/RgltryRptg/Dtls/Dt</t>
  </si>
  <si>
    <t>/PmtInf/CdtTrfTxInf/RgltryRptg/Dtls/Ctry</t>
  </si>
  <si>
    <t>/PmtInf/CdtTrfTxInf/RgltryRptg/Dtls/Cd</t>
  </si>
  <si>
    <t>/PmtInf/CdtTrfTxInf/RgltryRptg/Dtls/Amt</t>
  </si>
  <si>
    <t>/PmtInf/CdtTrfTxInf/RgltryRptg/Dtls/Amt/Ccy</t>
  </si>
  <si>
    <t>/PmtInf/CdtTrfTxInf/RgltryRptg/Dtls/Inf</t>
  </si>
  <si>
    <t>/PmtInf/CdtTrfTxInf/Tax</t>
  </si>
  <si>
    <t>/PmtInf/CdtTrfTxInf/Tax/Cdtr</t>
  </si>
  <si>
    <t>/PmtInf/CdtTrfTxInf/Tax/Cdtr/TaxId</t>
  </si>
  <si>
    <t>/PmtInf/CdtTrfTxInf/Tax/Cdtr/RegnId</t>
  </si>
  <si>
    <t>/PmtInf/CdtTrfTxInf/Tax/Cdtr/TaxTp</t>
  </si>
  <si>
    <t>/PmtInf/CdtTrfTxInf/Tax/Dbtr</t>
  </si>
  <si>
    <t>/PmtInf/CdtTrfTxInf/Tax/Dbtr/TaxId</t>
  </si>
  <si>
    <t>/PmtInf/CdtTrfTxInf/Tax/Dbtr/RegnId</t>
  </si>
  <si>
    <t>/PmtInf/CdtTrfTxInf/Tax/Dbtr/TaxTp</t>
  </si>
  <si>
    <t>/PmtInf/CdtTrfTxInf/Tax/Dbtr/Authstn</t>
  </si>
  <si>
    <t>/PmtInf/CdtTrfTxInf/Tax/Dbtr/Authstn/Titl</t>
  </si>
  <si>
    <t>/PmtInf/CdtTrfTxInf/Tax/Dbtr/Authstn/Nm</t>
  </si>
  <si>
    <t>/PmtInf/CdtTrfTxInf/Tax/AdmstnZn</t>
  </si>
  <si>
    <t>/PmtInf/CdtTrfTxInf/Tax/RefNb</t>
  </si>
  <si>
    <t>/PmtInf/CdtTrfTxInf/Tax/Mtd</t>
  </si>
  <si>
    <t>/PmtInf/CdtTrfTxInf/Tax/TtlTaxblBaseAmt</t>
  </si>
  <si>
    <t>/PmtInf/CdtTrfTxInf/Tax/TtlTaxblBaseAmt/Ccy</t>
  </si>
  <si>
    <t>/PmtInf/CdtTrfTxInf/Tax/TtlTaxAmt</t>
  </si>
  <si>
    <t>/PmtInf/CdtTrfTxInf/Tax/TtlTaxAmt/Ccy</t>
  </si>
  <si>
    <t>/PmtInf/CdtTrfTxInf/Tax/Dt</t>
  </si>
  <si>
    <t>/PmtInf/CdtTrfTxInf/Tax/SeqNb</t>
  </si>
  <si>
    <t>/PmtInf/CdtTrfTxInf/Tax/Rcrd</t>
  </si>
  <si>
    <t>/PmtInf/CdtTrfTxInf/Tax/Rcrd/Tp</t>
  </si>
  <si>
    <t>/PmtInf/CdtTrfTxInf/Tax/Rcrd/Ctgy</t>
  </si>
  <si>
    <t>/PmtInf/CdtTrfTxInf/Tax/Rcrd/CtgyDtls</t>
  </si>
  <si>
    <t>/PmtInf/CdtTrfTxInf/Tax/Rcrd/DbtrSts</t>
  </si>
  <si>
    <t>/PmtInf/CdtTrfTxInf/Tax/Rcrd/CertId</t>
  </si>
  <si>
    <t>/PmtInf/CdtTrfTxInf/Tax/Rcrd/FrmsCd</t>
  </si>
  <si>
    <t>/PmtInf/CdtTrfTxInf/Tax/Rcrd/Prd</t>
  </si>
  <si>
    <t>/PmtInf/CdtTrfTxInf/Tax/Rcrd/Prd/Yr</t>
  </si>
  <si>
    <t>/PmtInf/CdtTrfTxInf/Tax/Rcrd/Prd/Tp</t>
  </si>
  <si>
    <t>/PmtInf/CdtTrfTxInf/Tax/Rcrd/Prd/FrToDt</t>
  </si>
  <si>
    <t>/PmtInf/CdtTrfTxInf/Tax/Rcrd/Prd/FrToDt/FrDt</t>
  </si>
  <si>
    <t>/PmtInf/CdtTrfTxInf/Tax/Rcrd/Prd/FrToDt/ToDt</t>
  </si>
  <si>
    <t>/PmtInf/CdtTrfTxInf/Tax/Rcrd/TaxAmt</t>
  </si>
  <si>
    <t>/PmtInf/CdtTrfTxInf/Tax/Rcrd/TaxAmt/Rate</t>
  </si>
  <si>
    <t>/PmtInf/CdtTrfTxInf/Tax/Rcrd/TaxAmt/TaxblBaseAmt</t>
  </si>
  <si>
    <t>/PmtInf/CdtTrfTxInf/Tax/Rcrd/TaxAmt/TaxblBaseAmt/Ccy</t>
  </si>
  <si>
    <t>/PmtInf/CdtTrfTxInf/Tax/Rcrd/TaxAmt/TtlAmt</t>
  </si>
  <si>
    <t>/PmtInf/CdtTrfTxInf/Tax/Rcrd/TaxAmt/TtlAmt/Ccy</t>
  </si>
  <si>
    <t>/PmtInf/CdtTrfTxInf/Tax/Rcrd/TaxAmt/Dtls</t>
  </si>
  <si>
    <t>/PmtInf/CdtTrfTxInf/Tax/Rcrd/TaxAmt/Dtls/Prd</t>
  </si>
  <si>
    <t>/PmtInf/CdtTrfTxInf/Tax/Rcrd/TaxAmt/Dtls/Prd/Yr</t>
  </si>
  <si>
    <t>/PmtInf/CdtTrfTxInf/Tax/Rcrd/TaxAmt/Dtls/Prd/Tp</t>
  </si>
  <si>
    <t>/PmtInf/CdtTrfTxInf/Tax/Rcrd/TaxAmt/Dtls/Prd/FrToDt</t>
  </si>
  <si>
    <t>/PmtInf/CdtTrfTxInf/Tax/Rcrd/TaxAmt/Dtls/Prd/FrToDt/FrDt</t>
  </si>
  <si>
    <t>/PmtInf/CdtTrfTxInf/Tax/Rcrd/TaxAmt/Dtls/Prd/FrToDt/ToDt</t>
  </si>
  <si>
    <t>/PmtInf/CdtTrfTxInf/Tax/Rcrd/TaxAmt/Dtls/Amt</t>
  </si>
  <si>
    <t>/PmtInf/CdtTrfTxInf/Tax/Rcrd/TaxAmt/Dtls/Amt/Ccy</t>
  </si>
  <si>
    <t>/PmtInf/CdtTrfTxInf/Tax/Rcrd/AddtlInf</t>
  </si>
  <si>
    <t>/PmtInf/CdtTrfTxInf/RltdRmtInf</t>
  </si>
  <si>
    <t>/PmtInf/CdtTrfTxInf/RltdRmtInf/RmtId</t>
  </si>
  <si>
    <t>/PmtInf/CdtTrfTxInf/RltdRmtInf/RmtLctnMtd</t>
  </si>
  <si>
    <t>/PmtInf/CdtTrfTxInf/RltdRmtInf/RmtLctnElctrncAdr</t>
  </si>
  <si>
    <t>/PmtInf/CdtTrfTxInf/RltdRmtInf/RmtLctnPstlAdr</t>
  </si>
  <si>
    <t>/PmtInf/CdtTrfTxInf/RltdRmtInf/RmtLctnPstlAdr/Nm</t>
  </si>
  <si>
    <t>/PmtInf/CdtTrfTxInf/RltdRmtInf/RmtLctnPstlAdr/Adr</t>
  </si>
  <si>
    <t>/PmtInf/CdtTrfTxInf/RltdRmtInf/RmtLctnPstlAdr/Adr/AdrTp</t>
  </si>
  <si>
    <t>/PmtInf/CdtTrfTxInf/RltdRmtInf/RmtLctnPstlAdr/Adr/Dept</t>
  </si>
  <si>
    <t>/PmtInf/CdtTrfTxInf/RltdRmtInf/RmtLctnPstlAdr/Adr/SubDept</t>
  </si>
  <si>
    <t>/PmtInf/CdtTrfTxInf/RltdRmtInf/RmtLctnPstlAdr/Adr/StrtNm</t>
  </si>
  <si>
    <t>/PmtInf/CdtTrfTxInf/RltdRmtInf/RmtLctnPstlAdr/Adr/BldgNb</t>
  </si>
  <si>
    <t>/PmtInf/CdtTrfTxInf/RltdRmtInf/RmtLctnPstlAdr/Adr/PstCd</t>
  </si>
  <si>
    <t>/PmtInf/CdtTrfTxInf/RltdRmtInf/RmtLctnPstlAdr/Adr/TwnNm</t>
  </si>
  <si>
    <t>/PmtInf/CdtTrfTxInf/RltdRmtInf/RmtLctnPstlAdr/Adr/CtrySubDvsn</t>
  </si>
  <si>
    <t>/PmtInf/CdtTrfTxInf/RltdRmtInf/RmtLctnPstlAdr/Adr/Ctry</t>
  </si>
  <si>
    <t>/PmtInf/CdtTrfTxInf/RltdRmtInf/RmtLctnPstlAdr/Adr/AdrLine</t>
  </si>
  <si>
    <t>/PmtInf/CdtTrfTxInf/RmtInf/Strd/RfrdDocInf</t>
  </si>
  <si>
    <t>/PmtInf/CdtTrfTxInf/RmtInf/Strd/RfrdDocInf/Tp</t>
  </si>
  <si>
    <t>/PmtInf/CdtTrfTxInf/RmtInf/Strd/RfrdDocInf/Tp/CdOrPrtry</t>
  </si>
  <si>
    <t>/PmtInf/CdtTrfTxInf/RmtInf/Strd/RfrdDocInf/Tp/CdOrPrtry/Cd</t>
  </si>
  <si>
    <t>/PmtInf/CdtTrfTxInf/RmtInf/Strd/RfrdDocInf/Tp/CdOrPrtry/Prtry</t>
  </si>
  <si>
    <t>/PmtInf/CdtTrfTxInf/RmtInf/Strd/RfrdDocInf/Tp/Issr</t>
  </si>
  <si>
    <t>/PmtInf/CdtTrfTxInf/RmtInf/Strd/RfrdDocInf/Nb</t>
  </si>
  <si>
    <t>/PmtInf/CdtTrfTxInf/RmtInf/Strd/RfrdDocInf/Dt</t>
  </si>
  <si>
    <t>/PmtInf/CdtTrfTxInf/RmtInf/Strd/RfrdDocAmt</t>
  </si>
  <si>
    <t>/PmtInf/CdtTrfTxInf/RmtInf/Strd/RfrdDocAmt/DuePyblAmt</t>
  </si>
  <si>
    <t>/PmtInf/CdtTrfTxInf/RmtInf/Strd/RfrdDocAmt/DuePyblAmt/Ccy</t>
  </si>
  <si>
    <t>/PmtInf/CdtTrfTxInf/RmtInf/Strd/RfrdDocAmt/DscntApldAmt</t>
  </si>
  <si>
    <t>/PmtInf/CdtTrfTxInf/RmtInf/Strd/RfrdDocAmt/DscntApldAmt/Tp</t>
  </si>
  <si>
    <t>/PmtInf/CdtTrfTxInf/RmtInf/Strd/RfrdDocAmt/DscntApldAmt/Tp/Cd</t>
  </si>
  <si>
    <t>/PmtInf/CdtTrfTxInf/RmtInf/Strd/RfrdDocAmt/DscntApldAmt/Tp/Prtry</t>
  </si>
  <si>
    <t>/PmtInf/CdtTrfTxInf/RmtInf/Strd/RfrdDocAmt/DscntApldAmt/Amt</t>
  </si>
  <si>
    <t>/PmtInf/CdtTrfTxInf/RmtInf/Strd/RfrdDocAmt/DscntApldAmt/Amt/Ccy</t>
  </si>
  <si>
    <t>/PmtInf/CdtTrfTxInf/RmtInf/Strd/RfrdDocAmt/CdtNoteAmt</t>
  </si>
  <si>
    <t>/PmtInf/CdtTrfTxInf/RmtInf/Strd/RfrdDocAmt/CdtNoteAmt/Ccy</t>
  </si>
  <si>
    <t>/PmtInf/CdtTrfTxInf/RmtInf/Strd/RfrdDocAmt/TaxAmt</t>
  </si>
  <si>
    <t>/PmtInf/CdtTrfTxInf/RmtInf/Strd/RfrdDocAmt/TaxAmt/Tp</t>
  </si>
  <si>
    <t>/PmtInf/CdtTrfTxInf/RmtInf/Strd/RfrdDocAmt/TaxAmt/Tp/Cd</t>
  </si>
  <si>
    <t>/PmtInf/CdtTrfTxInf/RmtInf/Strd/RfrdDocAmt/TaxAmt/Tp/Prtry</t>
  </si>
  <si>
    <t>/PmtInf/CdtTrfTxInf/RmtInf/Strd/RfrdDocAmt/TaxAmt/Amt</t>
  </si>
  <si>
    <t>/PmtInf/CdtTrfTxInf/RmtInf/Strd/RfrdDocAmt/TaxAmt/Amt/Ccy</t>
  </si>
  <si>
    <t>/PmtInf/CdtTrfTxInf/RmtInf/Strd/RfrdDocAmt/AdjstmntAmtAndRsn</t>
  </si>
  <si>
    <t>/PmtInf/CdtTrfTxInf/RmtInf/Strd/RfrdDocAmt/AdjstmntAmtAndRsn/Amt</t>
  </si>
  <si>
    <t>/PmtInf/CdtTrfTxInf/RmtInf/Strd/RfrdDocAmt/AdjstmntAmtAndRsn/Amt/Ccy</t>
  </si>
  <si>
    <t>/PmtInf/CdtTrfTxInf/RmtInf/Strd/RfrdDocAmt/AdjstmntAmtAndRsn/CdtDbtInd</t>
  </si>
  <si>
    <t>/PmtInf/CdtTrfTxInf/RmtInf/Strd/RfrdDocAmt/AdjstmntAmtAndRsn/Rsn</t>
  </si>
  <si>
    <t>/PmtInf/CdtTrfTxInf/RmtInf/Strd/RfrdDocAmt/AdjstmntAmtAndRsn/AddtlInf</t>
  </si>
  <si>
    <t>/PmtInf/CdtTrfTxInf/RmtInf/Strd/RfrdDocAmt/RmtdAmt</t>
  </si>
  <si>
    <t>/PmtInf/CdtTrfTxInf/RmtInf/Strd/RfrdDocAmt/RmtdAmt/Ccy</t>
  </si>
  <si>
    <t>/PmtInf/CdtTrfTxInf/RmtInf/Strd/CdtrRefInf/Tp/CdOrPrtry/Prtry</t>
  </si>
  <si>
    <t>/PmtInf/CdtTrfTxInf/RmtInf/Strd/CdtrRefInf/Ref</t>
  </si>
  <si>
    <t>/PmtInf/CdtTrfTxInf/RmtInf/Strd/Invcr</t>
  </si>
  <si>
    <t>/PmtInf/CdtTrfTxInf/RmtInf/Strd/Invcr/Nm</t>
  </si>
  <si>
    <t>/PmtInf/CdtTrfTxInf/RmtInf/Strd/Invcr/PstlAdr</t>
  </si>
  <si>
    <t>/PmtInf/CdtTrfTxInf/RmtInf/Strd/Invcr/PstlAdr/AdrTp</t>
  </si>
  <si>
    <t>/PmtInf/CdtTrfTxInf/RmtInf/Strd/Invcr/PstlAdr/Dept</t>
  </si>
  <si>
    <t>/PmtInf/CdtTrfTxInf/RmtInf/Strd/Invcr/PstlAdr/SubDept</t>
  </si>
  <si>
    <t>/PmtInf/CdtTrfTxInf/RmtInf/Strd/Invcr/PstlAdr/StrtNm</t>
  </si>
  <si>
    <t>/PmtInf/CdtTrfTxInf/RmtInf/Strd/Invcr/PstlAdr/BldgNb</t>
  </si>
  <si>
    <t>/PmtInf/CdtTrfTxInf/RmtInf/Strd/Invcr/PstlAdr/PstCd</t>
  </si>
  <si>
    <t>/PmtInf/CdtTrfTxInf/RmtInf/Strd/Invcr/PstlAdr/TwnNm</t>
  </si>
  <si>
    <t>/PmtInf/CdtTrfTxInf/RmtInf/Strd/Invcr/PstlAdr/CtrySubDvsn</t>
  </si>
  <si>
    <t>/PmtInf/CdtTrfTxInf/RmtInf/Strd/Invcr/PstlAdr/Ctry</t>
  </si>
  <si>
    <t>/PmtInf/CdtTrfTxInf/RmtInf/Strd/Invcr/PstlAdr/AdrLine</t>
  </si>
  <si>
    <t>/PmtInf/CdtTrfTxInf/RmtInf/Strd/Invcr/Id</t>
  </si>
  <si>
    <t>/PmtInf/CdtTrfTxInf/RmtInf/Strd/Invcr/Id/OrgId</t>
  </si>
  <si>
    <t>/PmtInf/CdtTrfTxInf/RmtInf/Strd/Invcr/Id/OrgId/AnyBIC</t>
  </si>
  <si>
    <t>/PmtInf/CdtTrfTxInf/RmtInf/Strd/Invcr/Id/OrgId/Othr</t>
  </si>
  <si>
    <t>/PmtInf/CdtTrfTxInf/RmtInf/Strd/Invcr/Id/OrgId/Othr/Id</t>
  </si>
  <si>
    <t>/PmtInf/CdtTrfTxInf/RmtInf/Strd/Invcr/Id/OrgId/Othr/SchmeNm</t>
  </si>
  <si>
    <t>/PmtInf/CdtTrfTxInf/RmtInf/Strd/Invcr/Id/OrgId/Othr/SchmeNm/Cd</t>
  </si>
  <si>
    <t>/PmtInf/CdtTrfTxInf/RmtInf/Strd/Invcr/Id/OrgId/Othr/SchmeNm/Prtry</t>
  </si>
  <si>
    <t>/PmtInf/CdtTrfTxInf/RmtInf/Strd/Invcr/Id/OrgId/Othr/Issr</t>
  </si>
  <si>
    <t>/PmtInf/CdtTrfTxInf/RmtInf/Strd/Invcr/Id/PrvtId</t>
  </si>
  <si>
    <t>/PmtInf/CdtTrfTxInf/RmtInf/Strd/Invcr/Id/PrvtId/DtAndPlcOfBirth</t>
  </si>
  <si>
    <t>/PmtInf/CdtTrfTxInf/RmtInf/Strd/Invcr/Id/PrvtId/DtAndPlcOfBirth/BirthDt</t>
  </si>
  <si>
    <t>/PmtInf/CdtTrfTxInf/RmtInf/Strd/Invcr/Id/PrvtId/DtAndPlcOfBirth/PrvcOfBirth</t>
  </si>
  <si>
    <t>/PmtInf/CdtTrfTxInf/RmtInf/Strd/Invcr/Id/PrvtId/DtAndPlcOfBirth/CityOfBirth</t>
  </si>
  <si>
    <t>/PmtInf/CdtTrfTxInf/RmtInf/Strd/Invcr/Id/PrvtId/DtAndPlcOfBirth/CtryOfBirth</t>
  </si>
  <si>
    <t>/PmtInf/CdtTrfTxInf/RmtInf/Strd/Invcr/Id/PrvtId/Othr</t>
  </si>
  <si>
    <t>/PmtInf/CdtTrfTxInf/RmtInf/Strd/Invcr/Id/PrvtId/Othr/Id</t>
  </si>
  <si>
    <t>/PmtInf/CdtTrfTxInf/RmtInf/Strd/Invcr/Id/PrvtId/Othr/SchmeNm</t>
  </si>
  <si>
    <t>/PmtInf/CdtTrfTxInf/RmtInf/Strd/Invcr/Id/PrvtId/Othr/SchmeNm/Cd</t>
  </si>
  <si>
    <t>/PmtInf/CdtTrfTxInf/RmtInf/Strd/Invcr/Id/PrvtId/Othr/SchmeNm/Prtry</t>
  </si>
  <si>
    <t>/PmtInf/CdtTrfTxInf/RmtInf/Strd/Invcr/Id/PrvtId/Othr/Issr</t>
  </si>
  <si>
    <t>/PmtInf/CdtTrfTxInf/RmtInf/Strd/Invcr/CtryOfRes</t>
  </si>
  <si>
    <t>/PmtInf/CdtTrfTxInf/RmtInf/Strd/Invcr/CtctDtls</t>
  </si>
  <si>
    <t>/PmtInf/CdtTrfTxInf/RmtInf/Strd/Invcr/CtctDtls/NmPrfx</t>
  </si>
  <si>
    <t>/PmtInf/CdtTrfTxInf/RmtInf/Strd/Invcr/CtctDtls/Nm</t>
  </si>
  <si>
    <t>/PmtInf/CdtTrfTxInf/RmtInf/Strd/Invcr/CtctDtls/PhneNb</t>
  </si>
  <si>
    <t>/PmtInf/CdtTrfTxInf/RmtInf/Strd/Invcr/CtctDtls/MobNb</t>
  </si>
  <si>
    <t>/PmtInf/CdtTrfTxInf/RmtInf/Strd/Invcr/CtctDtls/FaxNb</t>
  </si>
  <si>
    <t>/PmtInf/CdtTrfTxInf/RmtInf/Strd/Invcr/CtctDtls/EmailAdr</t>
  </si>
  <si>
    <t>/PmtInf/CdtTrfTxInf/RmtInf/Strd/Invcr/CtctDtls/Othr</t>
  </si>
  <si>
    <t>/PmtInf/CdtTrfTxInf/RmtInf/Strd/Invcee</t>
  </si>
  <si>
    <t>/PmtInf/CdtTrfTxInf/RmtInf/Strd/Invcee/Nm</t>
  </si>
  <si>
    <t>/PmtInf/CdtTrfTxInf/RmtInf/Strd/Invcee/PstlAdr</t>
  </si>
  <si>
    <t>/PmtInf/CdtTrfTxInf/RmtInf/Strd/Invcee/PstlAdr/AdrTp</t>
  </si>
  <si>
    <t>/PmtInf/CdtTrfTxInf/RmtInf/Strd/Invcee/PstlAdr/Dept</t>
  </si>
  <si>
    <t>/PmtInf/CdtTrfTxInf/RmtInf/Strd/Invcee/PstlAdr/SubDept</t>
  </si>
  <si>
    <t>/PmtInf/CdtTrfTxInf/RmtInf/Strd/Invcee/PstlAdr/StrtNm</t>
  </si>
  <si>
    <t>/PmtInf/CdtTrfTxInf/RmtInf/Strd/Invcee/PstlAdr/BldgNb</t>
  </si>
  <si>
    <t>/PmtInf/CdtTrfTxInf/RmtInf/Strd/Invcee/PstlAdr/PstCd</t>
  </si>
  <si>
    <t>/PmtInf/CdtTrfTxInf/RmtInf/Strd/Invcee/PstlAdr/TwnNm</t>
  </si>
  <si>
    <t>/PmtInf/CdtTrfTxInf/RmtInf/Strd/Invcee/PstlAdr/CtrySubDvsn</t>
  </si>
  <si>
    <t>/PmtInf/CdtTrfTxInf/RmtInf/Strd/Invcee/PstlAdr/Ctry</t>
  </si>
  <si>
    <t>/PmtInf/CdtTrfTxInf/RmtInf/Strd/Invcee/PstlAdr/AdrLine</t>
  </si>
  <si>
    <t>/PmtInf/CdtTrfTxInf/RmtInf/Strd/Invcee/Id</t>
  </si>
  <si>
    <t>/PmtInf/CdtTrfTxInf/RmtInf/Strd/Invcee/Id/OrgId</t>
  </si>
  <si>
    <t>/PmtInf/CdtTrfTxInf/RmtInf/Strd/Invcee/Id/OrgId/AnyBIC</t>
  </si>
  <si>
    <t>/PmtInf/CdtTrfTxInf/RmtInf/Strd/Invcee/Id/OrgId/Othr</t>
  </si>
  <si>
    <t>/PmtInf/CdtTrfTxInf/RmtInf/Strd/Invcee/Id/OrgId/Othr/Id</t>
  </si>
  <si>
    <t>/PmtInf/CdtTrfTxInf/RmtInf/Strd/Invcee/Id/OrgId/Othr/SchmeNm</t>
  </si>
  <si>
    <t>/PmtInf/CdtTrfTxInf/RmtInf/Strd/Invcee/Id/OrgId/Othr/SchmeNm/Cd</t>
  </si>
  <si>
    <t>/PmtInf/CdtTrfTxInf/RmtInf/Strd/Invcee/Id/OrgId/Othr/SchmeNm/Prtry</t>
  </si>
  <si>
    <t>/PmtInf/CdtTrfTxInf/RmtInf/Strd/Invcee/Id/OrgId/Othr/Issr</t>
  </si>
  <si>
    <t>/PmtInf/CdtTrfTxInf/RmtInf/Strd/Invcee/Id/PrvtId</t>
  </si>
  <si>
    <t>/PmtInf/CdtTrfTxInf/RmtInf/Strd/Invcee/Id/PrvtId/DtAndPlcOfBirth</t>
  </si>
  <si>
    <t>/PmtInf/CdtTrfTxInf/RmtInf/Strd/Invcee/Id/PrvtId/DtAndPlcOfBirth/BirthDt</t>
  </si>
  <si>
    <t>/PmtInf/CdtTrfTxInf/RmtInf/Strd/Invcee/Id/PrvtId/DtAndPlcOfBirth/PrvcOfBirth</t>
  </si>
  <si>
    <t>/PmtInf/CdtTrfTxInf/RmtInf/Strd/Invcee/Id/PrvtId/DtAndPlcOfBirth/CityOfBirth</t>
  </si>
  <si>
    <t>/PmtInf/CdtTrfTxInf/RmtInf/Strd/Invcee/Id/PrvtId/DtAndPlcOfBirth/CtryOfBirth</t>
  </si>
  <si>
    <t>/PmtInf/CdtTrfTxInf/RmtInf/Strd/Invcee/Id/PrvtId/Othr</t>
  </si>
  <si>
    <t>/PmtInf/CdtTrfTxInf/RmtInf/Strd/Invcee/Id/PrvtId/Othr/Id</t>
  </si>
  <si>
    <t>/PmtInf/CdtTrfTxInf/RmtInf/Strd/Invcee/Id/PrvtId/Othr/SchmeNm</t>
  </si>
  <si>
    <t>/PmtInf/CdtTrfTxInf/RmtInf/Strd/Invcee/Id/PrvtId/Othr/SchmeNm/Cd</t>
  </si>
  <si>
    <t>/PmtInf/CdtTrfTxInf/RmtInf/Strd/Invcee/Id/PrvtId/Othr/SchmeNm/Prtry</t>
  </si>
  <si>
    <t>/PmtInf/CdtTrfTxInf/RmtInf/Strd/Invcee/Id/PrvtId/Othr/Issr</t>
  </si>
  <si>
    <t>/PmtInf/CdtTrfTxInf/RmtInf/Strd/Invcee/CtryOfRes</t>
  </si>
  <si>
    <t>/PmtInf/CdtTrfTxInf/RmtInf/Strd/Invcee/CtctDtls</t>
  </si>
  <si>
    <t>/PmtInf/CdtTrfTxInf/RmtInf/Strd/Invcee/CtctDtls/NmPrfx</t>
  </si>
  <si>
    <t>/PmtInf/CdtTrfTxInf/RmtInf/Strd/Invcee/CtctDtls/Nm</t>
  </si>
  <si>
    <t>/PmtInf/CdtTrfTxInf/RmtInf/Strd/Invcee/CtctDtls/PhneNb</t>
  </si>
  <si>
    <t>/PmtInf/CdtTrfTxInf/RmtInf/Strd/Invcee/CtctDtls/MobNb</t>
  </si>
  <si>
    <t>/PmtInf/CdtTrfTxInf/RmtInf/Strd/Invcee/CtctDtls/FaxNb</t>
  </si>
  <si>
    <t>/PmtInf/CdtTrfTxInf/RmtInf/Strd/Invcee/CtctDtls/EmailAdr</t>
  </si>
  <si>
    <t>/PmtInf/CdtTrfTxInf/RmtInf/Strd/Invcee/CtctDtls/Othr</t>
  </si>
  <si>
    <t>/PmtInf/CdtTrfTxInf/RmtInf/Strd/AddtlRmtInf</t>
  </si>
  <si>
    <t>/SplmtryData</t>
  </si>
  <si>
    <t>/SplmtryData/PlcAndNm</t>
  </si>
  <si>
    <t>/SplmtryData/Envlp</t>
  </si>
  <si>
    <t>/SplmtryData/Envlp/(User Defined)</t>
  </si>
  <si>
    <t>pain.001.001.03</t>
  </si>
  <si>
    <t>SEPA CREDIT TRANSFER</t>
  </si>
  <si>
    <t>Locatie en naam SEPA Credit Transfer XML bestand</t>
  </si>
  <si>
    <t>Minimum, maximum limietbedrag</t>
  </si>
  <si>
    <t>Minimum:</t>
  </si>
  <si>
    <t>Maximum:</t>
  </si>
  <si>
    <t xml:space="preserve">    Default Gewenste verwerkingsdatum</t>
  </si>
  <si>
    <t>L</t>
  </si>
  <si>
    <t>Adres opdrachtgever:</t>
  </si>
  <si>
    <t>PC, woonpl. opdrachtgever:</t>
  </si>
  <si>
    <t>IBAN nr opdrachtgever:</t>
  </si>
  <si>
    <t>Versie:</t>
  </si>
  <si>
    <t>Omschrijving:</t>
  </si>
  <si>
    <t>v20130721</t>
  </si>
  <si>
    <t>v20130725</t>
  </si>
  <si>
    <t>v20130819</t>
  </si>
  <si>
    <t>Mogelijkheid opgenomen voor opgeven minimum en maximumbedrag.</t>
  </si>
  <si>
    <t>v20130823</t>
  </si>
  <si>
    <t>Datumaanduiding onafhankelijk taal- land instellingen.</t>
  </si>
  <si>
    <t>Afhandeling decimaalteken onafhankelijk taal- landinstellingen.</t>
  </si>
  <si>
    <t>Transactienummering opgenomen.</t>
  </si>
  <si>
    <t>Regelnr:</t>
  </si>
  <si>
    <t>Eerste conceptoplevering SepaBetaling t.b.v. acceptatietest</t>
  </si>
  <si>
    <t xml:space="preserve">Aanpassingen doorgevoerd aan helpfunctionaliteit. </t>
  </si>
  <si>
    <t>v20130901</t>
  </si>
  <si>
    <t>Wijziging gewenste verwerkingsdatum per transactie.</t>
  </si>
  <si>
    <t># Transacties</t>
  </si>
  <si>
    <t># Ingevulde IBANnummers</t>
  </si>
  <si>
    <t># Ingevulde BICCodes</t>
  </si>
  <si>
    <t># Ingevulde Bedragen</t>
  </si>
  <si>
    <t># Ingevulde Namen</t>
  </si>
  <si>
    <t># Ingevulde Transactie-ID</t>
  </si>
  <si>
    <t># Ingevulde Omschrijvingen</t>
  </si>
  <si>
    <t>Laatste Regel Ingevulde IBANnummers</t>
  </si>
  <si>
    <t>Laatste Regels Ingevulde Bedragen</t>
  </si>
  <si>
    <t>Laatste Regels Ingevulde Namen</t>
  </si>
  <si>
    <t>Laatste Regels Ingevulde Transactie-ID</t>
  </si>
  <si>
    <t>Laatste Regels Ingevulde Omschrijvingen</t>
  </si>
  <si>
    <t>Laatste Regel Ingevulde BICCodes</t>
  </si>
  <si>
    <t>Aantal (t.b.v. Validatie)</t>
  </si>
  <si>
    <t xml:space="preserve">  ( C )</t>
  </si>
  <si>
    <t xml:space="preserve">  ( D )</t>
  </si>
  <si>
    <t xml:space="preserve">  ( E )</t>
  </si>
  <si>
    <t xml:space="preserve">  ( F )</t>
  </si>
  <si>
    <t xml:space="preserve">  ( J )</t>
  </si>
  <si>
    <t xml:space="preserve">  ( K )</t>
  </si>
  <si>
    <t>Laatste Rij (t.b.v. Validatie)</t>
  </si>
  <si>
    <t>v20130906</t>
  </si>
  <si>
    <t>Extra controles op volledigheid gegevens, laatste rij, aantallen transacties.</t>
  </si>
  <si>
    <t>Robuustere afhandeling voor niet correct ingevulde bedragen.</t>
  </si>
  <si>
    <t>Batchbooking:</t>
  </si>
  <si>
    <t>Batchbooking mogelijkheid (voor de volledige batch) opgenomen.</t>
  </si>
  <si>
    <t>v20130921</t>
  </si>
  <si>
    <t>1e Paasdag</t>
  </si>
  <si>
    <t>2e Paasdag</t>
  </si>
  <si>
    <t>1e Pinksterdag</t>
  </si>
  <si>
    <t>2e Pinksterdag</t>
  </si>
  <si>
    <t>Hemelvaart</t>
  </si>
  <si>
    <t>Koning(s)(inne)dag</t>
  </si>
  <si>
    <t>1e Kerstdag</t>
  </si>
  <si>
    <t>2e Kerstdag</t>
  </si>
  <si>
    <t>Nieuwjaarsdag</t>
  </si>
  <si>
    <t>Gewenste verwerkingsdatum automatisch berekend op basis van werkdagen / feestdagen.</t>
  </si>
  <si>
    <t xml:space="preserve">    Gegenereerde prefix PmtInfId, wordt aangevuld met rijnummer</t>
  </si>
  <si>
    <t>v20130926</t>
  </si>
  <si>
    <t>Genereren uniek PmtInfId op basis van Instelling en Rijnummer transactie.</t>
  </si>
  <si>
    <t>v20131009</t>
  </si>
  <si>
    <t>Problemen met Batchbooking verholpen.</t>
  </si>
  <si>
    <t>true</t>
  </si>
  <si>
    <t>EindRij Transacties:</t>
  </si>
  <si>
    <t>Batchbooking in combinatie met individuele verwerkingsdata toestaan</t>
  </si>
  <si>
    <t>Twee cijfers achter het decimaalteken verplicht door RABO.</t>
  </si>
  <si>
    <t>v20131216</t>
  </si>
  <si>
    <t>v20140114</t>
  </si>
  <si>
    <t>v20140129</t>
  </si>
  <si>
    <t>Extra controles en omzetten van IBAN en BIC naar hoofdletters.</t>
  </si>
  <si>
    <t xml:space="preserve">    Laatste import bestand:</t>
  </si>
  <si>
    <t xml:space="preserve">   Op aanvraag te realiseren maatwerkfunctionaliteit (template@templatebuilding.com)</t>
  </si>
  <si>
    <t>Wijlre</t>
  </si>
  <si>
    <t>D:\Gulp en Geul Journaal\Bezorging\Betalingen-bezorgers</t>
  </si>
  <si>
    <t>Gulp en Geul Journaal</t>
  </si>
  <si>
    <t>NL85ABNA0558835139</t>
  </si>
  <si>
    <t>ABNANL2A</t>
  </si>
  <si>
    <t>JMC</t>
  </si>
  <si>
    <t>Dorpsstraat 8</t>
  </si>
  <si>
    <t>6271 BL, Gulpen</t>
  </si>
  <si>
    <t>RABONL2U</t>
  </si>
  <si>
    <t>Sterre Kleikers</t>
  </si>
  <si>
    <t>NL69RABO0335116353</t>
  </si>
  <si>
    <t>Sepa-betaling-bezorgers-W37-tm-W41-2019</t>
  </si>
  <si>
    <t>Route Wijlre 2 -W36 tm W41 - 2019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</si>
</sst>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_-"/>
    <numFmt numFmtId="165" formatCode="&quot; &quot;@"/>
    <numFmt numFmtId="166" formatCode=";;;"/>
    <numFmt numFmtId="167" formatCode="&quot; €&quot;\ * #,##0.00;\ &quot; €&quot;\ * \-#,##0.00"/>
    <numFmt numFmtId="168" formatCode="yyyy/mm/dd"/>
    <numFmt numFmtId="169" formatCode="&quot; €&quot;\ \ #,##0.00;\ &quot; €&quot;\ \ \-#,##0.00"/>
    <numFmt numFmtId="170" formatCode="0000"/>
    <numFmt numFmtId="171" formatCode="&quot;Gelijk&quot;;;&quot;Ongelijk&quot;;"/>
    <numFmt numFmtId="172" formatCode="[$-413]d\ mmmm\ yyyy;@"/>
    <numFmt numFmtId="173" formatCode="_-&quot;€&quot;\ * #,##0.00_-;_-&quot;€&quot;\ * #,##0.00\-;_-&quot;€&quot;\ * &quot;-&quot;??_-;_-@_-"/>
  </numFmts>
  <fonts count="6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8"/>
      <name val="Tahoma"/>
      <family val="2"/>
    </font>
    <font>
      <sz val="10"/>
      <color indexed="9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4"/>
      <name val="Cambria"/>
      <family val="1"/>
      <scheme val="major"/>
    </font>
    <font>
      <sz val="11"/>
      <name val="Tahoma"/>
      <family val="2"/>
    </font>
    <font>
      <sz val="12"/>
      <name val="Tahoma"/>
      <family val="2"/>
    </font>
    <font>
      <sz val="16"/>
      <name val="Cambria"/>
      <family val="1"/>
      <scheme val="major"/>
    </font>
    <font>
      <u/>
      <sz val="10"/>
      <color theme="10"/>
      <name val="Arial"/>
      <family val="2"/>
    </font>
    <font>
      <sz val="10"/>
      <name val="Cambria"/>
      <family val="1"/>
      <scheme val="major"/>
    </font>
    <font>
      <sz val="16"/>
      <color theme="0"/>
      <name val="Cambria"/>
      <family val="1"/>
      <scheme val="major"/>
    </font>
    <font>
      <sz val="12"/>
      <name val="Cambria"/>
      <family val="1"/>
      <scheme val="major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b/>
      <sz val="10"/>
      <name val="Cambria"/>
      <family val="1"/>
      <scheme val="major"/>
    </font>
    <font>
      <sz val="16"/>
      <color theme="0" tint="-0.34998626667073579"/>
      <name val="Cambria"/>
      <family val="1"/>
      <scheme val="major"/>
    </font>
    <font>
      <sz val="10"/>
      <color theme="0" tint="-0.34998626667073579"/>
      <name val="Tahoma"/>
      <family val="2"/>
    </font>
    <font>
      <i/>
      <sz val="28"/>
      <color rgb="FFFFC000"/>
      <name val="Alien Encounters"/>
    </font>
    <font>
      <b/>
      <i/>
      <sz val="12"/>
      <name val="Arial"/>
      <family val="2"/>
    </font>
    <font>
      <i/>
      <sz val="14"/>
      <color rgb="FFFFC000"/>
      <name val="Alien Encounters"/>
    </font>
    <font>
      <sz val="8"/>
      <color rgb="FFFFC000"/>
      <name val="Tahoma"/>
      <family val="2"/>
    </font>
    <font>
      <i/>
      <sz val="24"/>
      <color rgb="FFFFC000"/>
      <name val="Alien Encounters"/>
    </font>
    <font>
      <sz val="10"/>
      <color theme="0"/>
      <name val="Cambria"/>
      <family val="1"/>
      <scheme val="major"/>
    </font>
    <font>
      <sz val="10"/>
      <color theme="0" tint="-0.499984740745262"/>
      <name val="Cambria"/>
      <family val="1"/>
      <scheme val="major"/>
    </font>
    <font>
      <sz val="10"/>
      <name val="Courier New"/>
      <family val="3"/>
    </font>
    <font>
      <sz val="10"/>
      <color theme="0" tint="-0.499984740745262"/>
      <name val="Arial"/>
      <family val="2"/>
    </font>
    <font>
      <sz val="14"/>
      <color theme="0"/>
      <name val="Cambria"/>
      <family val="1"/>
      <scheme val="major"/>
    </font>
    <font>
      <sz val="12"/>
      <color theme="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10"/>
      <name val="MS Sans Serif"/>
      <family val="2"/>
    </font>
    <font>
      <sz val="8"/>
      <color indexed="8"/>
      <name val="Verdana"/>
      <family val="2"/>
    </font>
    <font>
      <sz val="7"/>
      <name val="Verdana"/>
      <family val="2"/>
    </font>
    <font>
      <sz val="7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8"/>
      <color rgb="FF555555"/>
      <name val="Verdana"/>
      <family val="2"/>
    </font>
    <font>
      <sz val="8"/>
      <color rgb="FFFF0000"/>
      <name val="Verdana"/>
      <family val="2"/>
    </font>
    <font>
      <sz val="8"/>
      <color rgb="FFFF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15151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2026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5"/>
      </patternFill>
    </fill>
  </fills>
  <borders count="3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24"/>
      </left>
      <right/>
      <top/>
      <bottom style="hair">
        <color indexed="24"/>
      </bottom>
      <diagonal/>
    </border>
    <border>
      <left style="thin">
        <color indexed="24"/>
      </left>
      <right style="thin">
        <color indexed="24"/>
      </right>
      <top/>
      <bottom style="hair">
        <color indexed="24"/>
      </bottom>
      <diagonal/>
    </border>
    <border>
      <left style="thin">
        <color indexed="24"/>
      </left>
      <right/>
      <top style="hair">
        <color indexed="24"/>
      </top>
      <bottom style="hair">
        <color indexed="24"/>
      </bottom>
      <diagonal/>
    </border>
    <border>
      <left style="thin">
        <color indexed="24"/>
      </left>
      <right style="thin">
        <color indexed="24"/>
      </right>
      <top style="hair">
        <color indexed="24"/>
      </top>
      <bottom style="hair">
        <color indexed="24"/>
      </bottom>
      <diagonal/>
    </border>
    <border>
      <left style="thin">
        <color indexed="24"/>
      </left>
      <right/>
      <top style="hair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hair">
        <color indexed="24"/>
      </top>
      <bottom style="thin">
        <color indexed="2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20266"/>
      </bottom>
      <diagonal/>
    </border>
    <border>
      <left/>
      <right style="medium">
        <color indexed="64"/>
      </right>
      <top style="medium">
        <color indexed="64"/>
      </top>
      <bottom style="thin">
        <color rgb="FF020266"/>
      </bottom>
      <diagonal/>
    </border>
    <border>
      <left style="medium">
        <color indexed="64"/>
      </left>
      <right/>
      <top style="thin">
        <color rgb="FF020266"/>
      </top>
      <bottom style="medium">
        <color indexed="64"/>
      </bottom>
      <diagonal/>
    </border>
    <border>
      <left/>
      <right style="medium">
        <color indexed="64"/>
      </right>
      <top style="thin">
        <color rgb="FF020266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hair">
        <color indexed="24"/>
      </bottom>
      <diagonal/>
    </border>
    <border>
      <left style="hair">
        <color indexed="24"/>
      </left>
      <right style="hair">
        <color indexed="24"/>
      </right>
      <top style="hair">
        <color indexed="24"/>
      </top>
      <bottom style="hair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50">
    <xf numFmtId="0" fontId="0" fillId="0" borderId="0"/>
    <xf numFmtId="0" fontId="6" fillId="0" borderId="0"/>
    <xf numFmtId="0" fontId="10" fillId="2" borderId="1" applyNumberFormat="0" applyAlignment="0" applyProtection="0"/>
    <xf numFmtId="0" fontId="5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" fillId="0" borderId="0"/>
    <xf numFmtId="0" fontId="41" fillId="0" borderId="0"/>
    <xf numFmtId="0" fontId="46" fillId="11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1" borderId="0" applyNumberFormat="0" applyBorder="0" applyAlignment="0" applyProtection="0"/>
    <xf numFmtId="0" fontId="46" fillId="14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2" borderId="0" applyNumberFormat="0" applyBorder="0" applyAlignment="0" applyProtection="0"/>
    <xf numFmtId="0" fontId="47" fillId="19" borderId="0" applyNumberFormat="0" applyBorder="0" applyAlignment="0" applyProtection="0"/>
    <xf numFmtId="0" fontId="47" fillId="16" borderId="0" applyNumberFormat="0" applyBorder="0" applyAlignment="0" applyProtection="0"/>
    <xf numFmtId="0" fontId="47" fillId="17" borderId="0" applyNumberFormat="0" applyBorder="0" applyAlignment="0" applyProtection="0"/>
    <xf numFmtId="0" fontId="47" fillId="15" borderId="0" applyNumberFormat="0" applyBorder="0" applyAlignment="0" applyProtection="0"/>
    <xf numFmtId="0" fontId="47" fillId="19" borderId="0" applyNumberFormat="0" applyBorder="0" applyAlignment="0" applyProtection="0"/>
    <xf numFmtId="0" fontId="47" fillId="12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48" fillId="11" borderId="28" applyNumberFormat="0" applyAlignment="0" applyProtection="0"/>
    <xf numFmtId="0" fontId="49" fillId="24" borderId="29" applyNumberFormat="0" applyAlignment="0" applyProtection="0"/>
    <xf numFmtId="173" fontId="12" fillId="0" borderId="0" applyFont="0" applyFill="0" applyBorder="0" applyAlignment="0" applyProtection="0"/>
    <xf numFmtId="0" fontId="50" fillId="0" borderId="30" applyNumberFormat="0" applyFill="0" applyAlignment="0" applyProtection="0"/>
    <xf numFmtId="0" fontId="51" fillId="25" borderId="0" applyNumberFormat="0" applyBorder="0" applyAlignment="0" applyProtection="0"/>
    <xf numFmtId="0" fontId="52" fillId="12" borderId="28" applyNumberFormat="0" applyAlignment="0" applyProtection="0"/>
    <xf numFmtId="0" fontId="53" fillId="0" borderId="31" applyNumberFormat="0" applyFill="0" applyAlignment="0" applyProtection="0"/>
    <xf numFmtId="0" fontId="54" fillId="0" borderId="32" applyNumberFormat="0" applyFill="0" applyAlignment="0" applyProtection="0"/>
    <xf numFmtId="0" fontId="55" fillId="0" borderId="33" applyNumberFormat="0" applyFill="0" applyAlignment="0" applyProtection="0"/>
    <xf numFmtId="0" fontId="55" fillId="0" borderId="0" applyNumberFormat="0" applyFill="0" applyBorder="0" applyAlignment="0" applyProtection="0"/>
    <xf numFmtId="0" fontId="56" fillId="17" borderId="0" applyNumberFormat="0" applyBorder="0" applyAlignment="0" applyProtection="0"/>
    <xf numFmtId="0" fontId="12" fillId="13" borderId="34" applyNumberFormat="0" applyFont="0" applyAlignment="0" applyProtection="0"/>
    <xf numFmtId="0" fontId="57" fillId="26" borderId="0" applyNumberFormat="0" applyBorder="0" applyAlignment="0" applyProtection="0"/>
    <xf numFmtId="0" fontId="58" fillId="0" borderId="0" applyNumberFormat="0" applyFill="0" applyBorder="0" applyAlignment="0" applyProtection="0"/>
    <xf numFmtId="0" fontId="59" fillId="0" borderId="35" applyNumberFormat="0" applyFill="0" applyAlignment="0" applyProtection="0"/>
    <xf numFmtId="0" fontId="60" fillId="11" borderId="36" applyNumberFormat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</cellStyleXfs>
  <cellXfs count="267">
    <xf numFmtId="0" fontId="0" fillId="0" borderId="0" xfId="0"/>
    <xf numFmtId="0" fontId="7" fillId="0" borderId="0" xfId="0" applyFont="1" applyFill="1" applyProtection="1"/>
    <xf numFmtId="0" fontId="5" fillId="0" borderId="0" xfId="3"/>
    <xf numFmtId="0" fontId="5" fillId="0" borderId="0" xfId="3" applyFont="1"/>
    <xf numFmtId="0" fontId="11" fillId="0" borderId="0" xfId="3" applyFont="1"/>
    <xf numFmtId="0" fontId="4" fillId="0" borderId="0" xfId="3" applyFont="1"/>
    <xf numFmtId="0" fontId="7" fillId="3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/>
    </xf>
    <xf numFmtId="164" fontId="8" fillId="3" borderId="0" xfId="0" applyNumberFormat="1" applyFont="1" applyFill="1" applyAlignment="1" applyProtection="1">
      <alignment horizontal="center"/>
    </xf>
    <xf numFmtId="0" fontId="7" fillId="4" borderId="0" xfId="0" applyFont="1" applyFill="1" applyProtection="1"/>
    <xf numFmtId="0" fontId="7" fillId="4" borderId="0" xfId="0" applyFont="1" applyFill="1" applyAlignment="1" applyProtection="1">
      <alignment horizontal="center" vertical="center"/>
    </xf>
    <xf numFmtId="0" fontId="7" fillId="4" borderId="0" xfId="0" applyFont="1" applyFill="1" applyAlignment="1" applyProtection="1">
      <alignment horizont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 wrapText="1"/>
    </xf>
    <xf numFmtId="0" fontId="8" fillId="4" borderId="0" xfId="0" applyFont="1" applyFill="1" applyBorder="1" applyProtection="1"/>
    <xf numFmtId="0" fontId="13" fillId="4" borderId="0" xfId="0" applyFont="1" applyFill="1" applyBorder="1" applyProtection="1"/>
    <xf numFmtId="164" fontId="7" fillId="4" borderId="0" xfId="0" quotePrefix="1" applyNumberFormat="1" applyFont="1" applyFill="1" applyBorder="1" applyAlignment="1" applyProtection="1">
      <alignment horizontal="center" vertical="center"/>
    </xf>
    <xf numFmtId="164" fontId="9" fillId="4" borderId="0" xfId="0" applyNumberFormat="1" applyFont="1" applyFill="1" applyBorder="1" applyAlignment="1" applyProtection="1">
      <alignment horizontal="center" vertical="center" wrapText="1"/>
    </xf>
    <xf numFmtId="164" fontId="9" fillId="4" borderId="0" xfId="0" applyNumberFormat="1" applyFont="1" applyFill="1" applyBorder="1" applyAlignment="1" applyProtection="1">
      <alignment vertical="center" wrapText="1"/>
    </xf>
    <xf numFmtId="0" fontId="5" fillId="0" borderId="0" xfId="3" applyAlignment="1">
      <alignment vertical="center" wrapText="1"/>
    </xf>
    <xf numFmtId="0" fontId="0" fillId="0" borderId="0" xfId="0" applyProtection="1"/>
    <xf numFmtId="0" fontId="7" fillId="0" borderId="2" xfId="0" applyFont="1" applyFill="1" applyBorder="1" applyAlignment="1" applyProtection="1">
      <alignment vertical="center"/>
      <protection locked="0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0" fontId="7" fillId="0" borderId="6" xfId="0" applyFont="1" applyFill="1" applyBorder="1" applyAlignment="1" applyProtection="1">
      <alignment horizontal="center" vertical="center"/>
      <protection locked="0"/>
    </xf>
    <xf numFmtId="0" fontId="3" fillId="0" borderId="0" xfId="3" applyFont="1"/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6" xfId="0" applyFont="1" applyFill="1" applyBorder="1" applyAlignment="1" applyProtection="1">
      <alignment horizontal="left" vertical="center"/>
      <protection locked="0"/>
    </xf>
    <xf numFmtId="0" fontId="2" fillId="0" borderId="0" xfId="3" applyFont="1"/>
    <xf numFmtId="0" fontId="0" fillId="0" borderId="0" xfId="0" applyAlignment="1">
      <alignment horizontal="right"/>
    </xf>
    <xf numFmtId="0" fontId="10" fillId="2" borderId="8" xfId="2" applyBorder="1" applyAlignment="1">
      <alignment horizontal="center" vertical="center" wrapText="1"/>
    </xf>
    <xf numFmtId="0" fontId="10" fillId="2" borderId="9" xfId="2" applyBorder="1" applyAlignment="1">
      <alignment horizontal="right" vertical="center" wrapText="1"/>
    </xf>
    <xf numFmtId="0" fontId="10" fillId="2" borderId="8" xfId="2" applyBorder="1" applyAlignment="1">
      <alignment vertical="center" wrapText="1"/>
    </xf>
    <xf numFmtId="0" fontId="10" fillId="2" borderId="10" xfId="2" applyBorder="1" applyAlignment="1">
      <alignment horizontal="center" vertical="center" wrapText="1"/>
    </xf>
    <xf numFmtId="0" fontId="5" fillId="0" borderId="0" xfId="3" applyAlignment="1">
      <alignment horizontal="right"/>
    </xf>
    <xf numFmtId="0" fontId="12" fillId="0" borderId="0" xfId="5"/>
    <xf numFmtId="0" fontId="1" fillId="0" borderId="0" xfId="6" applyAlignment="1">
      <alignment vertical="center" wrapText="1"/>
    </xf>
    <xf numFmtId="0" fontId="10" fillId="2" borderId="1" xfId="2" applyAlignment="1">
      <alignment vertical="center" wrapText="1"/>
    </xf>
    <xf numFmtId="0" fontId="10" fillId="2" borderId="1" xfId="2" applyAlignment="1">
      <alignment horizontal="center" vertical="center" wrapText="1"/>
    </xf>
    <xf numFmtId="0" fontId="1" fillId="0" borderId="0" xfId="6"/>
    <xf numFmtId="0" fontId="1" fillId="0" borderId="0" xfId="6" applyFont="1"/>
    <xf numFmtId="0" fontId="11" fillId="0" borderId="0" xfId="6" applyFont="1"/>
    <xf numFmtId="0" fontId="21" fillId="4" borderId="0" xfId="4" applyFont="1" applyFill="1" applyAlignment="1" applyProtection="1"/>
    <xf numFmtId="0" fontId="7" fillId="8" borderId="3" xfId="0" applyFont="1" applyFill="1" applyBorder="1" applyAlignment="1" applyProtection="1">
      <alignment horizontal="left" vertical="center"/>
      <protection locked="0"/>
    </xf>
    <xf numFmtId="0" fontId="7" fillId="8" borderId="5" xfId="0" applyFont="1" applyFill="1" applyBorder="1" applyAlignment="1" applyProtection="1">
      <alignment horizontal="left" vertical="center"/>
      <protection locked="0"/>
    </xf>
    <xf numFmtId="0" fontId="7" fillId="8" borderId="7" xfId="0" applyFont="1" applyFill="1" applyBorder="1" applyAlignment="1" applyProtection="1">
      <alignment horizontal="left" vertical="center"/>
      <protection locked="0"/>
    </xf>
    <xf numFmtId="0" fontId="24" fillId="0" borderId="25" xfId="0" applyNumberFormat="1" applyFont="1" applyFill="1" applyBorder="1" applyAlignment="1" applyProtection="1">
      <alignment vertical="center"/>
    </xf>
    <xf numFmtId="0" fontId="0" fillId="0" borderId="0" xfId="0" applyFill="1" applyProtection="1"/>
    <xf numFmtId="0" fontId="8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vertical="center"/>
    </xf>
    <xf numFmtId="0" fontId="0" fillId="0" borderId="0" xfId="0" applyFill="1" applyBorder="1" applyProtection="1"/>
    <xf numFmtId="164" fontId="7" fillId="0" borderId="0" xfId="0" applyNumberFormat="1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/>
    </xf>
    <xf numFmtId="0" fontId="19" fillId="7" borderId="8" xfId="0" applyFont="1" applyFill="1" applyBorder="1" applyAlignment="1" applyProtection="1">
      <alignment horizontal="right" vertical="center"/>
    </xf>
    <xf numFmtId="0" fontId="19" fillId="6" borderId="8" xfId="0" applyFont="1" applyFill="1" applyBorder="1" applyAlignment="1" applyProtection="1">
      <alignment horizontal="right" vertical="center"/>
    </xf>
    <xf numFmtId="0" fontId="8" fillId="0" borderId="0" xfId="0" quotePrefix="1" applyFont="1" applyFill="1" applyBorder="1" applyAlignment="1" applyProtection="1">
      <alignment horizontal="left" vertical="center"/>
    </xf>
    <xf numFmtId="0" fontId="8" fillId="0" borderId="0" xfId="0" quotePrefix="1" applyFont="1" applyFill="1" applyBorder="1" applyAlignment="1" applyProtection="1">
      <alignment vertical="center"/>
    </xf>
    <xf numFmtId="164" fontId="25" fillId="4" borderId="9" xfId="0" applyNumberFormat="1" applyFont="1" applyFill="1" applyBorder="1" applyAlignment="1" applyProtection="1">
      <alignment horizontal="center" vertical="center"/>
    </xf>
    <xf numFmtId="14" fontId="16" fillId="5" borderId="24" xfId="0" applyNumberFormat="1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left" vertical="center"/>
      <protection locked="0"/>
    </xf>
    <xf numFmtId="0" fontId="0" fillId="4" borderId="0" xfId="0" applyFill="1" applyProtection="1"/>
    <xf numFmtId="0" fontId="20" fillId="4" borderId="0" xfId="0" applyFont="1" applyFill="1" applyAlignment="1" applyProtection="1"/>
    <xf numFmtId="0" fontId="23" fillId="4" borderId="0" xfId="0" applyFont="1" applyFill="1" applyAlignment="1" applyProtection="1">
      <alignment horizontal="right" vertical="center"/>
    </xf>
    <xf numFmtId="0" fontId="18" fillId="4" borderId="0" xfId="0" applyFont="1" applyFill="1" applyAlignment="1" applyProtection="1">
      <alignment horizontal="left" vertical="center"/>
    </xf>
    <xf numFmtId="0" fontId="20" fillId="4" borderId="0" xfId="0" applyFont="1" applyFill="1" applyProtection="1"/>
    <xf numFmtId="0" fontId="0" fillId="4" borderId="0" xfId="0" applyFill="1" applyAlignment="1" applyProtection="1">
      <alignment vertical="top"/>
    </xf>
    <xf numFmtId="0" fontId="0" fillId="4" borderId="0" xfId="0" applyFill="1" applyAlignment="1" applyProtection="1">
      <alignment horizontal="center" vertical="top"/>
    </xf>
    <xf numFmtId="0" fontId="0" fillId="0" borderId="0" xfId="0" applyAlignment="1" applyProtection="1">
      <alignment horizontal="left"/>
    </xf>
    <xf numFmtId="166" fontId="0" fillId="0" borderId="7" xfId="0" applyNumberFormat="1" applyBorder="1" applyProtection="1"/>
    <xf numFmtId="166" fontId="0" fillId="0" borderId="26" xfId="0" applyNumberFormat="1" applyBorder="1" applyProtection="1"/>
    <xf numFmtId="166" fontId="0" fillId="0" borderId="5" xfId="0" applyNumberFormat="1" applyBorder="1" applyProtection="1"/>
    <xf numFmtId="0" fontId="0" fillId="0" borderId="0" xfId="0" applyAlignment="1" applyProtection="1">
      <alignment horizontal="center" vertical="center"/>
    </xf>
    <xf numFmtId="0" fontId="12" fillId="4" borderId="0" xfId="0" applyFont="1" applyFill="1" applyAlignment="1" applyProtection="1">
      <alignment vertical="top"/>
    </xf>
    <xf numFmtId="0" fontId="26" fillId="3" borderId="0" xfId="0" applyFont="1" applyFill="1" applyAlignment="1" applyProtection="1">
      <alignment vertical="center"/>
    </xf>
    <xf numFmtId="166" fontId="9" fillId="4" borderId="0" xfId="0" applyNumberFormat="1" applyFont="1" applyFill="1" applyBorder="1" applyAlignment="1" applyProtection="1">
      <alignment horizontal="center" vertical="center" wrapText="1"/>
    </xf>
    <xf numFmtId="168" fontId="7" fillId="8" borderId="26" xfId="0" applyNumberFormat="1" applyFont="1" applyFill="1" applyBorder="1" applyAlignment="1" applyProtection="1">
      <alignment horizontal="center" vertical="center"/>
      <protection locked="0"/>
    </xf>
    <xf numFmtId="168" fontId="7" fillId="8" borderId="5" xfId="0" applyNumberFormat="1" applyFont="1" applyFill="1" applyBorder="1" applyAlignment="1" applyProtection="1">
      <alignment horizontal="center" vertical="center"/>
      <protection locked="0"/>
    </xf>
    <xf numFmtId="168" fontId="7" fillId="8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wrapText="1"/>
    </xf>
    <xf numFmtId="0" fontId="7" fillId="3" borderId="0" xfId="5" applyFont="1" applyFill="1" applyAlignment="1" applyProtection="1">
      <alignment horizontal="center" vertical="center"/>
    </xf>
    <xf numFmtId="0" fontId="8" fillId="3" borderId="0" xfId="5" applyFont="1" applyFill="1" applyAlignment="1" applyProtection="1">
      <alignment horizontal="center"/>
    </xf>
    <xf numFmtId="0" fontId="28" fillId="3" borderId="0" xfId="5" applyNumberFormat="1" applyFont="1" applyFill="1" applyAlignment="1" applyProtection="1">
      <alignment vertical="top" wrapText="1"/>
    </xf>
    <xf numFmtId="164" fontId="8" fillId="3" borderId="0" xfId="5" applyNumberFormat="1" applyFont="1" applyFill="1" applyAlignment="1" applyProtection="1">
      <alignment horizontal="center"/>
    </xf>
    <xf numFmtId="0" fontId="12" fillId="0" borderId="0" xfId="5" applyProtection="1"/>
    <xf numFmtId="166" fontId="12" fillId="0" borderId="0" xfId="5" applyNumberFormat="1" applyFont="1" applyProtection="1"/>
    <xf numFmtId="0" fontId="19" fillId="6" borderId="8" xfId="5" applyFont="1" applyFill="1" applyBorder="1" applyAlignment="1" applyProtection="1">
      <alignment horizontal="left" vertical="center"/>
    </xf>
    <xf numFmtId="0" fontId="19" fillId="7" borderId="15" xfId="5" applyFont="1" applyFill="1" applyBorder="1" applyAlignment="1" applyProtection="1">
      <alignment horizontal="center" vertical="center"/>
    </xf>
    <xf numFmtId="0" fontId="19" fillId="6" borderId="11" xfId="5" applyFont="1" applyFill="1" applyBorder="1" applyAlignment="1" applyProtection="1">
      <alignment horizontal="center" vertical="center"/>
    </xf>
    <xf numFmtId="3" fontId="29" fillId="3" borderId="0" xfId="5" applyNumberFormat="1" applyFont="1" applyFill="1" applyAlignment="1" applyProtection="1">
      <alignment horizontal="center"/>
    </xf>
    <xf numFmtId="0" fontId="30" fillId="3" borderId="0" xfId="0" applyFont="1" applyFill="1" applyAlignment="1" applyProtection="1">
      <alignment vertical="center"/>
    </xf>
    <xf numFmtId="0" fontId="30" fillId="3" borderId="0" xfId="5" applyNumberFormat="1" applyFont="1" applyFill="1" applyAlignment="1" applyProtection="1">
      <alignment vertical="center"/>
    </xf>
    <xf numFmtId="167" fontId="7" fillId="0" borderId="3" xfId="0" applyNumberFormat="1" applyFont="1" applyFill="1" applyBorder="1" applyAlignment="1" applyProtection="1">
      <alignment horizontal="center" vertical="center"/>
      <protection locked="0"/>
    </xf>
    <xf numFmtId="169" fontId="18" fillId="4" borderId="0" xfId="0" applyNumberFormat="1" applyFont="1" applyFill="1" applyAlignment="1" applyProtection="1">
      <alignment horizontal="left" vertical="center"/>
    </xf>
    <xf numFmtId="164" fontId="29" fillId="3" borderId="0" xfId="0" applyNumberFormat="1" applyFont="1" applyFill="1" applyAlignment="1" applyProtection="1">
      <alignment horizontal="center"/>
    </xf>
    <xf numFmtId="170" fontId="29" fillId="3" borderId="0" xfId="0" applyNumberFormat="1" applyFont="1" applyFill="1" applyAlignment="1" applyProtection="1">
      <alignment horizontal="center"/>
    </xf>
    <xf numFmtId="0" fontId="12" fillId="0" borderId="0" xfId="0" applyFont="1" applyProtection="1"/>
    <xf numFmtId="0" fontId="31" fillId="7" borderId="8" xfId="0" applyFont="1" applyFill="1" applyBorder="1" applyAlignment="1" applyProtection="1">
      <alignment horizontal="left" vertical="center"/>
    </xf>
    <xf numFmtId="0" fontId="31" fillId="6" borderId="8" xfId="0" applyFont="1" applyFill="1" applyBorder="1" applyAlignment="1" applyProtection="1">
      <alignment horizontal="left" vertical="center"/>
    </xf>
    <xf numFmtId="0" fontId="32" fillId="9" borderId="8" xfId="0" applyFont="1" applyFill="1" applyBorder="1" applyAlignment="1" applyProtection="1">
      <alignment horizontal="center" vertical="center"/>
    </xf>
    <xf numFmtId="0" fontId="33" fillId="0" borderId="0" xfId="0" quotePrefix="1" applyFont="1" applyProtection="1"/>
    <xf numFmtId="0" fontId="33" fillId="0" borderId="0" xfId="0" quotePrefix="1" applyFont="1" applyFill="1" applyBorder="1" applyProtection="1"/>
    <xf numFmtId="167" fontId="7" fillId="0" borderId="7" xfId="0" applyNumberFormat="1" applyFont="1" applyFill="1" applyBorder="1" applyAlignment="1" applyProtection="1">
      <alignment horizontal="center" vertical="center"/>
      <protection locked="0"/>
    </xf>
    <xf numFmtId="166" fontId="8" fillId="0" borderId="0" xfId="0" applyNumberFormat="1" applyFont="1" applyFill="1" applyBorder="1" applyAlignment="1" applyProtection="1"/>
    <xf numFmtId="0" fontId="11" fillId="0" borderId="0" xfId="3" quotePrefix="1" applyFont="1"/>
    <xf numFmtId="14" fontId="34" fillId="9" borderId="8" xfId="0" applyNumberFormat="1" applyFont="1" applyFill="1" applyBorder="1" applyProtection="1"/>
    <xf numFmtId="0" fontId="35" fillId="6" borderId="15" xfId="0" applyFont="1" applyFill="1" applyBorder="1" applyAlignment="1" applyProtection="1">
      <alignment wrapText="1"/>
    </xf>
    <xf numFmtId="171" fontId="35" fillId="6" borderId="16" xfId="0" applyNumberFormat="1" applyFont="1" applyFill="1" applyBorder="1" applyAlignment="1" applyProtection="1">
      <alignment horizontal="center"/>
    </xf>
    <xf numFmtId="0" fontId="35" fillId="6" borderId="15" xfId="0" applyFont="1" applyFill="1" applyBorder="1" applyAlignment="1" applyProtection="1"/>
    <xf numFmtId="0" fontId="35" fillId="6" borderId="15" xfId="0" applyFont="1" applyFill="1" applyBorder="1" applyAlignment="1" applyProtection="1">
      <alignment horizontal="center" wrapText="1"/>
    </xf>
    <xf numFmtId="0" fontId="35" fillId="6" borderId="15" xfId="0" applyFont="1" applyFill="1" applyBorder="1" applyAlignment="1" applyProtection="1">
      <alignment horizontal="center"/>
    </xf>
    <xf numFmtId="14" fontId="24" fillId="0" borderId="24" xfId="0" quotePrefix="1" applyNumberFormat="1" applyFont="1" applyFill="1" applyBorder="1" applyAlignment="1" applyProtection="1">
      <alignment horizontal="left" vertical="center"/>
    </xf>
    <xf numFmtId="0" fontId="19" fillId="6" borderId="15" xfId="0" applyFont="1" applyFill="1" applyBorder="1" applyAlignment="1" applyProtection="1">
      <alignment horizontal="left" vertical="center"/>
    </xf>
    <xf numFmtId="0" fontId="16" fillId="0" borderId="8" xfId="0" applyNumberFormat="1" applyFont="1" applyFill="1" applyBorder="1" applyAlignment="1" applyProtection="1">
      <alignment horizontal="left" vertical="center"/>
    </xf>
    <xf numFmtId="0" fontId="19" fillId="6" borderId="11" xfId="0" applyFont="1" applyFill="1" applyBorder="1" applyAlignment="1" applyProtection="1">
      <alignment horizontal="right" vertical="center"/>
    </xf>
    <xf numFmtId="0" fontId="26" fillId="3" borderId="0" xfId="0" applyFont="1" applyFill="1" applyAlignment="1" applyProtection="1">
      <alignment horizontal="left" vertical="center"/>
    </xf>
    <xf numFmtId="0" fontId="7" fillId="4" borderId="0" xfId="0" applyFont="1" applyFill="1" applyAlignment="1" applyProtection="1">
      <alignment horizontal="left" vertical="center"/>
    </xf>
    <xf numFmtId="0" fontId="7" fillId="4" borderId="0" xfId="0" applyFont="1" applyFill="1" applyAlignment="1" applyProtection="1">
      <alignment horizontal="left"/>
    </xf>
    <xf numFmtId="0" fontId="8" fillId="4" borderId="0" xfId="0" applyFont="1" applyFill="1" applyBorder="1" applyAlignment="1" applyProtection="1">
      <alignment horizontal="left"/>
    </xf>
    <xf numFmtId="164" fontId="9" fillId="4" borderId="0" xfId="0" applyNumberFormat="1" applyFont="1" applyFill="1" applyBorder="1" applyAlignment="1" applyProtection="1">
      <alignment horizontal="left" vertical="center" wrapText="1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7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/>
    </xf>
    <xf numFmtId="0" fontId="13" fillId="4" borderId="0" xfId="0" applyFont="1" applyFill="1" applyBorder="1" applyAlignment="1" applyProtection="1">
      <alignment horizontal="left"/>
    </xf>
    <xf numFmtId="0" fontId="7" fillId="0" borderId="3" xfId="0" applyNumberFormat="1" applyFont="1" applyFill="1" applyBorder="1" applyAlignment="1" applyProtection="1">
      <alignment horizontal="left"/>
      <protection locked="0"/>
    </xf>
    <xf numFmtId="0" fontId="7" fillId="0" borderId="5" xfId="0" applyNumberFormat="1" applyFont="1" applyFill="1" applyBorder="1" applyAlignment="1" applyProtection="1">
      <alignment horizontal="left"/>
      <protection locked="0"/>
    </xf>
    <xf numFmtId="0" fontId="7" fillId="0" borderId="7" xfId="0" applyNumberFormat="1" applyFont="1" applyFill="1" applyBorder="1" applyAlignment="1" applyProtection="1">
      <alignment horizontal="left"/>
      <protection locked="0"/>
    </xf>
    <xf numFmtId="0" fontId="7" fillId="8" borderId="2" xfId="0" applyFont="1" applyFill="1" applyBorder="1" applyAlignment="1" applyProtection="1">
      <alignment horizontal="left" vertical="center"/>
      <protection locked="0"/>
    </xf>
    <xf numFmtId="0" fontId="7" fillId="8" borderId="2" xfId="0" applyNumberFormat="1" applyFont="1" applyFill="1" applyBorder="1" applyAlignment="1" applyProtection="1">
      <alignment horizontal="left" vertical="center"/>
      <protection locked="0"/>
    </xf>
    <xf numFmtId="0" fontId="7" fillId="8" borderId="4" xfId="0" applyFont="1" applyFill="1" applyBorder="1" applyAlignment="1" applyProtection="1">
      <alignment horizontal="left" vertical="center"/>
      <protection locked="0"/>
    </xf>
    <xf numFmtId="0" fontId="7" fillId="8" borderId="4" xfId="0" applyNumberFormat="1" applyFont="1" applyFill="1" applyBorder="1" applyAlignment="1" applyProtection="1">
      <alignment horizontal="left" vertical="center"/>
      <protection locked="0"/>
    </xf>
    <xf numFmtId="0" fontId="7" fillId="8" borderId="6" xfId="0" applyFont="1" applyFill="1" applyBorder="1" applyAlignment="1" applyProtection="1">
      <alignment horizontal="left" vertical="center"/>
      <protection locked="0"/>
    </xf>
    <xf numFmtId="0" fontId="7" fillId="8" borderId="6" xfId="0" applyNumberFormat="1" applyFont="1" applyFill="1" applyBorder="1" applyAlignment="1" applyProtection="1">
      <alignment horizontal="left" vertical="center"/>
      <protection locked="0"/>
    </xf>
    <xf numFmtId="166" fontId="0" fillId="0" borderId="0" xfId="0" applyNumberFormat="1" applyProtection="1"/>
    <xf numFmtId="0" fontId="37" fillId="0" borderId="0" xfId="0" applyFont="1"/>
    <xf numFmtId="2" fontId="37" fillId="0" borderId="0" xfId="0" applyNumberFormat="1" applyFont="1"/>
    <xf numFmtId="0" fontId="37" fillId="0" borderId="0" xfId="0" applyFont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Fill="1"/>
    <xf numFmtId="0" fontId="39" fillId="0" borderId="0" xfId="0" applyFont="1" applyFill="1" applyAlignment="1">
      <alignment horizontal="center"/>
    </xf>
    <xf numFmtId="0" fontId="37" fillId="0" borderId="0" xfId="0" applyFont="1" applyBorder="1" applyAlignment="1">
      <alignment horizontal="center"/>
    </xf>
    <xf numFmtId="2" fontId="39" fillId="0" borderId="0" xfId="0" applyNumberFormat="1" applyFont="1" applyFill="1" applyAlignment="1">
      <alignment horizontal="center"/>
    </xf>
    <xf numFmtId="0" fontId="37" fillId="0" borderId="0" xfId="0" applyFont="1" applyFill="1" applyAlignment="1">
      <alignment horizontal="center"/>
    </xf>
    <xf numFmtId="0" fontId="40" fillId="0" borderId="0" xfId="0" applyNumberFormat="1" applyFont="1" applyFill="1" applyAlignment="1">
      <alignment horizontal="center"/>
    </xf>
    <xf numFmtId="2" fontId="37" fillId="0" borderId="0" xfId="0" applyNumberFormat="1" applyFont="1" applyFill="1" applyAlignment="1">
      <alignment horizontal="center"/>
    </xf>
    <xf numFmtId="172" fontId="37" fillId="0" borderId="0" xfId="0" applyNumberFormat="1" applyFont="1" applyFill="1" applyAlignment="1">
      <alignment horizontal="center"/>
    </xf>
    <xf numFmtId="1" fontId="37" fillId="0" borderId="0" xfId="0" applyNumberFormat="1" applyFont="1" applyFill="1" applyBorder="1" applyAlignment="1">
      <alignment horizontal="center"/>
    </xf>
    <xf numFmtId="9" fontId="37" fillId="0" borderId="0" xfId="0" applyNumberFormat="1" applyFont="1" applyFill="1" applyAlignment="1">
      <alignment horizontal="center"/>
    </xf>
    <xf numFmtId="0" fontId="38" fillId="0" borderId="0" xfId="0" applyNumberFormat="1" applyFont="1" applyFill="1" applyAlignment="1">
      <alignment horizontal="center"/>
    </xf>
    <xf numFmtId="2" fontId="37" fillId="0" borderId="0" xfId="0" applyNumberFormat="1" applyFont="1" applyFill="1" applyAlignment="1">
      <alignment horizontal="right"/>
    </xf>
    <xf numFmtId="0" fontId="37" fillId="0" borderId="0" xfId="0" applyFont="1" applyFill="1" applyAlignment="1">
      <alignment horizontal="left"/>
    </xf>
    <xf numFmtId="0" fontId="37" fillId="0" borderId="0" xfId="0" applyFont="1" applyFill="1" applyBorder="1" applyAlignment="1">
      <alignment horizontal="center"/>
    </xf>
    <xf numFmtId="2" fontId="37" fillId="0" borderId="0" xfId="0" applyNumberFormat="1" applyFont="1" applyFill="1" applyAlignment="1"/>
    <xf numFmtId="0" fontId="38" fillId="0" borderId="0" xfId="0" applyFont="1" applyFill="1" applyAlignment="1">
      <alignment horizontal="center"/>
    </xf>
    <xf numFmtId="0" fontId="37" fillId="0" borderId="0" xfId="0" applyFont="1" applyFill="1" applyBorder="1"/>
    <xf numFmtId="172" fontId="37" fillId="0" borderId="0" xfId="0" applyNumberFormat="1" applyFont="1" applyFill="1" applyAlignment="1">
      <alignment horizontal="left"/>
    </xf>
    <xf numFmtId="2" fontId="37" fillId="0" borderId="0" xfId="0" applyNumberFormat="1" applyFont="1" applyFill="1"/>
    <xf numFmtId="2" fontId="7" fillId="0" borderId="2" xfId="0" applyNumberFormat="1" applyFont="1" applyFill="1" applyBorder="1" applyAlignment="1" applyProtection="1">
      <alignment horizontal="left" vertical="center"/>
      <protection locked="0"/>
    </xf>
    <xf numFmtId="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7" fillId="0" borderId="27" xfId="0" applyNumberFormat="1" applyFont="1" applyFill="1" applyBorder="1" applyAlignment="1" applyProtection="1">
      <alignment horizontal="left" vertical="center"/>
      <protection locked="0"/>
    </xf>
    <xf numFmtId="0" fontId="43" fillId="0" borderId="0" xfId="0" applyFont="1" applyAlignment="1">
      <alignment horizontal="left"/>
    </xf>
    <xf numFmtId="49" fontId="43" fillId="0" borderId="0" xfId="0" applyNumberFormat="1" applyFont="1" applyFill="1" applyAlignment="1">
      <alignment horizontal="left"/>
    </xf>
    <xf numFmtId="0" fontId="43" fillId="0" borderId="0" xfId="0" applyFont="1" applyFill="1" applyAlignment="1">
      <alignment horizontal="left"/>
    </xf>
    <xf numFmtId="0" fontId="43" fillId="0" borderId="0" xfId="0" applyFont="1"/>
    <xf numFmtId="0" fontId="44" fillId="0" borderId="0" xfId="0" applyFont="1"/>
    <xf numFmtId="1" fontId="37" fillId="0" borderId="0" xfId="0" applyNumberFormat="1" applyFont="1" applyFill="1" applyAlignment="1">
      <alignment horizontal="center"/>
    </xf>
    <xf numFmtId="0" fontId="39" fillId="0" borderId="0" xfId="0" applyFont="1" applyFill="1"/>
    <xf numFmtId="0" fontId="0" fillId="0" borderId="0" xfId="0" applyFill="1"/>
    <xf numFmtId="0" fontId="42" fillId="0" borderId="0" xfId="0" applyFont="1" applyFill="1" applyBorder="1" applyAlignment="1">
      <alignment horizontal="center"/>
    </xf>
    <xf numFmtId="0" fontId="12" fillId="0" borderId="0" xfId="0" applyFont="1"/>
    <xf numFmtId="2" fontId="45" fillId="0" borderId="0" xfId="0" applyNumberFormat="1" applyFont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2" fontId="38" fillId="0" borderId="0" xfId="0" applyNumberFormat="1" applyFont="1" applyFill="1" applyAlignment="1"/>
    <xf numFmtId="0" fontId="37" fillId="0" borderId="0" xfId="5" applyFont="1" applyFill="1" applyBorder="1" applyAlignment="1">
      <alignment horizontal="center"/>
    </xf>
    <xf numFmtId="0" fontId="37" fillId="0" borderId="0" xfId="5" applyFont="1" applyFill="1" applyAlignment="1">
      <alignment horizontal="center"/>
    </xf>
    <xf numFmtId="2" fontId="45" fillId="0" borderId="0" xfId="0" applyNumberFormat="1" applyFont="1" applyFill="1" applyAlignment="1">
      <alignment horizontal="center"/>
    </xf>
    <xf numFmtId="0" fontId="37" fillId="0" borderId="0" xfId="0" applyFont="1" applyFill="1" applyBorder="1" applyAlignment="1">
      <alignment horizontal="left"/>
    </xf>
    <xf numFmtId="1" fontId="37" fillId="0" borderId="0" xfId="0" applyNumberFormat="1" applyFont="1" applyFill="1" applyBorder="1" applyAlignment="1"/>
    <xf numFmtId="2" fontId="37" fillId="0" borderId="0" xfId="0" applyNumberFormat="1" applyFont="1" applyFill="1" applyBorder="1" applyAlignment="1" applyProtection="1">
      <alignment horizontal="center"/>
      <protection locked="0"/>
    </xf>
    <xf numFmtId="0" fontId="37" fillId="0" borderId="0" xfId="7" applyFont="1" applyFill="1" applyAlignment="1">
      <alignment horizontal="center"/>
    </xf>
    <xf numFmtId="0" fontId="64" fillId="0" borderId="0" xfId="0" applyFont="1" applyFill="1" applyAlignment="1"/>
    <xf numFmtId="0" fontId="37" fillId="0" borderId="0" xfId="0" applyFont="1" applyFill="1" applyAlignment="1"/>
    <xf numFmtId="0" fontId="38" fillId="0" borderId="0" xfId="0" applyFont="1" applyFill="1"/>
    <xf numFmtId="172" fontId="64" fillId="0" borderId="0" xfId="0" applyNumberFormat="1" applyFont="1" applyFill="1" applyAlignment="1"/>
    <xf numFmtId="2" fontId="39" fillId="0" borderId="0" xfId="0" applyNumberFormat="1" applyFont="1" applyFill="1" applyAlignment="1"/>
    <xf numFmtId="0" fontId="37" fillId="0" borderId="0" xfId="0" applyFont="1" applyFill="1" applyBorder="1" applyAlignment="1"/>
    <xf numFmtId="0" fontId="45" fillId="0" borderId="0" xfId="0" applyFont="1"/>
    <xf numFmtId="0" fontId="65" fillId="0" borderId="0" xfId="0" applyFont="1" applyFill="1"/>
    <xf numFmtId="0" fontId="45" fillId="0" borderId="0" xfId="0" applyFont="1" applyFill="1"/>
    <xf numFmtId="0" fontId="43" fillId="0" borderId="0" xfId="0" applyFont="1" applyFill="1" applyBorder="1" applyAlignment="1">
      <alignment horizontal="left"/>
    </xf>
    <xf numFmtId="0" fontId="37" fillId="10" borderId="0" xfId="0" applyFont="1" applyFill="1" applyBorder="1" applyAlignment="1">
      <alignment horizontal="left"/>
    </xf>
    <xf numFmtId="165" fontId="16" fillId="5" borderId="25" xfId="5" applyNumberFormat="1" applyFont="1" applyFill="1" applyBorder="1" applyAlignment="1" applyProtection="1">
      <alignment horizontal="left" vertical="center"/>
    </xf>
    <xf numFmtId="165" fontId="16" fillId="5" borderId="10" xfId="5" applyNumberFormat="1" applyFont="1" applyFill="1" applyBorder="1" applyAlignment="1" applyProtection="1">
      <alignment horizontal="left" vertical="center"/>
    </xf>
    <xf numFmtId="165" fontId="16" fillId="5" borderId="9" xfId="5" applyNumberFormat="1" applyFont="1" applyFill="1" applyBorder="1" applyAlignment="1" applyProtection="1">
      <alignment horizontal="left" vertical="center"/>
    </xf>
    <xf numFmtId="165" fontId="16" fillId="5" borderId="15" xfId="5" applyNumberFormat="1" applyFont="1" applyFill="1" applyBorder="1" applyAlignment="1" applyProtection="1">
      <alignment horizontal="left" vertical="center"/>
    </xf>
    <xf numFmtId="165" fontId="16" fillId="5" borderId="16" xfId="5" applyNumberFormat="1" applyFont="1" applyFill="1" applyBorder="1" applyAlignment="1" applyProtection="1">
      <alignment horizontal="left" vertical="center"/>
    </xf>
    <xf numFmtId="165" fontId="16" fillId="5" borderId="17" xfId="5" applyNumberFormat="1" applyFont="1" applyFill="1" applyBorder="1" applyAlignment="1" applyProtection="1">
      <alignment horizontal="left" vertical="center"/>
    </xf>
    <xf numFmtId="165" fontId="16" fillId="5" borderId="18" xfId="5" applyNumberFormat="1" applyFont="1" applyFill="1" applyBorder="1" applyAlignment="1" applyProtection="1">
      <alignment horizontal="left" vertical="center"/>
    </xf>
    <xf numFmtId="165" fontId="16" fillId="5" borderId="19" xfId="5" applyNumberFormat="1" applyFont="1" applyFill="1" applyBorder="1" applyAlignment="1" applyProtection="1">
      <alignment horizontal="left" vertical="center"/>
    </xf>
    <xf numFmtId="165" fontId="16" fillId="5" borderId="20" xfId="5" applyNumberFormat="1" applyFont="1" applyFill="1" applyBorder="1" applyAlignment="1" applyProtection="1">
      <alignment horizontal="left" vertical="center"/>
    </xf>
    <xf numFmtId="0" fontId="19" fillId="6" borderId="25" xfId="5" applyFont="1" applyFill="1" applyBorder="1" applyAlignment="1" applyProtection="1">
      <alignment horizontal="left" vertical="center"/>
    </xf>
    <xf numFmtId="0" fontId="19" fillId="6" borderId="10" xfId="5" applyFont="1" applyFill="1" applyBorder="1" applyAlignment="1" applyProtection="1">
      <alignment horizontal="left" vertical="center"/>
    </xf>
    <xf numFmtId="0" fontId="19" fillId="6" borderId="9" xfId="5" applyFont="1" applyFill="1" applyBorder="1" applyAlignment="1" applyProtection="1">
      <alignment horizontal="left" vertical="center"/>
    </xf>
    <xf numFmtId="165" fontId="16" fillId="9" borderId="25" xfId="0" applyNumberFormat="1" applyFont="1" applyFill="1" applyBorder="1" applyAlignment="1" applyProtection="1">
      <alignment horizontal="left" vertical="center"/>
      <protection locked="0"/>
    </xf>
    <xf numFmtId="165" fontId="16" fillId="9" borderId="10" xfId="0" applyNumberFormat="1" applyFont="1" applyFill="1" applyBorder="1" applyAlignment="1" applyProtection="1">
      <alignment horizontal="left" vertical="center"/>
      <protection locked="0"/>
    </xf>
    <xf numFmtId="165" fontId="16" fillId="9" borderId="9" xfId="0" applyNumberFormat="1" applyFont="1" applyFill="1" applyBorder="1" applyAlignment="1" applyProtection="1">
      <alignment horizontal="left" vertical="center"/>
      <protection locked="0"/>
    </xf>
    <xf numFmtId="0" fontId="31" fillId="6" borderId="25" xfId="0" applyFont="1" applyFill="1" applyBorder="1" applyAlignment="1" applyProtection="1">
      <alignment horizontal="center" vertical="center"/>
    </xf>
    <xf numFmtId="0" fontId="31" fillId="6" borderId="9" xfId="0" applyFont="1" applyFill="1" applyBorder="1" applyAlignment="1" applyProtection="1">
      <alignment horizontal="center" vertical="center"/>
    </xf>
    <xf numFmtId="0" fontId="31" fillId="7" borderId="25" xfId="0" applyFont="1" applyFill="1" applyBorder="1" applyAlignment="1" applyProtection="1">
      <alignment horizontal="center" vertical="center"/>
    </xf>
    <xf numFmtId="0" fontId="31" fillId="7" borderId="9" xfId="0" applyFont="1" applyFill="1" applyBorder="1" applyAlignment="1" applyProtection="1">
      <alignment horizontal="center" vertical="center"/>
    </xf>
    <xf numFmtId="0" fontId="19" fillId="6" borderId="25" xfId="0" applyFont="1" applyFill="1" applyBorder="1" applyAlignment="1" applyProtection="1">
      <alignment horizontal="center" vertical="center" wrapText="1"/>
    </xf>
    <xf numFmtId="0" fontId="19" fillId="6" borderId="10" xfId="0" applyFont="1" applyFill="1" applyBorder="1" applyAlignment="1" applyProtection="1">
      <alignment horizontal="center" vertical="center" wrapText="1"/>
    </xf>
    <xf numFmtId="0" fontId="19" fillId="6" borderId="9" xfId="0" applyFont="1" applyFill="1" applyBorder="1" applyAlignment="1" applyProtection="1">
      <alignment horizontal="center" vertical="center" wrapText="1"/>
    </xf>
    <xf numFmtId="167" fontId="24" fillId="5" borderId="25" xfId="0" applyNumberFormat="1" applyFont="1" applyFill="1" applyBorder="1" applyAlignment="1" applyProtection="1">
      <alignment horizontal="left" vertical="center"/>
      <protection locked="0"/>
    </xf>
    <xf numFmtId="167" fontId="24" fillId="5" borderId="9" xfId="0" applyNumberFormat="1" applyFont="1" applyFill="1" applyBorder="1" applyAlignment="1" applyProtection="1">
      <alignment horizontal="left" vertical="center"/>
      <protection locked="0"/>
    </xf>
    <xf numFmtId="167" fontId="24" fillId="5" borderId="25" xfId="0" applyNumberFormat="1" applyFont="1" applyFill="1" applyBorder="1" applyAlignment="1" applyProtection="1">
      <alignment horizontal="center" vertical="center"/>
      <protection locked="0"/>
    </xf>
    <xf numFmtId="167" fontId="24" fillId="5" borderId="9" xfId="0" applyNumberFormat="1" applyFont="1" applyFill="1" applyBorder="1" applyAlignment="1" applyProtection="1">
      <alignment horizontal="center" vertical="center"/>
      <protection locked="0"/>
    </xf>
    <xf numFmtId="0" fontId="27" fillId="0" borderId="16" xfId="0" applyFont="1" applyFill="1" applyBorder="1" applyAlignment="1" applyProtection="1">
      <alignment horizontal="center" vertical="center" wrapText="1"/>
    </xf>
    <xf numFmtId="0" fontId="27" fillId="0" borderId="0" xfId="0" applyFont="1" applyFill="1" applyBorder="1" applyAlignment="1" applyProtection="1">
      <alignment horizontal="center" vertical="center" wrapText="1"/>
    </xf>
    <xf numFmtId="0" fontId="16" fillId="5" borderId="25" xfId="0" applyFont="1" applyFill="1" applyBorder="1" applyAlignment="1" applyProtection="1">
      <alignment horizontal="left" vertical="center"/>
      <protection locked="0"/>
    </xf>
    <xf numFmtId="0" fontId="16" fillId="5" borderId="10" xfId="0" applyFont="1" applyFill="1" applyBorder="1" applyAlignment="1" applyProtection="1">
      <alignment horizontal="left" vertical="center"/>
      <protection locked="0"/>
    </xf>
    <xf numFmtId="0" fontId="16" fillId="5" borderId="9" xfId="0" applyFont="1" applyFill="1" applyBorder="1" applyAlignment="1" applyProtection="1">
      <alignment horizontal="left" vertical="center"/>
      <protection locked="0"/>
    </xf>
    <xf numFmtId="0" fontId="19" fillId="6" borderId="25" xfId="0" applyFont="1" applyFill="1" applyBorder="1" applyAlignment="1" applyProtection="1">
      <alignment horizontal="left" vertical="center" wrapText="1"/>
    </xf>
    <xf numFmtId="0" fontId="19" fillId="6" borderId="10" xfId="0" applyFont="1" applyFill="1" applyBorder="1" applyAlignment="1" applyProtection="1">
      <alignment horizontal="left" vertical="center" wrapText="1"/>
    </xf>
    <xf numFmtId="0" fontId="19" fillId="6" borderId="9" xfId="0" applyFont="1" applyFill="1" applyBorder="1" applyAlignment="1" applyProtection="1">
      <alignment horizontal="left" vertical="center" wrapText="1"/>
    </xf>
    <xf numFmtId="0" fontId="24" fillId="0" borderId="25" xfId="0" applyNumberFormat="1" applyFont="1" applyFill="1" applyBorder="1" applyAlignment="1" applyProtection="1">
      <alignment horizontal="left" vertical="center"/>
    </xf>
    <xf numFmtId="0" fontId="24" fillId="0" borderId="9" xfId="0" applyNumberFormat="1" applyFont="1" applyFill="1" applyBorder="1" applyAlignment="1" applyProtection="1">
      <alignment horizontal="left" vertical="center"/>
    </xf>
    <xf numFmtId="0" fontId="16" fillId="5" borderId="25" xfId="0" applyNumberFormat="1" applyFont="1" applyFill="1" applyBorder="1" applyAlignment="1" applyProtection="1">
      <alignment horizontal="left" vertical="center"/>
      <protection locked="0"/>
    </xf>
    <xf numFmtId="0" fontId="16" fillId="5" borderId="9" xfId="0" applyNumberFormat="1" applyFont="1" applyFill="1" applyBorder="1" applyAlignment="1" applyProtection="1">
      <alignment horizontal="left" vertical="center"/>
      <protection locked="0"/>
    </xf>
    <xf numFmtId="0" fontId="19" fillId="6" borderId="15" xfId="0" applyFont="1" applyFill="1" applyBorder="1" applyAlignment="1" applyProtection="1">
      <alignment horizontal="left" vertical="center" wrapText="1"/>
    </xf>
    <xf numFmtId="0" fontId="19" fillId="6" borderId="16" xfId="0" applyFont="1" applyFill="1" applyBorder="1" applyAlignment="1" applyProtection="1">
      <alignment horizontal="left" vertical="center" wrapText="1"/>
    </xf>
    <xf numFmtId="0" fontId="19" fillId="6" borderId="17" xfId="0" applyFont="1" applyFill="1" applyBorder="1" applyAlignment="1" applyProtection="1">
      <alignment horizontal="left" vertical="center" wrapText="1"/>
    </xf>
    <xf numFmtId="0" fontId="19" fillId="6" borderId="15" xfId="0" applyFont="1" applyFill="1" applyBorder="1" applyAlignment="1" applyProtection="1">
      <alignment horizontal="center" vertical="center"/>
    </xf>
    <xf numFmtId="0" fontId="19" fillId="6" borderId="16" xfId="0" applyFont="1" applyFill="1" applyBorder="1" applyAlignment="1" applyProtection="1">
      <alignment horizontal="center" vertical="center"/>
    </xf>
    <xf numFmtId="0" fontId="19" fillId="6" borderId="17" xfId="0" applyFont="1" applyFill="1" applyBorder="1" applyAlignment="1" applyProtection="1">
      <alignment horizontal="center" vertical="center"/>
    </xf>
    <xf numFmtId="0" fontId="19" fillId="6" borderId="18" xfId="0" applyFont="1" applyFill="1" applyBorder="1" applyAlignment="1" applyProtection="1">
      <alignment horizontal="center" vertical="center"/>
    </xf>
    <xf numFmtId="0" fontId="19" fillId="6" borderId="19" xfId="0" applyFont="1" applyFill="1" applyBorder="1" applyAlignment="1" applyProtection="1">
      <alignment horizontal="center" vertical="center"/>
    </xf>
    <xf numFmtId="0" fontId="19" fillId="6" borderId="20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left"/>
    </xf>
    <xf numFmtId="0" fontId="0" fillId="4" borderId="0" xfId="0" applyFill="1" applyBorder="1" applyAlignment="1" applyProtection="1">
      <alignment horizontal="center"/>
    </xf>
    <xf numFmtId="0" fontId="17" fillId="4" borderId="0" xfId="4" applyFill="1" applyBorder="1" applyAlignment="1" applyProtection="1">
      <alignment horizontal="left" vertical="center"/>
      <protection locked="0"/>
    </xf>
    <xf numFmtId="0" fontId="19" fillId="7" borderId="11" xfId="0" applyFont="1" applyFill="1" applyBorder="1" applyAlignment="1" applyProtection="1">
      <alignment horizontal="right" vertical="center"/>
    </xf>
    <xf numFmtId="0" fontId="18" fillId="7" borderId="12" xfId="0" applyFont="1" applyFill="1" applyBorder="1" applyAlignment="1" applyProtection="1">
      <alignment horizontal="right" vertical="center"/>
    </xf>
    <xf numFmtId="0" fontId="18" fillId="7" borderId="13" xfId="0" applyFont="1" applyFill="1" applyBorder="1" applyAlignment="1" applyProtection="1">
      <alignment horizontal="right" vertical="center"/>
    </xf>
    <xf numFmtId="0" fontId="18" fillId="7" borderId="14" xfId="0" applyFont="1" applyFill="1" applyBorder="1" applyAlignment="1" applyProtection="1">
      <alignment horizontal="right" vertical="center"/>
    </xf>
    <xf numFmtId="165" fontId="20" fillId="5" borderId="21" xfId="0" applyNumberFormat="1" applyFont="1" applyFill="1" applyBorder="1" applyAlignment="1" applyProtection="1">
      <alignment horizontal="left" vertical="center"/>
      <protection locked="0"/>
    </xf>
    <xf numFmtId="165" fontId="20" fillId="5" borderId="22" xfId="0" applyNumberFormat="1" applyFont="1" applyFill="1" applyBorder="1" applyAlignment="1" applyProtection="1">
      <alignment horizontal="left" vertical="center"/>
      <protection locked="0"/>
    </xf>
    <xf numFmtId="165" fontId="20" fillId="5" borderId="18" xfId="0" applyNumberFormat="1" applyFont="1" applyFill="1" applyBorder="1" applyAlignment="1" applyProtection="1">
      <alignment horizontal="left" vertical="center"/>
      <protection locked="0"/>
    </xf>
    <xf numFmtId="165" fontId="20" fillId="5" borderId="20" xfId="0" applyNumberFormat="1" applyFont="1" applyFill="1" applyBorder="1" applyAlignment="1" applyProtection="1">
      <alignment horizontal="left" vertical="center"/>
      <protection locked="0"/>
    </xf>
    <xf numFmtId="0" fontId="36" fillId="5" borderId="23" xfId="0" applyFont="1" applyFill="1" applyBorder="1" applyAlignment="1" applyProtection="1">
      <alignment horizontal="center" vertical="center"/>
      <protection locked="0"/>
    </xf>
    <xf numFmtId="0" fontId="36" fillId="5" borderId="24" xfId="0" applyFont="1" applyFill="1" applyBorder="1" applyAlignment="1" applyProtection="1">
      <alignment horizontal="center" vertical="center"/>
      <protection locked="0"/>
    </xf>
    <xf numFmtId="165" fontId="20" fillId="5" borderId="23" xfId="0" applyNumberFormat="1" applyFont="1" applyFill="1" applyBorder="1" applyAlignment="1" applyProtection="1">
      <alignment horizontal="left" vertical="center"/>
      <protection locked="0"/>
    </xf>
    <xf numFmtId="165" fontId="20" fillId="5" borderId="24" xfId="0" applyNumberFormat="1" applyFont="1" applyFill="1" applyBorder="1" applyAlignment="1" applyProtection="1">
      <alignment horizontal="left" vertical="center"/>
      <protection locked="0"/>
    </xf>
    <xf numFmtId="165" fontId="20" fillId="5" borderId="15" xfId="0" applyNumberFormat="1" applyFont="1" applyFill="1" applyBorder="1" applyAlignment="1" applyProtection="1">
      <alignment horizontal="left" vertical="center"/>
      <protection locked="0"/>
    </xf>
    <xf numFmtId="165" fontId="20" fillId="5" borderId="16" xfId="0" applyNumberFormat="1" applyFont="1" applyFill="1" applyBorder="1" applyAlignment="1" applyProtection="1">
      <alignment horizontal="left" vertical="center"/>
      <protection locked="0"/>
    </xf>
    <xf numFmtId="165" fontId="20" fillId="5" borderId="17" xfId="0" applyNumberFormat="1" applyFont="1" applyFill="1" applyBorder="1" applyAlignment="1" applyProtection="1">
      <alignment horizontal="left" vertical="center"/>
      <protection locked="0"/>
    </xf>
    <xf numFmtId="165" fontId="20" fillId="5" borderId="19" xfId="0" applyNumberFormat="1" applyFont="1" applyFill="1" applyBorder="1" applyAlignment="1" applyProtection="1">
      <alignment horizontal="left" vertical="center"/>
      <protection locked="0"/>
    </xf>
    <xf numFmtId="0" fontId="16" fillId="4" borderId="0" xfId="0" applyFont="1" applyFill="1" applyAlignment="1" applyProtection="1">
      <alignment horizontal="left"/>
    </xf>
    <xf numFmtId="0" fontId="19" fillId="6" borderId="11" xfId="0" applyFont="1" applyFill="1" applyBorder="1" applyAlignment="1" applyProtection="1">
      <alignment horizontal="right" vertical="center"/>
    </xf>
    <xf numFmtId="0" fontId="18" fillId="6" borderId="12" xfId="0" applyFont="1" applyFill="1" applyBorder="1" applyAlignment="1" applyProtection="1">
      <alignment horizontal="right" vertical="center"/>
    </xf>
    <xf numFmtId="0" fontId="18" fillId="6" borderId="13" xfId="0" applyFont="1" applyFill="1" applyBorder="1" applyAlignment="1" applyProtection="1">
      <alignment horizontal="right" vertical="center"/>
    </xf>
    <xf numFmtId="0" fontId="18" fillId="6" borderId="14" xfId="0" applyFont="1" applyFill="1" applyBorder="1" applyAlignment="1" applyProtection="1">
      <alignment horizontal="right" vertical="center"/>
    </xf>
    <xf numFmtId="0" fontId="12" fillId="0" borderId="0" xfId="0" applyFont="1" applyFill="1"/>
    <xf numFmtId="172" fontId="37" fillId="0" borderId="0" xfId="0" applyNumberFormat="1" applyFont="1" applyFill="1" applyAlignment="1"/>
    <xf numFmtId="0" fontId="63" fillId="0" borderId="0" xfId="0" applyFont="1" applyFill="1"/>
    <xf numFmtId="0" fontId="44" fillId="0" borderId="0" xfId="0" applyFont="1" applyFill="1"/>
  </cellXfs>
  <cellStyles count="50">
    <cellStyle name="20% - Accent1 2" xfId="8"/>
    <cellStyle name="20% - Accent2 2" xfId="9"/>
    <cellStyle name="20% - Accent3 2" xfId="10"/>
    <cellStyle name="20% - Accent4 2" xfId="11"/>
    <cellStyle name="20% - Accent5 2" xfId="12"/>
    <cellStyle name="20% - Accent6 2" xfId="13"/>
    <cellStyle name="40% - Accent1 2" xfId="14"/>
    <cellStyle name="40% - Accent2 2" xfId="15"/>
    <cellStyle name="40% - Accent3 2" xfId="16"/>
    <cellStyle name="40% - Accent4 2" xfId="17"/>
    <cellStyle name="40% - Accent5 2" xfId="18"/>
    <cellStyle name="40% - Accent6 2" xfId="19"/>
    <cellStyle name="60% - Accent1 2" xfId="20"/>
    <cellStyle name="60% - Accent2 2" xfId="21"/>
    <cellStyle name="60% - Accent3 2" xfId="22"/>
    <cellStyle name="60% - Accent4 2" xfId="23"/>
    <cellStyle name="60% - Accent5 2" xfId="24"/>
    <cellStyle name="60% - Accent6 2" xfId="25"/>
    <cellStyle name="Accent1 2" xfId="26"/>
    <cellStyle name="Accent2 2" xfId="27"/>
    <cellStyle name="Accent3 2" xfId="28"/>
    <cellStyle name="Accent4 2" xfId="29"/>
    <cellStyle name="Accent5 2" xfId="30"/>
    <cellStyle name="Accent6 2" xfId="31"/>
    <cellStyle name="Berekening 2" xfId="32"/>
    <cellStyle name="Controlecel" xfId="2" builtinId="23"/>
    <cellStyle name="Controlecel 2" xfId="33"/>
    <cellStyle name="Euro" xfId="34"/>
    <cellStyle name="Gekoppelde cel 2" xfId="35"/>
    <cellStyle name="Goed 2" xfId="36"/>
    <cellStyle name="Hyperlink" xfId="4" builtinId="8"/>
    <cellStyle name="Invoer 2" xfId="37"/>
    <cellStyle name="Kop 1 2" xfId="38"/>
    <cellStyle name="Kop 2 2" xfId="39"/>
    <cellStyle name="Kop 3 2" xfId="40"/>
    <cellStyle name="Kop 4 2" xfId="41"/>
    <cellStyle name="Neutraal 2" xfId="42"/>
    <cellStyle name="Notitie 2" xfId="43"/>
    <cellStyle name="Ongeldig 2" xfId="44"/>
    <cellStyle name="Standaard" xfId="0" builtinId="0"/>
    <cellStyle name="Standaard 2" xfId="1"/>
    <cellStyle name="Standaard 3" xfId="3"/>
    <cellStyle name="Standaard 3 2" xfId="6"/>
    <cellStyle name="Standaard 4" xfId="5"/>
    <cellStyle name="Standaard_Betaling bezorgers 2010" xfId="7"/>
    <cellStyle name="Titel 2" xfId="45"/>
    <cellStyle name="Totaal 2" xfId="46"/>
    <cellStyle name="Uitvoer 2" xfId="47"/>
    <cellStyle name="Verklarende tekst 2" xfId="48"/>
    <cellStyle name="Waarschuwingstekst 2" xfId="49"/>
  </cellStyles>
  <dxfs count="3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20266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99"/>
      <color rgb="FF151515"/>
      <color rgb="FFFFFF99"/>
      <color rgb="FFFFC83C"/>
      <color rgb="FFCCFFFF"/>
      <color rgb="FFCCCCFF"/>
      <color rgb="FF020266"/>
      <color rgb="FFFFC332"/>
      <color rgb="FF9999FF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templatebuilding.com" TargetMode="Externa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hyperlink" Target="http://www.templatebuilding.com" TargetMode="External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www.templatebuilding.com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www.templatebuilding.co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762556</xdr:colOff>
      <xdr:row>0</xdr:row>
      <xdr:rowOff>928233</xdr:rowOff>
    </xdr:to>
    <xdr:pic>
      <xdr:nvPicPr>
        <xdr:cNvPr id="2" name="LogoTB">
          <a:hlinkClick xmlns:r="http://schemas.openxmlformats.org/officeDocument/2006/relationships" r:id="rId1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2831" cy="928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276225</xdr:colOff>
      <xdr:row>2</xdr:row>
      <xdr:rowOff>9525</xdr:rowOff>
    </xdr:from>
    <xdr:to>
      <xdr:col>5</xdr:col>
      <xdr:colOff>1238250</xdr:colOff>
      <xdr:row>6</xdr:row>
      <xdr:rowOff>171450</xdr:rowOff>
    </xdr:to>
    <xdr:pic macro="[0]!IHelpLogoZwartWit_Klikken">
      <xdr:nvPicPr>
        <xdr:cNvPr id="12" name="IHelpLogoZwartWit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1143000"/>
          <a:ext cx="962025" cy="962025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266701</xdr:colOff>
      <xdr:row>2</xdr:row>
      <xdr:rowOff>9525</xdr:rowOff>
    </xdr:from>
    <xdr:to>
      <xdr:col>5</xdr:col>
      <xdr:colOff>1228725</xdr:colOff>
      <xdr:row>6</xdr:row>
      <xdr:rowOff>171449</xdr:rowOff>
    </xdr:to>
    <xdr:pic macro="[0]!IHelpLogoKleur_Klikken">
      <xdr:nvPicPr>
        <xdr:cNvPr id="13" name="IHelpLogoKleu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2926" y="1143000"/>
          <a:ext cx="962024" cy="962024"/>
        </a:xfrm>
        <a:prstGeom prst="rect">
          <a:avLst/>
        </a:prstGeom>
      </xdr:spPr>
    </xdr:pic>
    <xdr:clientData/>
  </xdr:twoCellAnchor>
  <xdr:twoCellAnchor>
    <xdr:from>
      <xdr:col>6</xdr:col>
      <xdr:colOff>295275</xdr:colOff>
      <xdr:row>21</xdr:row>
      <xdr:rowOff>152404</xdr:rowOff>
    </xdr:from>
    <xdr:to>
      <xdr:col>6</xdr:col>
      <xdr:colOff>685800</xdr:colOff>
      <xdr:row>23</xdr:row>
      <xdr:rowOff>38102</xdr:rowOff>
    </xdr:to>
    <xdr:sp macro="[0]!cmdMapNaamSEPA_Click" textlink="">
      <xdr:nvSpPr>
        <xdr:cNvPr id="4" name="cmdMapNaamSEPA"/>
        <xdr:cNvSpPr>
          <a:spLocks noChangeArrowheads="1"/>
        </xdr:cNvSpPr>
      </xdr:nvSpPr>
      <xdr:spPr bwMode="auto">
        <a:xfrm rot="5400000">
          <a:off x="9748839" y="6691315"/>
          <a:ext cx="380998" cy="390525"/>
        </a:xfrm>
        <a:prstGeom prst="rect">
          <a:avLst/>
        </a:prstGeom>
        <a:gradFill rotWithShape="1">
          <a:gsLst>
            <a:gs pos="0">
              <a:srgbClr val="333399">
                <a:gamma/>
                <a:tint val="57647"/>
                <a:invGamma/>
              </a:srgbClr>
            </a:gs>
            <a:gs pos="100000">
              <a:srgbClr val="333399"/>
            </a:gs>
          </a:gsLst>
          <a:lin ang="0" scaled="1"/>
        </a:gradFill>
        <a:ln w="19050">
          <a:solidFill>
            <a:srgbClr val="333399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nl-NL" sz="800" b="0" i="0" strike="noStrike">
              <a:solidFill>
                <a:srgbClr val="FFFFFF"/>
              </a:solidFill>
              <a:latin typeface="Arial"/>
              <a:cs typeface="Arial"/>
            </a:rPr>
            <a:t>...</a:t>
          </a:r>
        </a:p>
      </xdr:txBody>
    </xdr:sp>
    <xdr:clientData/>
  </xdr:twoCellAnchor>
  <xdr:twoCellAnchor editAs="oneCell">
    <xdr:from>
      <xdr:col>2</xdr:col>
      <xdr:colOff>0</xdr:colOff>
      <xdr:row>19</xdr:row>
      <xdr:rowOff>104775</xdr:rowOff>
    </xdr:from>
    <xdr:to>
      <xdr:col>4</xdr:col>
      <xdr:colOff>371475</xdr:colOff>
      <xdr:row>22</xdr:row>
      <xdr:rowOff>209551</xdr:rowOff>
    </xdr:to>
    <xdr:sp macro="" textlink="">
      <xdr:nvSpPr>
        <xdr:cNvPr id="6" name="HelpBallonSoortPost" hidden="1"/>
        <xdr:cNvSpPr>
          <a:spLocks noChangeArrowheads="1"/>
        </xdr:cNvSpPr>
      </xdr:nvSpPr>
      <xdr:spPr bwMode="auto">
        <a:xfrm>
          <a:off x="2705100" y="447675"/>
          <a:ext cx="5705475" cy="885826"/>
        </a:xfrm>
        <a:prstGeom prst="wedgeRoundRectCallout">
          <a:avLst>
            <a:gd name="adj1" fmla="val -69007"/>
            <a:gd name="adj2" fmla="val 49014"/>
            <a:gd name="adj3" fmla="val 16667"/>
          </a:avLst>
        </a:prstGeom>
        <a:gradFill>
          <a:gsLst>
            <a:gs pos="0">
              <a:srgbClr val="FFFFFF">
                <a:alpha val="54000"/>
              </a:srgbClr>
            </a:gs>
            <a:gs pos="7001">
              <a:srgbClr val="E6E6E6"/>
            </a:gs>
            <a:gs pos="32001">
              <a:srgbClr val="7D8496"/>
            </a:gs>
            <a:gs pos="47000">
              <a:srgbClr val="E6E6E6"/>
            </a:gs>
            <a:gs pos="85001">
              <a:srgbClr val="7D8496"/>
            </a:gs>
            <a:gs pos="100000">
              <a:srgbClr val="E6E6E6"/>
            </a:gs>
          </a:gsLst>
          <a:lin ang="0" scaled="0"/>
        </a:gra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Comic Sans MS"/>
            </a:rPr>
            <a:t>Geef met behulp van deze keuzerondjes aan of de batch betrekking heeft op een betaling of een incasso.</a:t>
          </a:r>
        </a:p>
        <a:p>
          <a:pPr algn="l" rtl="0">
            <a:defRPr sz="1000"/>
          </a:pPr>
          <a:endParaRPr lang="nl-NL" sz="800" b="0" i="0" u="none" strike="noStrike" baseline="0">
            <a:solidFill>
              <a:srgbClr val="000000"/>
            </a:solidFill>
            <a:latin typeface="Comic Sans MS"/>
          </a:endParaRPr>
        </a:p>
        <a:p>
          <a:pPr algn="l" rtl="0">
            <a:defRPr sz="1000"/>
          </a:pPr>
          <a:r>
            <a:rPr lang="nl-NL" sz="800" b="0" i="0" u="none" strike="noStrike" baseline="0">
              <a:solidFill>
                <a:srgbClr val="020266"/>
              </a:solidFill>
              <a:latin typeface="Comic Sans MS"/>
            </a:rPr>
            <a:t>Klik om de toelichting om te sluiten.</a:t>
          </a:r>
        </a:p>
      </xdr:txBody>
    </xdr:sp>
    <xdr:clientData/>
  </xdr:twoCellAnchor>
  <xdr:twoCellAnchor>
    <xdr:from>
      <xdr:col>5</xdr:col>
      <xdr:colOff>28575</xdr:colOff>
      <xdr:row>6</xdr:row>
      <xdr:rowOff>142874</xdr:rowOff>
    </xdr:from>
    <xdr:to>
      <xdr:col>5</xdr:col>
      <xdr:colOff>1571625</xdr:colOff>
      <xdr:row>7</xdr:row>
      <xdr:rowOff>276225</xdr:rowOff>
    </xdr:to>
    <xdr:sp macro="" textlink="" fLocksText="0">
      <xdr:nvSpPr>
        <xdr:cNvPr id="11" name="ITVTonenVerbergenHelp"/>
        <xdr:cNvSpPr txBox="1"/>
      </xdr:nvSpPr>
      <xdr:spPr>
        <a:xfrm>
          <a:off x="7924800" y="2076449"/>
          <a:ext cx="1543050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0" i="1">
              <a:latin typeface="+mn-lt"/>
            </a:rPr>
            <a:t>Verbergen Helpnavigatie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1371600</xdr:colOff>
      <xdr:row>0</xdr:row>
      <xdr:rowOff>928233</xdr:rowOff>
    </xdr:to>
    <xdr:pic>
      <xdr:nvPicPr>
        <xdr:cNvPr id="2" name="LogoTB">
          <a:hlinkClick xmlns:r="http://schemas.openxmlformats.org/officeDocument/2006/relationships" r:id="rId3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962274" cy="928233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1381125</xdr:colOff>
      <xdr:row>14</xdr:row>
      <xdr:rowOff>19050</xdr:rowOff>
    </xdr:from>
    <xdr:to>
      <xdr:col>4</xdr:col>
      <xdr:colOff>1562100</xdr:colOff>
      <xdr:row>14</xdr:row>
      <xdr:rowOff>200025</xdr:rowOff>
    </xdr:to>
    <xdr:pic macro="[0]!OpenHelp">
      <xdr:nvPicPr>
        <xdr:cNvPr id="18" name="IHelpVTPmtInfId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5</xdr:col>
      <xdr:colOff>1971676</xdr:colOff>
      <xdr:row>1</xdr:row>
      <xdr:rowOff>133351</xdr:rowOff>
    </xdr:from>
    <xdr:to>
      <xdr:col>9</xdr:col>
      <xdr:colOff>0</xdr:colOff>
      <xdr:row>7</xdr:row>
      <xdr:rowOff>0</xdr:rowOff>
    </xdr:to>
    <xdr:sp macro="" textlink="">
      <xdr:nvSpPr>
        <xdr:cNvPr id="66" name="HGIHelpVTMinMaxBedrag" hidden="1"/>
        <xdr:cNvSpPr/>
      </xdr:nvSpPr>
      <xdr:spPr bwMode="auto">
        <a:xfrm>
          <a:off x="9867901" y="1104901"/>
          <a:ext cx="3552824" cy="115252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1924050</xdr:colOff>
      <xdr:row>7</xdr:row>
      <xdr:rowOff>285750</xdr:rowOff>
    </xdr:from>
    <xdr:to>
      <xdr:col>8</xdr:col>
      <xdr:colOff>1028699</xdr:colOff>
      <xdr:row>13</xdr:row>
      <xdr:rowOff>161925</xdr:rowOff>
    </xdr:to>
    <xdr:sp macro="[0]!SluitHelp" textlink="">
      <xdr:nvSpPr>
        <xdr:cNvPr id="67" name="HBIHelpVTMinMaxBedrag" hidden="1"/>
        <xdr:cNvSpPr/>
      </xdr:nvSpPr>
      <xdr:spPr bwMode="auto">
        <a:xfrm>
          <a:off x="9944100" y="2543175"/>
          <a:ext cx="3848099" cy="1819275"/>
        </a:xfrm>
        <a:prstGeom prst="wedgeRoundRectCallout">
          <a:avLst>
            <a:gd name="adj1" fmla="val 58099"/>
            <a:gd name="adj2" fmla="val -926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Minimum, Maximumbedrag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deze cellen kan worden aangegeven wat het minimum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en maximumbedrag per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is. Bij het invoeren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transactiebedragen zal worden gecontroleerd of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ingevoerde bedrag in dit bereik valt, anders zal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bedrag roodkleuren. Dit ter voorkoming van verkeerd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ingevoerde bedragen.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9</xdr:col>
      <xdr:colOff>66675</xdr:colOff>
      <xdr:row>5</xdr:row>
      <xdr:rowOff>9525</xdr:rowOff>
    </xdr:from>
    <xdr:ext cx="180975" cy="180975"/>
    <xdr:pic macro="[0]!OpenHelp">
      <xdr:nvPicPr>
        <xdr:cNvPr id="59" name="IHelpVTMinMaxBedrag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7400" y="161925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4</xdr:row>
      <xdr:rowOff>66676</xdr:rowOff>
    </xdr:from>
    <xdr:to>
      <xdr:col>4</xdr:col>
      <xdr:colOff>1571625</xdr:colOff>
      <xdr:row>5</xdr:row>
      <xdr:rowOff>314326</xdr:rowOff>
    </xdr:to>
    <xdr:sp macro="" textlink="">
      <xdr:nvSpPr>
        <xdr:cNvPr id="63" name="HGIHelpVTNaamOpdrachtgever" hidden="1"/>
        <xdr:cNvSpPr/>
      </xdr:nvSpPr>
      <xdr:spPr bwMode="auto">
        <a:xfrm>
          <a:off x="1571625" y="16002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1000124</xdr:colOff>
      <xdr:row>0</xdr:row>
      <xdr:rowOff>238125</xdr:rowOff>
    </xdr:from>
    <xdr:to>
      <xdr:col>8</xdr:col>
      <xdr:colOff>638175</xdr:colOff>
      <xdr:row>2</xdr:row>
      <xdr:rowOff>238125</xdr:rowOff>
    </xdr:to>
    <xdr:sp macro="[0]!SluitHelp" textlink="">
      <xdr:nvSpPr>
        <xdr:cNvPr id="64" name="HBIHelpVTNaamOpdrachtgever" hidden="1"/>
        <xdr:cNvSpPr/>
      </xdr:nvSpPr>
      <xdr:spPr bwMode="auto">
        <a:xfrm>
          <a:off x="9020174" y="238125"/>
          <a:ext cx="3981451" cy="1133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5</xdr:row>
      <xdr:rowOff>19050</xdr:rowOff>
    </xdr:from>
    <xdr:to>
      <xdr:col>4</xdr:col>
      <xdr:colOff>1562100</xdr:colOff>
      <xdr:row>5</xdr:row>
      <xdr:rowOff>200025</xdr:rowOff>
    </xdr:to>
    <xdr:pic macro="[0]!OpenHelp">
      <xdr:nvPicPr>
        <xdr:cNvPr id="27" name="IHelpVTNaamOpdrachtgever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16287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5</xdr:row>
      <xdr:rowOff>314326</xdr:rowOff>
    </xdr:from>
    <xdr:to>
      <xdr:col>4</xdr:col>
      <xdr:colOff>1571625</xdr:colOff>
      <xdr:row>6</xdr:row>
      <xdr:rowOff>314326</xdr:rowOff>
    </xdr:to>
    <xdr:sp macro="" textlink="">
      <xdr:nvSpPr>
        <xdr:cNvPr id="61" name="HGIHelpVTIBANOpdrachtgever" hidden="1"/>
        <xdr:cNvSpPr/>
      </xdr:nvSpPr>
      <xdr:spPr bwMode="auto">
        <a:xfrm>
          <a:off x="1571625" y="19240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1047748</xdr:colOff>
      <xdr:row>0</xdr:row>
      <xdr:rowOff>381000</xdr:rowOff>
    </xdr:from>
    <xdr:to>
      <xdr:col>8</xdr:col>
      <xdr:colOff>1009649</xdr:colOff>
      <xdr:row>5</xdr:row>
      <xdr:rowOff>57150</xdr:rowOff>
    </xdr:to>
    <xdr:sp macro="[0]!SluitHelp" textlink="">
      <xdr:nvSpPr>
        <xdr:cNvPr id="62" name="HBIHelpVTIBANOpdrachtgever" hidden="1"/>
        <xdr:cNvSpPr/>
      </xdr:nvSpPr>
      <xdr:spPr bwMode="auto">
        <a:xfrm>
          <a:off x="9067798" y="381000"/>
          <a:ext cx="4305301" cy="12858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Betreft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rekeningnummer van betalende persoon of instantie.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6</xdr:row>
      <xdr:rowOff>19050</xdr:rowOff>
    </xdr:from>
    <xdr:to>
      <xdr:col>4</xdr:col>
      <xdr:colOff>1562100</xdr:colOff>
      <xdr:row>6</xdr:row>
      <xdr:rowOff>200025</xdr:rowOff>
    </xdr:to>
    <xdr:pic macro="[0]!OpenHelp">
      <xdr:nvPicPr>
        <xdr:cNvPr id="26" name="IHelpVTIBANOpdrachtgever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19526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6</xdr:row>
      <xdr:rowOff>314326</xdr:rowOff>
    </xdr:from>
    <xdr:to>
      <xdr:col>4</xdr:col>
      <xdr:colOff>1571625</xdr:colOff>
      <xdr:row>7</xdr:row>
      <xdr:rowOff>314326</xdr:rowOff>
    </xdr:to>
    <xdr:sp macro="" textlink="">
      <xdr:nvSpPr>
        <xdr:cNvPr id="53" name="HGIHelpVTBICOpdrachtgever" hidden="1"/>
        <xdr:cNvSpPr/>
      </xdr:nvSpPr>
      <xdr:spPr bwMode="auto">
        <a:xfrm>
          <a:off x="1571625" y="22479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1104898</xdr:colOff>
      <xdr:row>0</xdr:row>
      <xdr:rowOff>781050</xdr:rowOff>
    </xdr:from>
    <xdr:to>
      <xdr:col>9</xdr:col>
      <xdr:colOff>47625</xdr:colOff>
      <xdr:row>6</xdr:row>
      <xdr:rowOff>66675</xdr:rowOff>
    </xdr:to>
    <xdr:sp macro="[0]!SluitHelp" textlink="">
      <xdr:nvSpPr>
        <xdr:cNvPr id="54" name="HBIHelpVTBICOpdrachtgever" hidden="1"/>
        <xdr:cNvSpPr/>
      </xdr:nvSpPr>
      <xdr:spPr bwMode="auto">
        <a:xfrm>
          <a:off x="9124948" y="781050"/>
          <a:ext cx="4467227" cy="12192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Dit veld bevat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BICCode van de bank van de opdrachtgever.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7</xdr:row>
      <xdr:rowOff>28575</xdr:rowOff>
    </xdr:from>
    <xdr:to>
      <xdr:col>4</xdr:col>
      <xdr:colOff>1562100</xdr:colOff>
      <xdr:row>7</xdr:row>
      <xdr:rowOff>209550</xdr:rowOff>
    </xdr:to>
    <xdr:pic macro="[0]!OpenHelp">
      <xdr:nvPicPr>
        <xdr:cNvPr id="25" name="IHelpVTBICOpdrachtgever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22860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7</xdr:row>
      <xdr:rowOff>314326</xdr:rowOff>
    </xdr:from>
    <xdr:to>
      <xdr:col>4</xdr:col>
      <xdr:colOff>1571625</xdr:colOff>
      <xdr:row>8</xdr:row>
      <xdr:rowOff>314326</xdr:rowOff>
    </xdr:to>
    <xdr:sp macro="" textlink="">
      <xdr:nvSpPr>
        <xdr:cNvPr id="51" name="HGIHelpVTLandOpdrachtgever" hidden="1"/>
        <xdr:cNvSpPr/>
      </xdr:nvSpPr>
      <xdr:spPr bwMode="auto">
        <a:xfrm>
          <a:off x="1571625" y="25717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1047748</xdr:colOff>
      <xdr:row>0</xdr:row>
      <xdr:rowOff>781050</xdr:rowOff>
    </xdr:from>
    <xdr:to>
      <xdr:col>8</xdr:col>
      <xdr:colOff>800100</xdr:colOff>
      <xdr:row>7</xdr:row>
      <xdr:rowOff>0</xdr:rowOff>
    </xdr:to>
    <xdr:sp macro="[0]!SluitHelp" textlink="">
      <xdr:nvSpPr>
        <xdr:cNvPr id="52" name="HBIHelpVTLandOpdrachtgever" hidden="1"/>
        <xdr:cNvSpPr/>
      </xdr:nvSpPr>
      <xdr:spPr bwMode="auto">
        <a:xfrm>
          <a:off x="9067798" y="781050"/>
          <a:ext cx="4095752" cy="14763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Transacties. Dit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veld bevat de landcode van de bank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8</xdr:row>
      <xdr:rowOff>28575</xdr:rowOff>
    </xdr:from>
    <xdr:to>
      <xdr:col>4</xdr:col>
      <xdr:colOff>1562100</xdr:colOff>
      <xdr:row>8</xdr:row>
      <xdr:rowOff>209550</xdr:rowOff>
    </xdr:to>
    <xdr:pic macro="[0]!OpenHelp">
      <xdr:nvPicPr>
        <xdr:cNvPr id="24" name="IHelpVTLandOpdrachtgever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26098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8</xdr:row>
      <xdr:rowOff>314326</xdr:rowOff>
    </xdr:from>
    <xdr:to>
      <xdr:col>4</xdr:col>
      <xdr:colOff>1571625</xdr:colOff>
      <xdr:row>9</xdr:row>
      <xdr:rowOff>314326</xdr:rowOff>
    </xdr:to>
    <xdr:sp macro="" textlink="">
      <xdr:nvSpPr>
        <xdr:cNvPr id="49" name="HGIHelpVTPrefix" hidden="1"/>
        <xdr:cNvSpPr/>
      </xdr:nvSpPr>
      <xdr:spPr bwMode="auto">
        <a:xfrm>
          <a:off x="1571625" y="28956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1142999</xdr:colOff>
      <xdr:row>1</xdr:row>
      <xdr:rowOff>95250</xdr:rowOff>
    </xdr:from>
    <xdr:to>
      <xdr:col>9</xdr:col>
      <xdr:colOff>285750</xdr:colOff>
      <xdr:row>7</xdr:row>
      <xdr:rowOff>304800</xdr:rowOff>
    </xdr:to>
    <xdr:sp macro="[0]!SluitHelp" textlink="">
      <xdr:nvSpPr>
        <xdr:cNvPr id="50" name="HBIHelpVTPrefix" hidden="1"/>
        <xdr:cNvSpPr/>
      </xdr:nvSpPr>
      <xdr:spPr bwMode="auto">
        <a:xfrm>
          <a:off x="9163049" y="1066800"/>
          <a:ext cx="4667251" cy="14954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Prefix 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De Prefix wordt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gebruikt voor een unieke identificatie van het bericht.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beschouwen als eigen kenmerk. Hier niet te wijzigen (op werkblad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Transacties)!</a:t>
          </a:r>
          <a:endParaRPr lang="nl-NL" sz="1000">
            <a:effectLst/>
          </a:endParaRPr>
        </a:p>
        <a:p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9</xdr:row>
      <xdr:rowOff>19050</xdr:rowOff>
    </xdr:from>
    <xdr:to>
      <xdr:col>4</xdr:col>
      <xdr:colOff>1562100</xdr:colOff>
      <xdr:row>9</xdr:row>
      <xdr:rowOff>200025</xdr:rowOff>
    </xdr:to>
    <xdr:pic macro="[0]!OpenHelp">
      <xdr:nvPicPr>
        <xdr:cNvPr id="23" name="IHelpVTPrefix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29241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9</xdr:row>
      <xdr:rowOff>314326</xdr:rowOff>
    </xdr:from>
    <xdr:to>
      <xdr:col>4</xdr:col>
      <xdr:colOff>1571625</xdr:colOff>
      <xdr:row>10</xdr:row>
      <xdr:rowOff>314326</xdr:rowOff>
    </xdr:to>
    <xdr:sp macro="" textlink="">
      <xdr:nvSpPr>
        <xdr:cNvPr id="47" name="HGIHelpVTAantalXMLTags" hidden="1"/>
        <xdr:cNvSpPr/>
      </xdr:nvSpPr>
      <xdr:spPr bwMode="auto">
        <a:xfrm>
          <a:off x="1571625" y="32194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1066798</xdr:colOff>
      <xdr:row>4</xdr:row>
      <xdr:rowOff>38100</xdr:rowOff>
    </xdr:from>
    <xdr:to>
      <xdr:col>9</xdr:col>
      <xdr:colOff>95249</xdr:colOff>
      <xdr:row>9</xdr:row>
      <xdr:rowOff>9525</xdr:rowOff>
    </xdr:to>
    <xdr:sp macro="[0]!SluitHelp" textlink="">
      <xdr:nvSpPr>
        <xdr:cNvPr id="48" name="HBIHelpVTAantalXMLTags" hidden="1"/>
        <xdr:cNvSpPr/>
      </xdr:nvSpPr>
      <xdr:spPr bwMode="auto">
        <a:xfrm>
          <a:off x="9086848" y="1571625"/>
          <a:ext cx="4552951" cy="1343025"/>
        </a:xfrm>
        <a:prstGeom prst="wedgeRoundRectCallout">
          <a:avLst>
            <a:gd name="adj1" fmla="val -74953"/>
            <a:gd name="adj2" fmla="val 72967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XML-tags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berekende waarde t.b.v. samenstellen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SEPA-bericht (XML) gegevens.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10</xdr:row>
      <xdr:rowOff>19050</xdr:rowOff>
    </xdr:from>
    <xdr:to>
      <xdr:col>4</xdr:col>
      <xdr:colOff>1562100</xdr:colOff>
      <xdr:row>10</xdr:row>
      <xdr:rowOff>200025</xdr:rowOff>
    </xdr:to>
    <xdr:pic macro="[0]!OpenHelp">
      <xdr:nvPicPr>
        <xdr:cNvPr id="22" name="IHelpVTAantalXMLTag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324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10</xdr:row>
      <xdr:rowOff>314326</xdr:rowOff>
    </xdr:from>
    <xdr:to>
      <xdr:col>4</xdr:col>
      <xdr:colOff>1571625</xdr:colOff>
      <xdr:row>11</xdr:row>
      <xdr:rowOff>314326</xdr:rowOff>
    </xdr:to>
    <xdr:sp macro="" textlink="">
      <xdr:nvSpPr>
        <xdr:cNvPr id="45" name="HGIHelpVTAantalTransacties" hidden="1"/>
        <xdr:cNvSpPr/>
      </xdr:nvSpPr>
      <xdr:spPr bwMode="auto">
        <a:xfrm>
          <a:off x="1571625" y="35433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1171573</xdr:colOff>
      <xdr:row>5</xdr:row>
      <xdr:rowOff>152400</xdr:rowOff>
    </xdr:from>
    <xdr:to>
      <xdr:col>9</xdr:col>
      <xdr:colOff>200025</xdr:colOff>
      <xdr:row>9</xdr:row>
      <xdr:rowOff>295275</xdr:rowOff>
    </xdr:to>
    <xdr:sp macro="[0]!SluitHelp" textlink="">
      <xdr:nvSpPr>
        <xdr:cNvPr id="46" name="HBIHelpVTAantalTransacties" hidden="1"/>
        <xdr:cNvSpPr/>
      </xdr:nvSpPr>
      <xdr:spPr bwMode="auto">
        <a:xfrm>
          <a:off x="9191623" y="1762125"/>
          <a:ext cx="4552952" cy="14382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 informatieveld die het aantal transacties in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werkblad Transacties weergeeft. Wordt gebruikt bij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samenstellen van het SEPA bericht (XML).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 !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11</xdr:row>
      <xdr:rowOff>19050</xdr:rowOff>
    </xdr:from>
    <xdr:to>
      <xdr:col>4</xdr:col>
      <xdr:colOff>1562100</xdr:colOff>
      <xdr:row>11</xdr:row>
      <xdr:rowOff>200025</xdr:rowOff>
    </xdr:to>
    <xdr:pic macro="[0]!OpenHelp">
      <xdr:nvPicPr>
        <xdr:cNvPr id="21" name="IHelpVTAantalTransactie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35718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11</xdr:row>
      <xdr:rowOff>314326</xdr:rowOff>
    </xdr:from>
    <xdr:to>
      <xdr:col>4</xdr:col>
      <xdr:colOff>1571625</xdr:colOff>
      <xdr:row>12</xdr:row>
      <xdr:rowOff>314326</xdr:rowOff>
    </xdr:to>
    <xdr:sp macro="" textlink="">
      <xdr:nvSpPr>
        <xdr:cNvPr id="43" name="HGIHelpVTMessageID" hidden="1"/>
        <xdr:cNvSpPr/>
      </xdr:nvSpPr>
      <xdr:spPr bwMode="auto">
        <a:xfrm>
          <a:off x="1571625" y="38671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5</xdr:row>
      <xdr:rowOff>57149</xdr:rowOff>
    </xdr:from>
    <xdr:to>
      <xdr:col>9</xdr:col>
      <xdr:colOff>142875</xdr:colOff>
      <xdr:row>10</xdr:row>
      <xdr:rowOff>238124</xdr:rowOff>
    </xdr:to>
    <xdr:sp macro="[0]!SluitHelp" textlink="">
      <xdr:nvSpPr>
        <xdr:cNvPr id="44" name="HBIHelpVTMessageID" hidden="1"/>
        <xdr:cNvSpPr/>
      </xdr:nvSpPr>
      <xdr:spPr bwMode="auto">
        <a:xfrm>
          <a:off x="9163048" y="1666874"/>
          <a:ext cx="4524377" cy="18002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Automatisch gegenereerde unieke identificatie (samengesteld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Prefix, huidige 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tijd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van het bericht.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betreffende identificatie is een kenmerk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verwerking (aanleverende partij).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in dit sjabloon niet door de gebruiker aan te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12</xdr:row>
      <xdr:rowOff>28575</xdr:rowOff>
    </xdr:from>
    <xdr:to>
      <xdr:col>4</xdr:col>
      <xdr:colOff>1562100</xdr:colOff>
      <xdr:row>12</xdr:row>
      <xdr:rowOff>209550</xdr:rowOff>
    </xdr:to>
    <xdr:pic macro="[0]!OpenHelp">
      <xdr:nvPicPr>
        <xdr:cNvPr id="20" name="IHelpVTMessageID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39052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12</xdr:row>
      <xdr:rowOff>314326</xdr:rowOff>
    </xdr:from>
    <xdr:to>
      <xdr:col>4</xdr:col>
      <xdr:colOff>1571625</xdr:colOff>
      <xdr:row>13</xdr:row>
      <xdr:rowOff>314326</xdr:rowOff>
    </xdr:to>
    <xdr:sp macro="" textlink="">
      <xdr:nvSpPr>
        <xdr:cNvPr id="41" name="HGIHelpVTCreatie" hidden="1"/>
        <xdr:cNvSpPr/>
      </xdr:nvSpPr>
      <xdr:spPr bwMode="auto">
        <a:xfrm>
          <a:off x="1571625" y="419100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1095373</xdr:colOff>
      <xdr:row>7</xdr:row>
      <xdr:rowOff>114300</xdr:rowOff>
    </xdr:from>
    <xdr:to>
      <xdr:col>8</xdr:col>
      <xdr:colOff>1152524</xdr:colOff>
      <xdr:row>11</xdr:row>
      <xdr:rowOff>304800</xdr:rowOff>
    </xdr:to>
    <xdr:sp macro="[0]!SluitHelp" textlink="">
      <xdr:nvSpPr>
        <xdr:cNvPr id="42" name="HBIHelpVTCreatie" hidden="1"/>
        <xdr:cNvSpPr/>
      </xdr:nvSpPr>
      <xdr:spPr bwMode="auto">
        <a:xfrm>
          <a:off x="9115423" y="2371725"/>
          <a:ext cx="4400551" cy="14859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Creatie SEPA XML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volgens het vereiste formaat (ISO) dynamisch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berekende huidige datum/tijd gebruikt om de creatie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en tijd van het bericht weer te geven.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niet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13</xdr:row>
      <xdr:rowOff>19050</xdr:rowOff>
    </xdr:from>
    <xdr:to>
      <xdr:col>4</xdr:col>
      <xdr:colOff>1562100</xdr:colOff>
      <xdr:row>13</xdr:row>
      <xdr:rowOff>200025</xdr:rowOff>
    </xdr:to>
    <xdr:pic macro="[0]!OpenHelp">
      <xdr:nvPicPr>
        <xdr:cNvPr id="19" name="IHelpVTCreati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2195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13</xdr:row>
      <xdr:rowOff>314326</xdr:rowOff>
    </xdr:from>
    <xdr:to>
      <xdr:col>4</xdr:col>
      <xdr:colOff>1571625</xdr:colOff>
      <xdr:row>14</xdr:row>
      <xdr:rowOff>314326</xdr:rowOff>
    </xdr:to>
    <xdr:sp macro="" textlink="">
      <xdr:nvSpPr>
        <xdr:cNvPr id="39" name="HGIHelpVTPmtInfId" hidden="1"/>
        <xdr:cNvSpPr/>
      </xdr:nvSpPr>
      <xdr:spPr bwMode="auto">
        <a:xfrm>
          <a:off x="1571625" y="4514851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1152523</xdr:colOff>
      <xdr:row>5</xdr:row>
      <xdr:rowOff>171449</xdr:rowOff>
    </xdr:from>
    <xdr:to>
      <xdr:col>9</xdr:col>
      <xdr:colOff>190500</xdr:colOff>
      <xdr:row>12</xdr:row>
      <xdr:rowOff>123824</xdr:rowOff>
    </xdr:to>
    <xdr:sp macro="[0]!SluitHelp" textlink="">
      <xdr:nvSpPr>
        <xdr:cNvPr id="40" name="HBIHelpVTPmtInfId" hidden="1"/>
        <xdr:cNvSpPr/>
      </xdr:nvSpPr>
      <xdr:spPr bwMode="auto">
        <a:xfrm>
          <a:off x="9172573" y="1781174"/>
          <a:ext cx="4562477" cy="22193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Unieke identificatie van de verzameling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Automatisch gegenereerde unieke identificatie van een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groep transacties (werkblad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die (verplicht)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opgenomen in het SEPA XML. Vanuit dit sjabloon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één verzameling van transacties gegenereerd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(PmtInf). Er is hierom maar één unieke identificatie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vereist.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De unieke identificatie is gebaseerd op de huidige  datum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en is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14</xdr:row>
      <xdr:rowOff>19050</xdr:rowOff>
    </xdr:from>
    <xdr:to>
      <xdr:col>4</xdr:col>
      <xdr:colOff>1552575</xdr:colOff>
      <xdr:row>14</xdr:row>
      <xdr:rowOff>200025</xdr:rowOff>
    </xdr:to>
    <xdr:pic macro="[0]!OpenHelp">
      <xdr:nvPicPr>
        <xdr:cNvPr id="10" name="IHelpVTPmtInfId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16</xdr:row>
      <xdr:rowOff>1</xdr:rowOff>
    </xdr:from>
    <xdr:to>
      <xdr:col>4</xdr:col>
      <xdr:colOff>1571625</xdr:colOff>
      <xdr:row>17</xdr:row>
      <xdr:rowOff>1</xdr:rowOff>
    </xdr:to>
    <xdr:sp macro="" textlink="">
      <xdr:nvSpPr>
        <xdr:cNvPr id="35" name="HGIHelpVTAdresRegel1" hidden="1"/>
        <xdr:cNvSpPr/>
      </xdr:nvSpPr>
      <xdr:spPr bwMode="auto">
        <a:xfrm>
          <a:off x="1571625" y="51720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1009648</xdr:colOff>
      <xdr:row>10</xdr:row>
      <xdr:rowOff>85725</xdr:rowOff>
    </xdr:from>
    <xdr:to>
      <xdr:col>8</xdr:col>
      <xdr:colOff>771525</xdr:colOff>
      <xdr:row>14</xdr:row>
      <xdr:rowOff>304800</xdr:rowOff>
    </xdr:to>
    <xdr:sp macro="[0]!SluitHelp" textlink="">
      <xdr:nvSpPr>
        <xdr:cNvPr id="36" name="HBIHelpVTAdresRegel1" hidden="1"/>
        <xdr:cNvSpPr/>
      </xdr:nvSpPr>
      <xdr:spPr bwMode="auto">
        <a:xfrm>
          <a:off x="9029698" y="3314700"/>
          <a:ext cx="4105277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(1)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16</xdr:row>
      <xdr:rowOff>19050</xdr:rowOff>
    </xdr:from>
    <xdr:to>
      <xdr:col>4</xdr:col>
      <xdr:colOff>1562100</xdr:colOff>
      <xdr:row>16</xdr:row>
      <xdr:rowOff>200025</xdr:rowOff>
    </xdr:to>
    <xdr:pic macro="[0]!OpenHelp">
      <xdr:nvPicPr>
        <xdr:cNvPr id="16" name="IHelpVTAdresRegel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1911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17</xdr:row>
      <xdr:rowOff>1</xdr:rowOff>
    </xdr:from>
    <xdr:to>
      <xdr:col>4</xdr:col>
      <xdr:colOff>1571625</xdr:colOff>
      <xdr:row>18</xdr:row>
      <xdr:rowOff>1</xdr:rowOff>
    </xdr:to>
    <xdr:sp macro="" textlink="">
      <xdr:nvSpPr>
        <xdr:cNvPr id="73" name="HGIHelpVTAdresRegel2" hidden="1"/>
        <xdr:cNvSpPr/>
      </xdr:nvSpPr>
      <xdr:spPr bwMode="auto">
        <a:xfrm>
          <a:off x="1571625" y="5495926"/>
          <a:ext cx="64389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1133473</xdr:colOff>
      <xdr:row>11</xdr:row>
      <xdr:rowOff>47625</xdr:rowOff>
    </xdr:from>
    <xdr:to>
      <xdr:col>8</xdr:col>
      <xdr:colOff>904874</xdr:colOff>
      <xdr:row>15</xdr:row>
      <xdr:rowOff>285750</xdr:rowOff>
    </xdr:to>
    <xdr:sp macro="[0]!SluitHelp" textlink="">
      <xdr:nvSpPr>
        <xdr:cNvPr id="34" name="HBIHelpVTAdresRegel2" hidden="1"/>
        <xdr:cNvSpPr/>
      </xdr:nvSpPr>
      <xdr:spPr bwMode="auto">
        <a:xfrm>
          <a:off x="9153523" y="3600450"/>
          <a:ext cx="4114801" cy="15335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(2)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&lt;postcode&gt;, &lt;woonplaats&gt;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17</xdr:row>
      <xdr:rowOff>19050</xdr:rowOff>
    </xdr:from>
    <xdr:to>
      <xdr:col>4</xdr:col>
      <xdr:colOff>1562100</xdr:colOff>
      <xdr:row>17</xdr:row>
      <xdr:rowOff>200025</xdr:rowOff>
    </xdr:to>
    <xdr:pic macro="[0]!OpenHelp">
      <xdr:nvPicPr>
        <xdr:cNvPr id="15" name="IHelpVTAdresRegel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18</xdr:row>
      <xdr:rowOff>1</xdr:rowOff>
    </xdr:from>
    <xdr:to>
      <xdr:col>5</xdr:col>
      <xdr:colOff>0</xdr:colOff>
      <xdr:row>19</xdr:row>
      <xdr:rowOff>1</xdr:rowOff>
    </xdr:to>
    <xdr:sp macro="" textlink="">
      <xdr:nvSpPr>
        <xdr:cNvPr id="77" name="HGIHelpVTBatchBooking" hidden="1"/>
        <xdr:cNvSpPr/>
      </xdr:nvSpPr>
      <xdr:spPr bwMode="auto">
        <a:xfrm>
          <a:off x="1581150" y="5819776"/>
          <a:ext cx="64389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1076323</xdr:colOff>
      <xdr:row>12</xdr:row>
      <xdr:rowOff>152400</xdr:rowOff>
    </xdr:from>
    <xdr:to>
      <xdr:col>8</xdr:col>
      <xdr:colOff>838200</xdr:colOff>
      <xdr:row>17</xdr:row>
      <xdr:rowOff>47625</xdr:rowOff>
    </xdr:to>
    <xdr:sp macro="[0]!SluitHelp" textlink="">
      <xdr:nvSpPr>
        <xdr:cNvPr id="68" name="HBIHelpVTBatchBooking" hidden="1"/>
        <xdr:cNvSpPr/>
      </xdr:nvSpPr>
      <xdr:spPr bwMode="auto">
        <a:xfrm>
          <a:off x="9096373" y="4029075"/>
          <a:ext cx="4105277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BatchBooking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vullen keuze. Indien deze wordt aangevinkt, worden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 met de dezelfde credit informatie als 1 totaaltransactie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verzamelbetaling geboekt. Indien deze niet staat aangevinkt, dan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voor elke regel in het werkblad Transacties een boeking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uitgevoerd.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4</xdr:col>
      <xdr:colOff>1381125</xdr:colOff>
      <xdr:row>18</xdr:row>
      <xdr:rowOff>19050</xdr:rowOff>
    </xdr:from>
    <xdr:ext cx="180975" cy="180975"/>
    <xdr:pic macro="[0]!OpenHelp">
      <xdr:nvPicPr>
        <xdr:cNvPr id="76" name="IHelpVTBatchBooking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5838825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581025</xdr:colOff>
      <xdr:row>22</xdr:row>
      <xdr:rowOff>1</xdr:rowOff>
    </xdr:from>
    <xdr:to>
      <xdr:col>5</xdr:col>
      <xdr:colOff>1971675</xdr:colOff>
      <xdr:row>23</xdr:row>
      <xdr:rowOff>1</xdr:rowOff>
    </xdr:to>
    <xdr:sp macro="" textlink="">
      <xdr:nvSpPr>
        <xdr:cNvPr id="57" name="HGIHelpVTLocatieBestand" hidden="1"/>
        <xdr:cNvSpPr/>
      </xdr:nvSpPr>
      <xdr:spPr bwMode="auto">
        <a:xfrm>
          <a:off x="1562100" y="6467476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619123</xdr:colOff>
      <xdr:row>13</xdr:row>
      <xdr:rowOff>9525</xdr:rowOff>
    </xdr:from>
    <xdr:to>
      <xdr:col>8</xdr:col>
      <xdr:colOff>1057275</xdr:colOff>
      <xdr:row>18</xdr:row>
      <xdr:rowOff>114300</xdr:rowOff>
    </xdr:to>
    <xdr:sp macro="[0]!SluitHelp" textlink="">
      <xdr:nvSpPr>
        <xdr:cNvPr id="58" name="HBIHelpVTLocatieBestand" hidden="1"/>
        <xdr:cNvSpPr/>
      </xdr:nvSpPr>
      <xdr:spPr bwMode="auto">
        <a:xfrm>
          <a:off x="8639173" y="4210050"/>
          <a:ext cx="4629152" cy="1724025"/>
        </a:xfrm>
        <a:prstGeom prst="wedgeRoundRectCallout">
          <a:avLst>
            <a:gd name="adj1" fmla="val -34318"/>
            <a:gd name="adj2" fmla="val 9577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doelmap van het te genereren SEPA XML 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wordt de naam van de doelmap ingevuld waarin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gegenereerde SEPA XML bestand wordt neergezet. Bij het aangeven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naam kan gebruik worden gemaakt van een dialoogscherm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waaruit de betreffende map kan worden geselecteerd. Hiertoe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moet op de hiernaastliggende knop worden gedrukt.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1209675</xdr:colOff>
      <xdr:row>22</xdr:row>
      <xdr:rowOff>9525</xdr:rowOff>
    </xdr:from>
    <xdr:to>
      <xdr:col>5</xdr:col>
      <xdr:colOff>1390650</xdr:colOff>
      <xdr:row>22</xdr:row>
      <xdr:rowOff>190500</xdr:rowOff>
    </xdr:to>
    <xdr:pic macro="[0]!OpenHelp">
      <xdr:nvPicPr>
        <xdr:cNvPr id="29" name="IHelpVTLocatieBestand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9725" y="67246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1</xdr:rowOff>
    </xdr:from>
    <xdr:to>
      <xdr:col>4</xdr:col>
      <xdr:colOff>1571625</xdr:colOff>
      <xdr:row>16</xdr:row>
      <xdr:rowOff>1</xdr:rowOff>
    </xdr:to>
    <xdr:sp macro="" textlink="">
      <xdr:nvSpPr>
        <xdr:cNvPr id="37" name="HGIHelpVTReqdCollectionDate" hidden="1"/>
        <xdr:cNvSpPr/>
      </xdr:nvSpPr>
      <xdr:spPr bwMode="auto">
        <a:xfrm>
          <a:off x="1581150" y="4848226"/>
          <a:ext cx="64293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1114423</xdr:colOff>
      <xdr:row>2</xdr:row>
      <xdr:rowOff>19049</xdr:rowOff>
    </xdr:from>
    <xdr:to>
      <xdr:col>8</xdr:col>
      <xdr:colOff>1114425</xdr:colOff>
      <xdr:row>13</xdr:row>
      <xdr:rowOff>19050</xdr:rowOff>
    </xdr:to>
    <xdr:sp macro="[0]!SluitHelp" textlink="">
      <xdr:nvSpPr>
        <xdr:cNvPr id="38" name="HBIHelpVTReqdCollectionDate" hidden="1"/>
        <xdr:cNvSpPr/>
      </xdr:nvSpPr>
      <xdr:spPr bwMode="auto">
        <a:xfrm>
          <a:off x="9134473" y="1152524"/>
          <a:ext cx="4191002" cy="3067051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De datum waarop de opdrachtgever het opgegeven bedrag aan 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 crediteur wil betalen. Indien hier handmatig een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ingevoerd, dan zal deze als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betalingsdatum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 verwerking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meegenomen. Blijft de datum leeg, dan wordt standaard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huidige datum als basis genomen voor de datum waarop de bedragen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zullen worden betaald. De ingevoerde datum moet na de datum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vandaag liggen.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Deze datum wordt als standaardwaarde overgenomen in de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afzonderlijke transacties als de kolom met gewenste verwerkingsdatum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is ingevuld. </a:t>
          </a:r>
        </a:p>
        <a:p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  </a:t>
          </a:r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  <a:t>De datum mag niet meer dan 364 dagen in de toekomst liggen. </a:t>
          </a:r>
          <a:b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</a:br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  <a:t>   Een datum in het verleden of een ongeldige datum wordt aangepast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nl-NL" sz="1000" b="0" i="1" u="none" strike="noStrike" kern="0" cap="none" spc="0" normalizeH="0" baseline="0" noProof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</a:rPr>
            <a:t>   en veranderd in de eerst mogelijke  verwerkingsdatum.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15</xdr:row>
      <xdr:rowOff>28575</xdr:rowOff>
    </xdr:from>
    <xdr:to>
      <xdr:col>4</xdr:col>
      <xdr:colOff>1562100</xdr:colOff>
      <xdr:row>15</xdr:row>
      <xdr:rowOff>209550</xdr:rowOff>
    </xdr:to>
    <xdr:pic macro="[0]!OpenHelp">
      <xdr:nvPicPr>
        <xdr:cNvPr id="17" name="IHelpVTReqdCollectionDat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8768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24</xdr:row>
      <xdr:rowOff>0</xdr:rowOff>
    </xdr:from>
    <xdr:to>
      <xdr:col>4</xdr:col>
      <xdr:colOff>0</xdr:colOff>
      <xdr:row>24</xdr:row>
      <xdr:rowOff>314326</xdr:rowOff>
    </xdr:to>
    <xdr:sp macro="" textlink="">
      <xdr:nvSpPr>
        <xdr:cNvPr id="8" name="HGIHelpVTTypeBericht" hidden="1"/>
        <xdr:cNvSpPr/>
      </xdr:nvSpPr>
      <xdr:spPr bwMode="auto">
        <a:xfrm>
          <a:off x="1571625" y="7439025"/>
          <a:ext cx="4743450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1704974</xdr:colOff>
      <xdr:row>13</xdr:row>
      <xdr:rowOff>190500</xdr:rowOff>
    </xdr:from>
    <xdr:to>
      <xdr:col>6</xdr:col>
      <xdr:colOff>361949</xdr:colOff>
      <xdr:row>22</xdr:row>
      <xdr:rowOff>66676</xdr:rowOff>
    </xdr:to>
    <xdr:sp macro="[0]!SluitHelp" textlink="">
      <xdr:nvSpPr>
        <xdr:cNvPr id="60" name="HBIHelpVTTypeBericht" hidden="1"/>
        <xdr:cNvSpPr/>
      </xdr:nvSpPr>
      <xdr:spPr bwMode="auto">
        <a:xfrm>
          <a:off x="5800724" y="4391025"/>
          <a:ext cx="4010025" cy="2390776"/>
        </a:xfrm>
        <a:prstGeom prst="wedgeRoundRectCallout">
          <a:avLst>
            <a:gd name="adj1" fmla="val -34070"/>
            <a:gd name="adj2" fmla="val 793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Type Bericht (Credit Transfer)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moet verplicht worden gekozen tussen de verschillende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versies van de SEPA XML berichten: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pain.001.001.03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pain.001.001.04 (vanaf februari 2014)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betalingsbestand zal in het opgegeven formaat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2143125</xdr:colOff>
      <xdr:row>24</xdr:row>
      <xdr:rowOff>28575</xdr:rowOff>
    </xdr:from>
    <xdr:ext cx="180975" cy="180975"/>
    <xdr:pic macro="[0]!OpenHelp">
      <xdr:nvPicPr>
        <xdr:cNvPr id="30" name="IHelpVTTypeBericht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14375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581025</xdr:colOff>
      <xdr:row>22</xdr:row>
      <xdr:rowOff>314325</xdr:rowOff>
    </xdr:from>
    <xdr:to>
      <xdr:col>5</xdr:col>
      <xdr:colOff>1971675</xdr:colOff>
      <xdr:row>24</xdr:row>
      <xdr:rowOff>0</xdr:rowOff>
    </xdr:to>
    <xdr:sp macro="" textlink="">
      <xdr:nvSpPr>
        <xdr:cNvPr id="55" name="HGIHelpVTNaamBestand" hidden="1"/>
        <xdr:cNvSpPr/>
      </xdr:nvSpPr>
      <xdr:spPr bwMode="auto">
        <a:xfrm>
          <a:off x="1562100" y="6781800"/>
          <a:ext cx="8305800" cy="33337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847725</xdr:colOff>
      <xdr:row>14</xdr:row>
      <xdr:rowOff>276225</xdr:rowOff>
    </xdr:from>
    <xdr:to>
      <xdr:col>10</xdr:col>
      <xdr:colOff>38101</xdr:colOff>
      <xdr:row>21</xdr:row>
      <xdr:rowOff>142875</xdr:rowOff>
    </xdr:to>
    <xdr:sp macro="[0]!SluitHelp" textlink="">
      <xdr:nvSpPr>
        <xdr:cNvPr id="99" name="HBIHelpVTNaamBestand" hidden="1"/>
        <xdr:cNvSpPr/>
      </xdr:nvSpPr>
      <xdr:spPr bwMode="auto">
        <a:xfrm>
          <a:off x="10848975" y="4800600"/>
          <a:ext cx="3343276" cy="16383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SEPA-XML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Hier moet de naam van het te genereren SEPA XML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worden ingevoerd. Het is een vrij in te voeren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tekstveld. Denk wel aan de algemene naamgevings-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conventies voor bestanden. De extensie moet .xml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zijn.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1219200</xdr:colOff>
      <xdr:row>23</xdr:row>
      <xdr:rowOff>19050</xdr:rowOff>
    </xdr:from>
    <xdr:to>
      <xdr:col>5</xdr:col>
      <xdr:colOff>1400175</xdr:colOff>
      <xdr:row>23</xdr:row>
      <xdr:rowOff>200025</xdr:rowOff>
    </xdr:to>
    <xdr:pic macro="[0]!OpenHelp">
      <xdr:nvPicPr>
        <xdr:cNvPr id="28" name="IHelpVTNaamBestand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7058025"/>
          <a:ext cx="180975" cy="180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18</xdr:row>
          <xdr:rowOff>19050</xdr:rowOff>
        </xdr:from>
        <xdr:to>
          <xdr:col>3</xdr:col>
          <xdr:colOff>295275</xdr:colOff>
          <xdr:row>19</xdr:row>
          <xdr:rowOff>38100</xdr:rowOff>
        </xdr:to>
        <xdr:sp macro="" textlink="">
          <xdr:nvSpPr>
            <xdr:cNvPr id="2049" name="svBB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1085850</xdr:colOff>
      <xdr:row>8</xdr:row>
      <xdr:rowOff>47625</xdr:rowOff>
    </xdr:from>
    <xdr:to>
      <xdr:col>10</xdr:col>
      <xdr:colOff>581026</xdr:colOff>
      <xdr:row>14</xdr:row>
      <xdr:rowOff>38100</xdr:rowOff>
    </xdr:to>
    <xdr:pic macro="[0]!HelpLogoZwartWit_Klikken">
      <xdr:nvPicPr>
        <xdr:cNvPr id="13" name="HelpLogoZwartWit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2152650"/>
          <a:ext cx="962025" cy="962025"/>
        </a:xfrm>
        <a:prstGeom prst="rect">
          <a:avLst/>
        </a:prstGeom>
        <a:effectLst/>
        <a:scene3d>
          <a:camera prst="orthographicFront"/>
          <a:lightRig rig="threePt" dir="t"/>
        </a:scene3d>
        <a:sp3d extrusionH="63500">
          <a:bevelB w="107950" h="114300"/>
        </a:sp3d>
      </xdr:spPr>
    </xdr:pic>
    <xdr:clientData/>
  </xdr:twoCellAnchor>
  <xdr:twoCellAnchor editAs="oneCell">
    <xdr:from>
      <xdr:col>9</xdr:col>
      <xdr:colOff>1085851</xdr:colOff>
      <xdr:row>8</xdr:row>
      <xdr:rowOff>47626</xdr:rowOff>
    </xdr:from>
    <xdr:to>
      <xdr:col>10</xdr:col>
      <xdr:colOff>581026</xdr:colOff>
      <xdr:row>14</xdr:row>
      <xdr:rowOff>38100</xdr:rowOff>
    </xdr:to>
    <xdr:pic macro="[0]!HelpLogoKleur_Klikken">
      <xdr:nvPicPr>
        <xdr:cNvPr id="5" name="HelpLogoKleu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2851" y="2152651"/>
          <a:ext cx="962024" cy="962024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16</xdr:row>
      <xdr:rowOff>180975</xdr:rowOff>
    </xdr:from>
    <xdr:to>
      <xdr:col>2</xdr:col>
      <xdr:colOff>1333500</xdr:colOff>
      <xdr:row>18</xdr:row>
      <xdr:rowOff>0</xdr:rowOff>
    </xdr:to>
    <xdr:sp macro="" textlink="">
      <xdr:nvSpPr>
        <xdr:cNvPr id="28" name="KopBicCodeBankBegunstigde"/>
        <xdr:cNvSpPr/>
      </xdr:nvSpPr>
      <xdr:spPr bwMode="auto">
        <a:xfrm>
          <a:off x="1095375" y="3581400"/>
          <a:ext cx="1333500" cy="638175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IBAN-nummer Begunstigde:</a:t>
          </a:r>
        </a:p>
      </xdr:txBody>
    </xdr:sp>
    <xdr:clientData/>
  </xdr:twoCellAnchor>
  <xdr:twoCellAnchor editAs="absolute">
    <xdr:from>
      <xdr:col>4</xdr:col>
      <xdr:colOff>23810</xdr:colOff>
      <xdr:row>16</xdr:row>
      <xdr:rowOff>180975</xdr:rowOff>
    </xdr:from>
    <xdr:to>
      <xdr:col>4</xdr:col>
      <xdr:colOff>814915</xdr:colOff>
      <xdr:row>18</xdr:row>
      <xdr:rowOff>0</xdr:rowOff>
    </xdr:to>
    <xdr:sp macro="" textlink="">
      <xdr:nvSpPr>
        <xdr:cNvPr id="29" name="KopBedrag"/>
        <xdr:cNvSpPr/>
      </xdr:nvSpPr>
      <xdr:spPr bwMode="auto">
        <a:xfrm>
          <a:off x="3537477" y="3535892"/>
          <a:ext cx="791105" cy="633941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Bedrag (EUR):</a:t>
          </a:r>
        </a:p>
      </xdr:txBody>
    </xdr:sp>
    <xdr:clientData/>
  </xdr:twoCellAnchor>
  <xdr:twoCellAnchor editAs="absolute">
    <xdr:from>
      <xdr:col>5</xdr:col>
      <xdr:colOff>7141</xdr:colOff>
      <xdr:row>16</xdr:row>
      <xdr:rowOff>180975</xdr:rowOff>
    </xdr:from>
    <xdr:to>
      <xdr:col>5</xdr:col>
      <xdr:colOff>1445416</xdr:colOff>
      <xdr:row>18</xdr:row>
      <xdr:rowOff>0</xdr:rowOff>
    </xdr:to>
    <xdr:sp macro="" textlink="">
      <xdr:nvSpPr>
        <xdr:cNvPr id="32" name="KopNaamBegunstigde"/>
        <xdr:cNvSpPr/>
      </xdr:nvSpPr>
      <xdr:spPr bwMode="auto">
        <a:xfrm>
          <a:off x="4356891" y="3535892"/>
          <a:ext cx="1438275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Naam Begunstigde:</a:t>
          </a:r>
        </a:p>
      </xdr:txBody>
    </xdr:sp>
    <xdr:clientData/>
  </xdr:twoCellAnchor>
  <xdr:twoCellAnchor editAs="absolute">
    <xdr:from>
      <xdr:col>6</xdr:col>
      <xdr:colOff>19047</xdr:colOff>
      <xdr:row>16</xdr:row>
      <xdr:rowOff>180975</xdr:rowOff>
    </xdr:from>
    <xdr:to>
      <xdr:col>6</xdr:col>
      <xdr:colOff>695322</xdr:colOff>
      <xdr:row>18</xdr:row>
      <xdr:rowOff>0</xdr:rowOff>
    </xdr:to>
    <xdr:sp macro="" textlink="">
      <xdr:nvSpPr>
        <xdr:cNvPr id="34" name="KopLandCode"/>
        <xdr:cNvSpPr/>
      </xdr:nvSpPr>
      <xdr:spPr bwMode="auto">
        <a:xfrm>
          <a:off x="5839880" y="3535892"/>
          <a:ext cx="676275" cy="633941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Land code:</a:t>
          </a:r>
        </a:p>
      </xdr:txBody>
    </xdr:sp>
    <xdr:clientData/>
  </xdr:twoCellAnchor>
  <xdr:twoCellAnchor editAs="absolute">
    <xdr:from>
      <xdr:col>7</xdr:col>
      <xdr:colOff>21428</xdr:colOff>
      <xdr:row>16</xdr:row>
      <xdr:rowOff>180975</xdr:rowOff>
    </xdr:from>
    <xdr:to>
      <xdr:col>7</xdr:col>
      <xdr:colOff>1888328</xdr:colOff>
      <xdr:row>18</xdr:row>
      <xdr:rowOff>0</xdr:rowOff>
    </xdr:to>
    <xdr:sp macro="" textlink="">
      <xdr:nvSpPr>
        <xdr:cNvPr id="35" name="KopAdres"/>
        <xdr:cNvSpPr/>
      </xdr:nvSpPr>
      <xdr:spPr bwMode="auto">
        <a:xfrm>
          <a:off x="6561928" y="3535892"/>
          <a:ext cx="1866900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Adres:</a:t>
          </a:r>
        </a:p>
      </xdr:txBody>
    </xdr:sp>
    <xdr:clientData/>
  </xdr:twoCellAnchor>
  <xdr:twoCellAnchor editAs="absolute">
    <xdr:from>
      <xdr:col>8</xdr:col>
      <xdr:colOff>14283</xdr:colOff>
      <xdr:row>16</xdr:row>
      <xdr:rowOff>180975</xdr:rowOff>
    </xdr:from>
    <xdr:to>
      <xdr:col>8</xdr:col>
      <xdr:colOff>1876422</xdr:colOff>
      <xdr:row>18</xdr:row>
      <xdr:rowOff>0</xdr:rowOff>
    </xdr:to>
    <xdr:sp macro="" textlink="">
      <xdr:nvSpPr>
        <xdr:cNvPr id="37" name="KopPostcodeWoonplaats"/>
        <xdr:cNvSpPr/>
      </xdr:nvSpPr>
      <xdr:spPr bwMode="auto">
        <a:xfrm>
          <a:off x="8470366" y="3535892"/>
          <a:ext cx="1862139" cy="633941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Postcode, woonplaats:</a:t>
          </a:r>
        </a:p>
      </xdr:txBody>
    </xdr:sp>
    <xdr:clientData/>
  </xdr:twoCellAnchor>
  <xdr:twoCellAnchor editAs="absolute">
    <xdr:from>
      <xdr:col>8</xdr:col>
      <xdr:colOff>1912140</xdr:colOff>
      <xdr:row>16</xdr:row>
      <xdr:rowOff>180975</xdr:rowOff>
    </xdr:from>
    <xdr:to>
      <xdr:col>9</xdr:col>
      <xdr:colOff>1435889</xdr:colOff>
      <xdr:row>18</xdr:row>
      <xdr:rowOff>0</xdr:rowOff>
    </xdr:to>
    <xdr:sp macro="" textlink="">
      <xdr:nvSpPr>
        <xdr:cNvPr id="38" name="KopTransactieIdentificatie"/>
        <xdr:cNvSpPr/>
      </xdr:nvSpPr>
      <xdr:spPr bwMode="auto">
        <a:xfrm>
          <a:off x="10368223" y="3535892"/>
          <a:ext cx="1439333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Transactie identficatie:</a:t>
          </a:r>
        </a:p>
      </xdr:txBody>
    </xdr:sp>
    <xdr:clientData/>
  </xdr:twoCellAnchor>
  <xdr:twoCellAnchor editAs="absolute">
    <xdr:from>
      <xdr:col>10</xdr:col>
      <xdr:colOff>9523</xdr:colOff>
      <xdr:row>16</xdr:row>
      <xdr:rowOff>180975</xdr:rowOff>
    </xdr:from>
    <xdr:to>
      <xdr:col>10</xdr:col>
      <xdr:colOff>1704973</xdr:colOff>
      <xdr:row>18</xdr:row>
      <xdr:rowOff>0</xdr:rowOff>
    </xdr:to>
    <xdr:sp macro="" textlink="">
      <xdr:nvSpPr>
        <xdr:cNvPr id="39" name="KopOmschrijvingBetalingRef"/>
        <xdr:cNvSpPr/>
      </xdr:nvSpPr>
      <xdr:spPr bwMode="auto">
        <a:xfrm>
          <a:off x="11852273" y="3535892"/>
          <a:ext cx="1695450" cy="633941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Omschrijving, Betalingsreferentie:</a:t>
          </a:r>
        </a:p>
      </xdr:txBody>
    </xdr:sp>
    <xdr:clientData/>
  </xdr:twoCellAnchor>
  <xdr:twoCellAnchor>
    <xdr:from>
      <xdr:col>8</xdr:col>
      <xdr:colOff>1323976</xdr:colOff>
      <xdr:row>1</xdr:row>
      <xdr:rowOff>85723</xdr:rowOff>
    </xdr:from>
    <xdr:to>
      <xdr:col>9</xdr:col>
      <xdr:colOff>847726</xdr:colOff>
      <xdr:row>8</xdr:row>
      <xdr:rowOff>46050</xdr:rowOff>
    </xdr:to>
    <xdr:grpSp>
      <xdr:nvGrpSpPr>
        <xdr:cNvPr id="16" name="knpSchonenTransacties"/>
        <xdr:cNvGrpSpPr/>
      </xdr:nvGrpSpPr>
      <xdr:grpSpPr>
        <a:xfrm>
          <a:off x="9773211" y="1060635"/>
          <a:ext cx="1439956" cy="1058503"/>
          <a:chOff x="9696451" y="1057273"/>
          <a:chExt cx="1438275" cy="1093802"/>
        </a:xfrm>
      </xdr:grpSpPr>
      <xdr:sp macro="[0]!wbTransacties.cmdSchoonTrans_Click" textlink="">
        <xdr:nvSpPr>
          <xdr:cNvPr id="8" name="OVSchonenTransacties"/>
          <xdr:cNvSpPr/>
        </xdr:nvSpPr>
        <xdr:spPr bwMode="auto">
          <a:xfrm>
            <a:off x="9896475" y="1057273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cmdSchoonTrans_Click">
        <xdr:nvPicPr>
          <xdr:cNvPr id="7" name="KringSchonenTransacties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7076" y="1089577"/>
            <a:ext cx="682253" cy="788382"/>
          </a:xfrm>
          <a:prstGeom prst="rect">
            <a:avLst/>
          </a:prstGeom>
        </xdr:spPr>
      </xdr:pic>
      <xdr:sp macro="[0]!wbTransacties.cmdSchoonTrans_Click" textlink="">
        <xdr:nvSpPr>
          <xdr:cNvPr id="14" name="TVSchonenTransacties"/>
          <xdr:cNvSpPr txBox="1"/>
        </xdr:nvSpPr>
        <xdr:spPr>
          <a:xfrm>
            <a:off x="9696451" y="1893900"/>
            <a:ext cx="143827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nl-NL" sz="1000" b="1" i="1">
                <a:latin typeface="+mn-lt"/>
              </a:rPr>
              <a:t>Schonen</a:t>
            </a:r>
            <a:r>
              <a:rPr lang="nl-NL" sz="1000" b="1" i="1" baseline="0">
                <a:latin typeface="+mn-lt"/>
              </a:rPr>
              <a:t> Transacties</a:t>
            </a:r>
            <a:endParaRPr lang="nl-NL" sz="1000" b="1" i="1">
              <a:latin typeface="+mn-lt"/>
            </a:endParaRPr>
          </a:p>
        </xdr:txBody>
      </xdr:sp>
    </xdr:grpSp>
    <xdr:clientData/>
  </xdr:twoCellAnchor>
  <xdr:twoCellAnchor>
    <xdr:from>
      <xdr:col>9</xdr:col>
      <xdr:colOff>990600</xdr:colOff>
      <xdr:row>1</xdr:row>
      <xdr:rowOff>85723</xdr:rowOff>
    </xdr:from>
    <xdr:to>
      <xdr:col>10</xdr:col>
      <xdr:colOff>962025</xdr:colOff>
      <xdr:row>8</xdr:row>
      <xdr:rowOff>46050</xdr:rowOff>
    </xdr:to>
    <xdr:grpSp>
      <xdr:nvGrpSpPr>
        <xdr:cNvPr id="17" name="knpSorterenTransacties"/>
        <xdr:cNvGrpSpPr/>
      </xdr:nvGrpSpPr>
      <xdr:grpSpPr>
        <a:xfrm>
          <a:off x="11356041" y="1060635"/>
          <a:ext cx="1439396" cy="1058503"/>
          <a:chOff x="11277600" y="1057273"/>
          <a:chExt cx="1438275" cy="1093802"/>
        </a:xfrm>
      </xdr:grpSpPr>
      <xdr:sp macro="[0]!wbTransacties.SorteerTransacties" textlink="">
        <xdr:nvSpPr>
          <xdr:cNvPr id="41" name="OVSorterenTransacties"/>
          <xdr:cNvSpPr/>
        </xdr:nvSpPr>
        <xdr:spPr bwMode="auto">
          <a:xfrm>
            <a:off x="11420475" y="1057273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SorteerTransacties">
        <xdr:nvPicPr>
          <xdr:cNvPr id="6" name="PuntSorterenTransacties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87089" y="1066489"/>
            <a:ext cx="682253" cy="788382"/>
          </a:xfrm>
          <a:prstGeom prst="rect">
            <a:avLst/>
          </a:prstGeom>
        </xdr:spPr>
      </xdr:pic>
      <xdr:sp macro="[0]!wbTransacties.SorteerTransacties" textlink="">
        <xdr:nvSpPr>
          <xdr:cNvPr id="47" name="TVSorterenTransacties"/>
          <xdr:cNvSpPr txBox="1"/>
        </xdr:nvSpPr>
        <xdr:spPr>
          <a:xfrm>
            <a:off x="11277600" y="1895475"/>
            <a:ext cx="1438275" cy="255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nl-NL" sz="1000" b="1" i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Sorteren</a:t>
            </a:r>
            <a:r>
              <a:rPr lang="nl-NL" sz="1000" b="1" i="1" baseline="0">
                <a:latin typeface="+mn-lt"/>
              </a:rPr>
              <a:t> </a:t>
            </a:r>
            <a:r>
              <a:rPr lang="nl-NL" sz="1000" b="1" i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Transacties</a:t>
            </a:r>
          </a:p>
        </xdr:txBody>
      </xdr:sp>
    </xdr:grpSp>
    <xdr:clientData/>
  </xdr:twoCellAnchor>
  <xdr:twoCellAnchor>
    <xdr:from>
      <xdr:col>8</xdr:col>
      <xdr:colOff>1562100</xdr:colOff>
      <xdr:row>8</xdr:row>
      <xdr:rowOff>123825</xdr:rowOff>
    </xdr:from>
    <xdr:to>
      <xdr:col>9</xdr:col>
      <xdr:colOff>479175</xdr:colOff>
      <xdr:row>13</xdr:row>
      <xdr:rowOff>145800</xdr:rowOff>
    </xdr:to>
    <xdr:sp macro="[0]!ExportXML" textlink="">
      <xdr:nvSpPr>
        <xdr:cNvPr id="42" name="OVGenererenSEPA"/>
        <xdr:cNvSpPr/>
      </xdr:nvSpPr>
      <xdr:spPr bwMode="auto">
        <a:xfrm>
          <a:off x="9925050" y="2228850"/>
          <a:ext cx="831600" cy="831600"/>
        </a:xfrm>
        <a:prstGeom prst="ellipse">
          <a:avLst/>
        </a:prstGeom>
        <a:solidFill>
          <a:srgbClr val="151515">
            <a:alpha val="50000"/>
          </a:srgbClr>
        </a:solidFill>
        <a:ln w="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/>
          <a:lightRig rig="threePt" dir="t"/>
        </a:scene3d>
        <a:sp3d extrusionH="76200">
          <a:bevelT/>
          <a:bevelB w="107950" h="114300"/>
          <a:extrusionClr>
            <a:schemeClr val="tx1"/>
          </a:extrusionClr>
        </a:sp3d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1651380</xdr:colOff>
      <xdr:row>8</xdr:row>
      <xdr:rowOff>146913</xdr:rowOff>
    </xdr:from>
    <xdr:to>
      <xdr:col>9</xdr:col>
      <xdr:colOff>419108</xdr:colOff>
      <xdr:row>13</xdr:row>
      <xdr:rowOff>125670</xdr:rowOff>
    </xdr:to>
    <xdr:pic macro="[0]!ExportXML">
      <xdr:nvPicPr>
        <xdr:cNvPr id="4" name="DiscGenererenSEPA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4330" y="2251938"/>
          <a:ext cx="682253" cy="788382"/>
        </a:xfrm>
        <a:prstGeom prst="rect">
          <a:avLst/>
        </a:prstGeom>
      </xdr:spPr>
    </xdr:pic>
    <xdr:clientData/>
  </xdr:twoCellAnchor>
  <xdr:twoCellAnchor>
    <xdr:from>
      <xdr:col>8</xdr:col>
      <xdr:colOff>1276351</xdr:colOff>
      <xdr:row>13</xdr:row>
      <xdr:rowOff>113024</xdr:rowOff>
    </xdr:from>
    <xdr:to>
      <xdr:col>9</xdr:col>
      <xdr:colOff>904876</xdr:colOff>
      <xdr:row>16</xdr:row>
      <xdr:rowOff>74924</xdr:rowOff>
    </xdr:to>
    <xdr:sp macro="" textlink="">
      <xdr:nvSpPr>
        <xdr:cNvPr id="48" name="TVGenererenSEPA"/>
        <xdr:cNvSpPr txBox="1"/>
      </xdr:nvSpPr>
      <xdr:spPr>
        <a:xfrm>
          <a:off x="9639301" y="3027674"/>
          <a:ext cx="154305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Genereren SEPA XML</a:t>
          </a:r>
          <a:br>
            <a:rPr lang="nl-NL" sz="1000" b="1" i="1">
              <a:latin typeface="+mn-lt"/>
            </a:rPr>
          </a:br>
          <a:r>
            <a:rPr lang="nl-NL" sz="1000" b="1" i="1">
              <a:latin typeface="+mn-lt"/>
            </a:rPr>
            <a:t>Europese</a:t>
          </a:r>
          <a:r>
            <a:rPr lang="nl-NL" sz="1000" b="1" i="1" baseline="0">
              <a:latin typeface="+mn-lt"/>
            </a:rPr>
            <a:t> betalingen</a:t>
          </a:r>
          <a:endParaRPr lang="nl-NL" sz="1000" b="1" i="1">
            <a:latin typeface="+mn-lt"/>
          </a:endParaRPr>
        </a:p>
      </xdr:txBody>
    </xdr:sp>
    <xdr:clientData/>
  </xdr:twoCellAnchor>
  <xdr:twoCellAnchor editAs="absolute">
    <xdr:from>
      <xdr:col>3</xdr:col>
      <xdr:colOff>2381</xdr:colOff>
      <xdr:row>16</xdr:row>
      <xdr:rowOff>180975</xdr:rowOff>
    </xdr:from>
    <xdr:to>
      <xdr:col>3</xdr:col>
      <xdr:colOff>1021556</xdr:colOff>
      <xdr:row>18</xdr:row>
      <xdr:rowOff>0</xdr:rowOff>
    </xdr:to>
    <xdr:sp macro="" textlink="">
      <xdr:nvSpPr>
        <xdr:cNvPr id="61" name="KopBICCodeBegunstigde"/>
        <xdr:cNvSpPr/>
      </xdr:nvSpPr>
      <xdr:spPr bwMode="auto">
        <a:xfrm>
          <a:off x="2469356" y="3581400"/>
          <a:ext cx="1019175" cy="6381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BIC-code bank Begunstigde:</a:t>
          </a:r>
        </a:p>
      </xdr:txBody>
    </xdr:sp>
    <xdr:clientData/>
  </xdr:twoCellAnchor>
  <xdr:twoCellAnchor>
    <xdr:from>
      <xdr:col>9</xdr:col>
      <xdr:colOff>866775</xdr:colOff>
      <xdr:row>14</xdr:row>
      <xdr:rowOff>0</xdr:rowOff>
    </xdr:from>
    <xdr:to>
      <xdr:col>10</xdr:col>
      <xdr:colOff>942975</xdr:colOff>
      <xdr:row>16</xdr:row>
      <xdr:rowOff>123825</xdr:rowOff>
    </xdr:to>
    <xdr:sp macro="" textlink="" fLocksText="0">
      <xdr:nvSpPr>
        <xdr:cNvPr id="63" name="TVTonenVerbergenHelp"/>
        <xdr:cNvSpPr txBox="1"/>
      </xdr:nvSpPr>
      <xdr:spPr>
        <a:xfrm>
          <a:off x="11153775" y="3076575"/>
          <a:ext cx="154305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Tonen Helpnavigatie</a:t>
          </a:r>
        </a:p>
      </xdr:txBody>
    </xdr:sp>
    <xdr:clientData/>
  </xdr:twoCellAnchor>
  <xdr:twoCellAnchor editAs="absolute">
    <xdr:from>
      <xdr:col>12</xdr:col>
      <xdr:colOff>47623</xdr:colOff>
      <xdr:row>16</xdr:row>
      <xdr:rowOff>180975</xdr:rowOff>
    </xdr:from>
    <xdr:to>
      <xdr:col>12</xdr:col>
      <xdr:colOff>721391</xdr:colOff>
      <xdr:row>18</xdr:row>
      <xdr:rowOff>0</xdr:rowOff>
    </xdr:to>
    <xdr:sp macro="" textlink="">
      <xdr:nvSpPr>
        <xdr:cNvPr id="75" name="KopOmschrijvingBetalingRef"/>
        <xdr:cNvSpPr/>
      </xdr:nvSpPr>
      <xdr:spPr bwMode="auto">
        <a:xfrm>
          <a:off x="14589123" y="3535892"/>
          <a:ext cx="673768" cy="633941"/>
        </a:xfrm>
        <a:prstGeom prst="rect">
          <a:avLst/>
        </a:prstGeom>
        <a:solidFill>
          <a:srgbClr val="020266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Validatie IBAN:</a:t>
          </a:r>
        </a:p>
      </xdr:txBody>
    </xdr:sp>
    <xdr:clientData/>
  </xdr:twoCellAnchor>
  <xdr:twoCellAnchor editAs="absolute">
    <xdr:from>
      <xdr:col>11</xdr:col>
      <xdr:colOff>28573</xdr:colOff>
      <xdr:row>16</xdr:row>
      <xdr:rowOff>180975</xdr:rowOff>
    </xdr:from>
    <xdr:to>
      <xdr:col>12</xdr:col>
      <xdr:colOff>9523</xdr:colOff>
      <xdr:row>18</xdr:row>
      <xdr:rowOff>0</xdr:rowOff>
    </xdr:to>
    <xdr:sp macro="" textlink="">
      <xdr:nvSpPr>
        <xdr:cNvPr id="103" name="KopTransactieIdentificatie"/>
        <xdr:cNvSpPr/>
      </xdr:nvSpPr>
      <xdr:spPr bwMode="auto">
        <a:xfrm>
          <a:off x="13585823" y="3535892"/>
          <a:ext cx="965200" cy="63394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Gewenste Verwerkings datum:</a:t>
          </a:r>
        </a:p>
      </xdr:txBody>
    </xdr:sp>
    <xdr:clientData/>
  </xdr:twoCellAnchor>
  <xdr:twoCellAnchor>
    <xdr:from>
      <xdr:col>1</xdr:col>
      <xdr:colOff>95250</xdr:colOff>
      <xdr:row>4</xdr:row>
      <xdr:rowOff>152401</xdr:rowOff>
    </xdr:from>
    <xdr:to>
      <xdr:col>7</xdr:col>
      <xdr:colOff>0</xdr:colOff>
      <xdr:row>6</xdr:row>
      <xdr:rowOff>152401</xdr:rowOff>
    </xdr:to>
    <xdr:sp macro="" textlink="">
      <xdr:nvSpPr>
        <xdr:cNvPr id="44" name="HGHelpVTNaamOpdrachtgever" hidden="1"/>
        <xdr:cNvSpPr/>
      </xdr:nvSpPr>
      <xdr:spPr bwMode="auto">
        <a:xfrm>
          <a:off x="1076325" y="1609726"/>
          <a:ext cx="538162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971549</xdr:colOff>
      <xdr:row>0</xdr:row>
      <xdr:rowOff>228600</xdr:rowOff>
    </xdr:from>
    <xdr:to>
      <xdr:col>9</xdr:col>
      <xdr:colOff>523875</xdr:colOff>
      <xdr:row>5</xdr:row>
      <xdr:rowOff>76200</xdr:rowOff>
    </xdr:to>
    <xdr:sp macro="[0]!SluitHelp" textlink="">
      <xdr:nvSpPr>
        <xdr:cNvPr id="56" name="HBHelpVTNaamOpdrachtgever" hidden="1"/>
        <xdr:cNvSpPr/>
      </xdr:nvSpPr>
      <xdr:spPr bwMode="auto">
        <a:xfrm>
          <a:off x="7429499" y="228600"/>
          <a:ext cx="3381376" cy="14668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naam van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toegestaan.De naam van de opdrachtgever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504825</xdr:colOff>
      <xdr:row>5</xdr:row>
      <xdr:rowOff>19050</xdr:rowOff>
    </xdr:from>
    <xdr:to>
      <xdr:col>6</xdr:col>
      <xdr:colOff>685800</xdr:colOff>
      <xdr:row>6</xdr:row>
      <xdr:rowOff>38100</xdr:rowOff>
    </xdr:to>
    <xdr:pic macro="[0]!OpenHelp">
      <xdr:nvPicPr>
        <xdr:cNvPr id="57" name="HelpVTNaamOpdrachtgever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16383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9</xdr:row>
      <xdr:rowOff>1</xdr:rowOff>
    </xdr:from>
    <xdr:to>
      <xdr:col>6</xdr:col>
      <xdr:colOff>0</xdr:colOff>
      <xdr:row>11</xdr:row>
      <xdr:rowOff>1</xdr:rowOff>
    </xdr:to>
    <xdr:sp macro="" textlink="">
      <xdr:nvSpPr>
        <xdr:cNvPr id="70" name="HGHelpVTBICCodeBank" hidden="1"/>
        <xdr:cNvSpPr/>
      </xdr:nvSpPr>
      <xdr:spPr bwMode="auto">
        <a:xfrm>
          <a:off x="1076325" y="2266951"/>
          <a:ext cx="46672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180973</xdr:colOff>
      <xdr:row>0</xdr:row>
      <xdr:rowOff>771525</xdr:rowOff>
    </xdr:from>
    <xdr:to>
      <xdr:col>8</xdr:col>
      <xdr:colOff>1647824</xdr:colOff>
      <xdr:row>9</xdr:row>
      <xdr:rowOff>104775</xdr:rowOff>
    </xdr:to>
    <xdr:sp macro="[0]!SluitHelp" textlink="">
      <xdr:nvSpPr>
        <xdr:cNvPr id="71" name="HBHelpVTBICCodeBank" hidden="1"/>
        <xdr:cNvSpPr/>
      </xdr:nvSpPr>
      <xdr:spPr bwMode="auto">
        <a:xfrm>
          <a:off x="6638923" y="771525"/>
          <a:ext cx="3381376" cy="160020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 Code Bank opdrachtgever.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BIC Code van de bank van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BIC staat voor "Bank Identifier Code". Deze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code wordt gebruikt voor grensoverschrijdend betalings-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verkeer. De code wordt gebruikt om een bank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identificeren.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1257299</xdr:colOff>
      <xdr:row>9</xdr:row>
      <xdr:rowOff>19050</xdr:rowOff>
    </xdr:from>
    <xdr:to>
      <xdr:col>5</xdr:col>
      <xdr:colOff>1438274</xdr:colOff>
      <xdr:row>10</xdr:row>
      <xdr:rowOff>38100</xdr:rowOff>
    </xdr:to>
    <xdr:pic macro="[0]!OpenHelp">
      <xdr:nvPicPr>
        <xdr:cNvPr id="72" name="HelpVTBICCodeBank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4024" y="2286000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495299</xdr:colOff>
      <xdr:row>0</xdr:row>
      <xdr:rowOff>928233</xdr:rowOff>
    </xdr:to>
    <xdr:pic>
      <xdr:nvPicPr>
        <xdr:cNvPr id="105" name="LogoTB">
          <a:hlinkClick xmlns:r="http://schemas.openxmlformats.org/officeDocument/2006/relationships" r:id="rId7" tooltip="Website TemplateBuilding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2274" cy="928233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16</xdr:row>
      <xdr:rowOff>171450</xdr:rowOff>
    </xdr:from>
    <xdr:to>
      <xdr:col>2</xdr:col>
      <xdr:colOff>1352550</xdr:colOff>
      <xdr:row>18</xdr:row>
      <xdr:rowOff>19049</xdr:rowOff>
    </xdr:to>
    <xdr:sp macro="" textlink="">
      <xdr:nvSpPr>
        <xdr:cNvPr id="81" name="HGHelpVTIBANNummerBegunstigde" hidden="1"/>
        <xdr:cNvSpPr/>
      </xdr:nvSpPr>
      <xdr:spPr bwMode="auto">
        <a:xfrm>
          <a:off x="1076325" y="3571875"/>
          <a:ext cx="137160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590547</xdr:colOff>
      <xdr:row>6</xdr:row>
      <xdr:rowOff>95250</xdr:rowOff>
    </xdr:from>
    <xdr:to>
      <xdr:col>6</xdr:col>
      <xdr:colOff>695323</xdr:colOff>
      <xdr:row>15</xdr:row>
      <xdr:rowOff>104775</xdr:rowOff>
    </xdr:to>
    <xdr:sp macro="[0]!SluitHelp" textlink="">
      <xdr:nvSpPr>
        <xdr:cNvPr id="82" name="HBHelpVTIBANNummerBegunstigde" hidden="1"/>
        <xdr:cNvSpPr/>
      </xdr:nvSpPr>
      <xdr:spPr bwMode="auto">
        <a:xfrm>
          <a:off x="3057522" y="1876425"/>
          <a:ext cx="3371851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begunstigde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correct IBAN nummer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(rekeningnummer)  van de ontvangende partij (crediteur).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dient geen spaties te bevatten.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2</xdr:col>
      <xdr:colOff>1162050</xdr:colOff>
      <xdr:row>16</xdr:row>
      <xdr:rowOff>190500</xdr:rowOff>
    </xdr:from>
    <xdr:to>
      <xdr:col>2</xdr:col>
      <xdr:colOff>1343025</xdr:colOff>
      <xdr:row>16</xdr:row>
      <xdr:rowOff>371475</xdr:rowOff>
    </xdr:to>
    <xdr:pic macro="[0]!OpenHelp">
      <xdr:nvPicPr>
        <xdr:cNvPr id="83" name="HelpVTIBANNummerBegunstigd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7425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7</xdr:row>
      <xdr:rowOff>1</xdr:rowOff>
    </xdr:from>
    <xdr:to>
      <xdr:col>7</xdr:col>
      <xdr:colOff>0</xdr:colOff>
      <xdr:row>9</xdr:row>
      <xdr:rowOff>1</xdr:rowOff>
    </xdr:to>
    <xdr:sp macro="" textlink="">
      <xdr:nvSpPr>
        <xdr:cNvPr id="64" name="HGHelpVTIbanNummer" hidden="1"/>
        <xdr:cNvSpPr/>
      </xdr:nvSpPr>
      <xdr:spPr bwMode="auto">
        <a:xfrm>
          <a:off x="1076325" y="1943101"/>
          <a:ext cx="538162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933448</xdr:colOff>
      <xdr:row>0</xdr:row>
      <xdr:rowOff>190500</xdr:rowOff>
    </xdr:from>
    <xdr:to>
      <xdr:col>9</xdr:col>
      <xdr:colOff>685799</xdr:colOff>
      <xdr:row>8</xdr:row>
      <xdr:rowOff>9525</xdr:rowOff>
    </xdr:to>
    <xdr:sp macro="[0]!SluitHelp" textlink="">
      <xdr:nvSpPr>
        <xdr:cNvPr id="65" name="HBHelpVTIbanNummer" hidden="1"/>
        <xdr:cNvSpPr/>
      </xdr:nvSpPr>
      <xdr:spPr bwMode="auto">
        <a:xfrm>
          <a:off x="7381873" y="190500"/>
          <a:ext cx="3581401" cy="19240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 (IBAN)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IBAN nummer (rekeningnummer)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opdrachtgever. IBAN staat voor "International Bank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Account Number" en is in feite een internationaal rekening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nummer en bestaat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maximaal 34 tekens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dient geen spaties te bevatten.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504825</xdr:colOff>
      <xdr:row>7</xdr:row>
      <xdr:rowOff>28575</xdr:rowOff>
    </xdr:from>
    <xdr:to>
      <xdr:col>6</xdr:col>
      <xdr:colOff>685800</xdr:colOff>
      <xdr:row>8</xdr:row>
      <xdr:rowOff>47625</xdr:rowOff>
    </xdr:to>
    <xdr:pic macro="[0]!OpenHelp">
      <xdr:nvPicPr>
        <xdr:cNvPr id="66" name="HelpVTIbanNummer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400" y="1971675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1362075</xdr:colOff>
      <xdr:row>16</xdr:row>
      <xdr:rowOff>171450</xdr:rowOff>
    </xdr:from>
    <xdr:to>
      <xdr:col>4</xdr:col>
      <xdr:colOff>0</xdr:colOff>
      <xdr:row>18</xdr:row>
      <xdr:rowOff>19049</xdr:rowOff>
    </xdr:to>
    <xdr:sp macro="" textlink="">
      <xdr:nvSpPr>
        <xdr:cNvPr id="87" name="HGHelpVTBICCodeBankBegunstigde" hidden="1"/>
        <xdr:cNvSpPr/>
      </xdr:nvSpPr>
      <xdr:spPr bwMode="auto">
        <a:xfrm>
          <a:off x="2457450" y="3571875"/>
          <a:ext cx="10477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4</xdr:col>
      <xdr:colOff>600072</xdr:colOff>
      <xdr:row>6</xdr:row>
      <xdr:rowOff>85725</xdr:rowOff>
    </xdr:from>
    <xdr:to>
      <xdr:col>7</xdr:col>
      <xdr:colOff>1038223</xdr:colOff>
      <xdr:row>15</xdr:row>
      <xdr:rowOff>95250</xdr:rowOff>
    </xdr:to>
    <xdr:sp macro="[0]!SluitHelp" textlink="">
      <xdr:nvSpPr>
        <xdr:cNvPr id="88" name="HBHelpVTBICCodeBankBegunstigde" hidden="1"/>
        <xdr:cNvSpPr/>
      </xdr:nvSpPr>
      <xdr:spPr bwMode="auto">
        <a:xfrm>
          <a:off x="4105272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BIC code bank begunstigde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Verplicht in te vullen correcte BIC code van de bank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(identificatie bank (filiaal))  van de ontvangende partij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(crediteur). 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endParaRPr lang="nl-NL" sz="1000">
            <a:effectLst/>
            <a:latin typeface="+mn-lt"/>
          </a:endParaRPr>
        </a:p>
        <a:p>
          <a:pPr algn="ctr"/>
          <a:r>
            <a:rPr lang="nl-NL" sz="1000" b="0" i="0" baseline="0">
              <a:solidFill>
                <a:srgbClr val="020266"/>
              </a:solidFill>
              <a:effectLst/>
              <a:latin typeface="+mn-lt"/>
              <a:ea typeface="+mn-ea"/>
              <a:cs typeface="+mn-cs"/>
            </a:rPr>
            <a:t>Klik op de toelichting om te sluiten</a:t>
          </a:r>
          <a:endParaRPr lang="nl-NL" sz="1000">
            <a:solidFill>
              <a:srgbClr val="020266"/>
            </a:solidFill>
            <a:effectLst/>
            <a:latin typeface="+mn-lt"/>
          </a:endParaRPr>
        </a:p>
      </xdr:txBody>
    </xdr:sp>
    <xdr:clientData/>
  </xdr:twoCellAnchor>
  <xdr:twoCellAnchor editAs="oneCell">
    <xdr:from>
      <xdr:col>3</xdr:col>
      <xdr:colOff>847725</xdr:colOff>
      <xdr:row>16</xdr:row>
      <xdr:rowOff>190500</xdr:rowOff>
    </xdr:from>
    <xdr:to>
      <xdr:col>3</xdr:col>
      <xdr:colOff>1028700</xdr:colOff>
      <xdr:row>16</xdr:row>
      <xdr:rowOff>371475</xdr:rowOff>
    </xdr:to>
    <xdr:pic macro="[0]!OpenHelp">
      <xdr:nvPicPr>
        <xdr:cNvPr id="89" name="HelpVTBICCodeBankBegunstigd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4</xdr:col>
      <xdr:colOff>826556</xdr:colOff>
      <xdr:row>16</xdr:row>
      <xdr:rowOff>171450</xdr:rowOff>
    </xdr:from>
    <xdr:to>
      <xdr:col>6</xdr:col>
      <xdr:colOff>0</xdr:colOff>
      <xdr:row>18</xdr:row>
      <xdr:rowOff>19049</xdr:rowOff>
    </xdr:to>
    <xdr:sp macro="" textlink="">
      <xdr:nvSpPr>
        <xdr:cNvPr id="96" name="HGHelpVTNaamBegunstigde" hidden="1"/>
        <xdr:cNvSpPr/>
      </xdr:nvSpPr>
      <xdr:spPr bwMode="auto">
        <a:xfrm>
          <a:off x="4340223" y="3526367"/>
          <a:ext cx="1480610" cy="66251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542923</xdr:colOff>
      <xdr:row>6</xdr:row>
      <xdr:rowOff>76200</xdr:rowOff>
    </xdr:from>
    <xdr:to>
      <xdr:col>8</xdr:col>
      <xdr:colOff>1295399</xdr:colOff>
      <xdr:row>15</xdr:row>
      <xdr:rowOff>85725</xdr:rowOff>
    </xdr:to>
    <xdr:sp macro="[0]!SluitHelp" textlink="">
      <xdr:nvSpPr>
        <xdr:cNvPr id="97" name="HBHelpVTNaamBegunstigde" hidden="1"/>
        <xdr:cNvSpPr/>
      </xdr:nvSpPr>
      <xdr:spPr bwMode="auto">
        <a:xfrm>
          <a:off x="6276973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begunstigde partij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crediteur.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toegestaan.De naam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begunstigde (crediteur)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langer zijn dan 70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1254919</xdr:colOff>
      <xdr:row>16</xdr:row>
      <xdr:rowOff>190500</xdr:rowOff>
    </xdr:from>
    <xdr:to>
      <xdr:col>5</xdr:col>
      <xdr:colOff>1435894</xdr:colOff>
      <xdr:row>16</xdr:row>
      <xdr:rowOff>371475</xdr:rowOff>
    </xdr:to>
    <xdr:pic macro="[0]!OpenHelp">
      <xdr:nvPicPr>
        <xdr:cNvPr id="98" name="HelpVTNaamBegunstigd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2119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16</xdr:row>
      <xdr:rowOff>171450</xdr:rowOff>
    </xdr:from>
    <xdr:to>
      <xdr:col>4</xdr:col>
      <xdr:colOff>825500</xdr:colOff>
      <xdr:row>18</xdr:row>
      <xdr:rowOff>19049</xdr:rowOff>
    </xdr:to>
    <xdr:sp macro="" textlink="">
      <xdr:nvSpPr>
        <xdr:cNvPr id="93" name="HGHelpVTBedrag" hidden="1"/>
        <xdr:cNvSpPr/>
      </xdr:nvSpPr>
      <xdr:spPr bwMode="auto">
        <a:xfrm>
          <a:off x="3513667" y="3526367"/>
          <a:ext cx="825500" cy="66251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600072</xdr:colOff>
      <xdr:row>5</xdr:row>
      <xdr:rowOff>0</xdr:rowOff>
    </xdr:from>
    <xdr:to>
      <xdr:col>7</xdr:col>
      <xdr:colOff>1800223</xdr:colOff>
      <xdr:row>15</xdr:row>
      <xdr:rowOff>95250</xdr:rowOff>
    </xdr:to>
    <xdr:sp macro="[0]!SluitHelp" textlink="">
      <xdr:nvSpPr>
        <xdr:cNvPr id="94" name="HBHelpVTBedrag" hidden="1"/>
        <xdr:cNvSpPr/>
      </xdr:nvSpPr>
      <xdr:spPr bwMode="auto">
        <a:xfrm>
          <a:off x="4867272" y="1619250"/>
          <a:ext cx="3381376" cy="171450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betalen bedrag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te betalen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bedrag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(te betalen)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ingevulde bedrag wordt gecontroleerd aan de hand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limietbedragen die in het werkblad Instellingen zijn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opgegeven. Valt het ingevoerde bedrag buiten dit bereik,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dan wordt het gegeven veld rood gekleurd.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615948</xdr:colOff>
      <xdr:row>16</xdr:row>
      <xdr:rowOff>190500</xdr:rowOff>
    </xdr:from>
    <xdr:to>
      <xdr:col>4</xdr:col>
      <xdr:colOff>796923</xdr:colOff>
      <xdr:row>16</xdr:row>
      <xdr:rowOff>371475</xdr:rowOff>
    </xdr:to>
    <xdr:pic macro="[0]!OpenHelp">
      <xdr:nvPicPr>
        <xdr:cNvPr id="95" name="HelpVTBedrag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9615" y="3545417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13</xdr:row>
      <xdr:rowOff>152402</xdr:rowOff>
    </xdr:from>
    <xdr:to>
      <xdr:col>5</xdr:col>
      <xdr:colOff>0</xdr:colOff>
      <xdr:row>15</xdr:row>
      <xdr:rowOff>152402</xdr:rowOff>
    </xdr:to>
    <xdr:sp macro="" textlink="">
      <xdr:nvSpPr>
        <xdr:cNvPr id="78" name="HGHelpVTEigenKenmerk" hidden="1"/>
        <xdr:cNvSpPr/>
      </xdr:nvSpPr>
      <xdr:spPr bwMode="auto">
        <a:xfrm>
          <a:off x="1076325" y="3067052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895347</xdr:colOff>
      <xdr:row>4</xdr:row>
      <xdr:rowOff>95250</xdr:rowOff>
    </xdr:from>
    <xdr:to>
      <xdr:col>8</xdr:col>
      <xdr:colOff>180973</xdr:colOff>
      <xdr:row>14</xdr:row>
      <xdr:rowOff>85725</xdr:rowOff>
    </xdr:to>
    <xdr:sp macro="[0]!SluitHelp" textlink="">
      <xdr:nvSpPr>
        <xdr:cNvPr id="79" name="HBHelpVTEigenKenmerk" hidden="1"/>
        <xdr:cNvSpPr/>
      </xdr:nvSpPr>
      <xdr:spPr bwMode="auto">
        <a:xfrm>
          <a:off x="5172072" y="1552575"/>
          <a:ext cx="3381376" cy="1609725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Eigen Kenmerk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eigen kenmerk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code moet 3 karakters lang zijn en wordt gebruikt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onderdeel van verschillende automatisch gegenereerde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identificaties.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614890</xdr:colOff>
      <xdr:row>14</xdr:row>
      <xdr:rowOff>19051</xdr:rowOff>
    </xdr:from>
    <xdr:to>
      <xdr:col>4</xdr:col>
      <xdr:colOff>795865</xdr:colOff>
      <xdr:row>15</xdr:row>
      <xdr:rowOff>38101</xdr:rowOff>
    </xdr:to>
    <xdr:pic macro="[0]!OpenHelp">
      <xdr:nvPicPr>
        <xdr:cNvPr id="80" name="HelpVTEigenKenmerk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8557" y="3056468"/>
          <a:ext cx="180975" cy="177800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11</xdr:row>
      <xdr:rowOff>152400</xdr:rowOff>
    </xdr:from>
    <xdr:to>
      <xdr:col>5</xdr:col>
      <xdr:colOff>0</xdr:colOff>
      <xdr:row>13</xdr:row>
      <xdr:rowOff>152400</xdr:rowOff>
    </xdr:to>
    <xdr:sp macro="" textlink="">
      <xdr:nvSpPr>
        <xdr:cNvPr id="73" name="HGHelpVTLandCode" hidden="1"/>
        <xdr:cNvSpPr/>
      </xdr:nvSpPr>
      <xdr:spPr bwMode="auto">
        <a:xfrm>
          <a:off x="1076325" y="2743200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885825</xdr:colOff>
      <xdr:row>3</xdr:row>
      <xdr:rowOff>47625</xdr:rowOff>
    </xdr:from>
    <xdr:to>
      <xdr:col>8</xdr:col>
      <xdr:colOff>171451</xdr:colOff>
      <xdr:row>12</xdr:row>
      <xdr:rowOff>57150</xdr:rowOff>
    </xdr:to>
    <xdr:sp macro="[0]!SluitHelp" textlink="">
      <xdr:nvSpPr>
        <xdr:cNvPr id="77" name="HBHelpVTLandCode" hidden="1"/>
        <xdr:cNvSpPr/>
      </xdr:nvSpPr>
      <xdr:spPr bwMode="auto">
        <a:xfrm>
          <a:off x="5162550" y="1343025"/>
          <a:ext cx="3381376" cy="146685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land opdrachtgever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te vullen landcode. De landcode moet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voorkomen in de landentabel (2 alfanumerieke tekens).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Er dient een bestaande code uit de keuzelijst te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geselecteerd.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614889</xdr:colOff>
      <xdr:row>12</xdr:row>
      <xdr:rowOff>19049</xdr:rowOff>
    </xdr:from>
    <xdr:to>
      <xdr:col>4</xdr:col>
      <xdr:colOff>795864</xdr:colOff>
      <xdr:row>13</xdr:row>
      <xdr:rowOff>38099</xdr:rowOff>
    </xdr:to>
    <xdr:pic macro="[0]!OpenHelp">
      <xdr:nvPicPr>
        <xdr:cNvPr id="74" name="HelpVTLandCode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8556" y="2738966"/>
          <a:ext cx="180975" cy="1778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16</xdr:row>
      <xdr:rowOff>171450</xdr:rowOff>
    </xdr:from>
    <xdr:to>
      <xdr:col>6</xdr:col>
      <xdr:colOff>704849</xdr:colOff>
      <xdr:row>18</xdr:row>
      <xdr:rowOff>19049</xdr:rowOff>
    </xdr:to>
    <xdr:sp macro="" textlink="">
      <xdr:nvSpPr>
        <xdr:cNvPr id="99" name="HGHelpVTLandCodeBegunstigde" hidden="1"/>
        <xdr:cNvSpPr/>
      </xdr:nvSpPr>
      <xdr:spPr bwMode="auto">
        <a:xfrm>
          <a:off x="5743574" y="3571875"/>
          <a:ext cx="695325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581022</xdr:colOff>
      <xdr:row>6</xdr:row>
      <xdr:rowOff>85725</xdr:rowOff>
    </xdr:from>
    <xdr:to>
      <xdr:col>9</xdr:col>
      <xdr:colOff>133348</xdr:colOff>
      <xdr:row>15</xdr:row>
      <xdr:rowOff>95250</xdr:rowOff>
    </xdr:to>
    <xdr:sp macro="[0]!SluitHelp" textlink="">
      <xdr:nvSpPr>
        <xdr:cNvPr id="100" name="HBHelpVTLandCodeBegunstigde" hidden="1"/>
        <xdr:cNvSpPr/>
      </xdr:nvSpPr>
      <xdr:spPr bwMode="auto">
        <a:xfrm>
          <a:off x="7029447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Landcode land ontvangende partij (crediteur)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Optioneel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in te vullen landcode. De landcode moet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voorkomen in de landentabel (2 alfanumerieke tekens). 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De code moet hier handmatig worden ingevoerd.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502443</xdr:colOff>
      <xdr:row>16</xdr:row>
      <xdr:rowOff>190500</xdr:rowOff>
    </xdr:from>
    <xdr:to>
      <xdr:col>6</xdr:col>
      <xdr:colOff>683418</xdr:colOff>
      <xdr:row>16</xdr:row>
      <xdr:rowOff>371475</xdr:rowOff>
    </xdr:to>
    <xdr:pic macro="[0]!OpenHelp">
      <xdr:nvPicPr>
        <xdr:cNvPr id="101" name="HelpVTLandCodeBegunstigd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6493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6</xdr:col>
      <xdr:colOff>704850</xdr:colOff>
      <xdr:row>16</xdr:row>
      <xdr:rowOff>171450</xdr:rowOff>
    </xdr:from>
    <xdr:to>
      <xdr:col>7</xdr:col>
      <xdr:colOff>1876425</xdr:colOff>
      <xdr:row>18</xdr:row>
      <xdr:rowOff>19049</xdr:rowOff>
    </xdr:to>
    <xdr:sp macro="" textlink="">
      <xdr:nvSpPr>
        <xdr:cNvPr id="58" name="HGHelpVTAdresBegunstigde" hidden="1"/>
        <xdr:cNvSpPr/>
      </xdr:nvSpPr>
      <xdr:spPr bwMode="auto">
        <a:xfrm>
          <a:off x="6438900" y="3571875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561972</xdr:colOff>
      <xdr:row>6</xdr:row>
      <xdr:rowOff>85725</xdr:rowOff>
    </xdr:from>
    <xdr:to>
      <xdr:col>10</xdr:col>
      <xdr:colOff>561973</xdr:colOff>
      <xdr:row>15</xdr:row>
      <xdr:rowOff>95250</xdr:rowOff>
    </xdr:to>
    <xdr:sp macro="[0]!SluitHelp" textlink="">
      <xdr:nvSpPr>
        <xdr:cNvPr id="59" name="HBHelpVTAdresBegunstigde" hidden="1"/>
        <xdr:cNvSpPr/>
      </xdr:nvSpPr>
      <xdr:spPr bwMode="auto">
        <a:xfrm>
          <a:off x="8924922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 ontvangende partij 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 in te vullen adresregel van de crediteur.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  Geef hier bijv.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langer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1685925</xdr:colOff>
      <xdr:row>16</xdr:row>
      <xdr:rowOff>190500</xdr:rowOff>
    </xdr:from>
    <xdr:to>
      <xdr:col>7</xdr:col>
      <xdr:colOff>1866900</xdr:colOff>
      <xdr:row>16</xdr:row>
      <xdr:rowOff>371475</xdr:rowOff>
    </xdr:to>
    <xdr:pic macro="[0]!OpenHelp">
      <xdr:nvPicPr>
        <xdr:cNvPr id="60" name="HelpVTAdresBegunstigd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7</xdr:col>
      <xdr:colOff>1906061</xdr:colOff>
      <xdr:row>16</xdr:row>
      <xdr:rowOff>171450</xdr:rowOff>
    </xdr:from>
    <xdr:to>
      <xdr:col>8</xdr:col>
      <xdr:colOff>1877486</xdr:colOff>
      <xdr:row>18</xdr:row>
      <xdr:rowOff>19049</xdr:rowOff>
    </xdr:to>
    <xdr:sp macro="" textlink="">
      <xdr:nvSpPr>
        <xdr:cNvPr id="62" name="HGHelpVTPCWPBegunstigde" hidden="1"/>
        <xdr:cNvSpPr/>
      </xdr:nvSpPr>
      <xdr:spPr bwMode="auto">
        <a:xfrm>
          <a:off x="8446561" y="3526367"/>
          <a:ext cx="1887008" cy="66251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238125</xdr:colOff>
      <xdr:row>6</xdr:row>
      <xdr:rowOff>76200</xdr:rowOff>
    </xdr:from>
    <xdr:to>
      <xdr:col>8</xdr:col>
      <xdr:colOff>1704976</xdr:colOff>
      <xdr:row>15</xdr:row>
      <xdr:rowOff>85725</xdr:rowOff>
    </xdr:to>
    <xdr:sp macro="[0]!SluitHelp" textlink="">
      <xdr:nvSpPr>
        <xdr:cNvPr id="67" name="HBHelpVTPCWPBegunstigde" hidden="1"/>
        <xdr:cNvSpPr/>
      </xdr:nvSpPr>
      <xdr:spPr bwMode="auto">
        <a:xfrm>
          <a:off x="6686550" y="1857375"/>
          <a:ext cx="3381376" cy="1466850"/>
        </a:xfrm>
        <a:prstGeom prst="wedgeRoundRectCallout">
          <a:avLst>
            <a:gd name="adj1" fmla="val 53385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Adres ontvangende partij (vrij tekstveld (UTF-8))</a:t>
          </a:r>
          <a:r>
            <a:rPr lang="nl-NL" sz="1000" b="0" i="0" baseline="0">
              <a:effectLst/>
              <a:latin typeface="+mn-lt"/>
              <a:ea typeface="+mn-ea"/>
              <a:cs typeface="+mn-cs"/>
            </a:rPr>
            <a:t>. 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Optioneel in te vullen adresregel van de crediteur.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Alleen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UTF-8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karakterset is toegestaan.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     Geef hier bijv. &lt;postcode&gt; &lt;woonplaats&gt;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langer dan 70 karakters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!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8</xdr:col>
      <xdr:colOff>1676403</xdr:colOff>
      <xdr:row>16</xdr:row>
      <xdr:rowOff>190500</xdr:rowOff>
    </xdr:from>
    <xdr:to>
      <xdr:col>8</xdr:col>
      <xdr:colOff>1857378</xdr:colOff>
      <xdr:row>16</xdr:row>
      <xdr:rowOff>371475</xdr:rowOff>
    </xdr:to>
    <xdr:pic macro="[0]!OpenHelp">
      <xdr:nvPicPr>
        <xdr:cNvPr id="68" name="HelpVTPCWPBegunstigd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9353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8</xdr:col>
      <xdr:colOff>1885953</xdr:colOff>
      <xdr:row>16</xdr:row>
      <xdr:rowOff>171450</xdr:rowOff>
    </xdr:from>
    <xdr:to>
      <xdr:col>9</xdr:col>
      <xdr:colOff>1438278</xdr:colOff>
      <xdr:row>18</xdr:row>
      <xdr:rowOff>19049</xdr:rowOff>
    </xdr:to>
    <xdr:sp macro="" textlink="">
      <xdr:nvSpPr>
        <xdr:cNvPr id="84" name="HGHelpVTRIdentificatie" hidden="1"/>
        <xdr:cNvSpPr/>
      </xdr:nvSpPr>
      <xdr:spPr bwMode="auto">
        <a:xfrm>
          <a:off x="10248903" y="3571875"/>
          <a:ext cx="14668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7</xdr:col>
      <xdr:colOff>1162050</xdr:colOff>
      <xdr:row>6</xdr:row>
      <xdr:rowOff>57150</xdr:rowOff>
    </xdr:from>
    <xdr:to>
      <xdr:col>9</xdr:col>
      <xdr:colOff>714376</xdr:colOff>
      <xdr:row>15</xdr:row>
      <xdr:rowOff>66675</xdr:rowOff>
    </xdr:to>
    <xdr:sp macro="[0]!SluitHelp" textlink="">
      <xdr:nvSpPr>
        <xdr:cNvPr id="85" name="HBHelpVTRIdentificatie" hidden="1"/>
        <xdr:cNvSpPr/>
      </xdr:nvSpPr>
      <xdr:spPr bwMode="auto">
        <a:xfrm>
          <a:off x="7610475" y="1838325"/>
          <a:ext cx="3381376" cy="1466850"/>
        </a:xfrm>
        <a:prstGeom prst="wedgeRoundRectCallout">
          <a:avLst>
            <a:gd name="adj1" fmla="val 70850"/>
            <a:gd name="adj2" fmla="val 6763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identficatie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identificatie van de transactie (regel).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identificatie wordt toegekend door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Maximum lengte is 35 karakters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Minimum lengte is 1 karakter.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9</xdr:col>
      <xdr:colOff>1238253</xdr:colOff>
      <xdr:row>16</xdr:row>
      <xdr:rowOff>190500</xdr:rowOff>
    </xdr:from>
    <xdr:to>
      <xdr:col>9</xdr:col>
      <xdr:colOff>1419228</xdr:colOff>
      <xdr:row>16</xdr:row>
      <xdr:rowOff>371475</xdr:rowOff>
    </xdr:to>
    <xdr:pic macro="[0]!OpenHelp">
      <xdr:nvPicPr>
        <xdr:cNvPr id="86" name="HelpVTRIdentificatie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728" y="3590925"/>
          <a:ext cx="180975" cy="180975"/>
        </a:xfrm>
        <a:prstGeom prst="rect">
          <a:avLst/>
        </a:prstGeom>
      </xdr:spPr>
    </xdr:pic>
    <xdr:clientData/>
  </xdr:twoCellAnchor>
  <xdr:twoCellAnchor>
    <xdr:from>
      <xdr:col>9</xdr:col>
      <xdr:colOff>1457327</xdr:colOff>
      <xdr:row>16</xdr:row>
      <xdr:rowOff>171450</xdr:rowOff>
    </xdr:from>
    <xdr:to>
      <xdr:col>10</xdr:col>
      <xdr:colOff>1704974</xdr:colOff>
      <xdr:row>18</xdr:row>
      <xdr:rowOff>19049</xdr:rowOff>
    </xdr:to>
    <xdr:sp macro="" textlink="">
      <xdr:nvSpPr>
        <xdr:cNvPr id="90" name="HGHelpVTOmschrijving" hidden="1"/>
        <xdr:cNvSpPr/>
      </xdr:nvSpPr>
      <xdr:spPr bwMode="auto">
        <a:xfrm>
          <a:off x="11734802" y="3571875"/>
          <a:ext cx="1714497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523875</xdr:colOff>
      <xdr:row>5</xdr:row>
      <xdr:rowOff>95250</xdr:rowOff>
    </xdr:from>
    <xdr:to>
      <xdr:col>10</xdr:col>
      <xdr:colOff>523876</xdr:colOff>
      <xdr:row>15</xdr:row>
      <xdr:rowOff>76200</xdr:rowOff>
    </xdr:to>
    <xdr:sp macro="[0]!SluitHelp" textlink="">
      <xdr:nvSpPr>
        <xdr:cNvPr id="91" name="HBHelpVTOmschrijving" hidden="1"/>
        <xdr:cNvSpPr/>
      </xdr:nvSpPr>
      <xdr:spPr bwMode="auto">
        <a:xfrm>
          <a:off x="8886825" y="1714500"/>
          <a:ext cx="3381376" cy="1600200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Omschrijving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omschrijving, betalingsreferentie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transactie. Over de invulling kunnen tussen crediteur 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debiteur afspraken worden gemaakt.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Maximaal 140 karakters lang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Minimaal 1 karakter lang.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10</xdr:col>
      <xdr:colOff>1504953</xdr:colOff>
      <xdr:row>16</xdr:row>
      <xdr:rowOff>200025</xdr:rowOff>
    </xdr:from>
    <xdr:to>
      <xdr:col>10</xdr:col>
      <xdr:colOff>1685928</xdr:colOff>
      <xdr:row>16</xdr:row>
      <xdr:rowOff>381000</xdr:rowOff>
    </xdr:to>
    <xdr:pic macro="[0]!OpenHelp">
      <xdr:nvPicPr>
        <xdr:cNvPr id="92" name="HelpVTOmschrijving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8" y="3600450"/>
          <a:ext cx="180975" cy="180975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16</xdr:row>
      <xdr:rowOff>171450</xdr:rowOff>
    </xdr:from>
    <xdr:to>
      <xdr:col>12</xdr:col>
      <xdr:colOff>9524</xdr:colOff>
      <xdr:row>18</xdr:row>
      <xdr:rowOff>19049</xdr:rowOff>
    </xdr:to>
    <xdr:sp macro="" textlink="">
      <xdr:nvSpPr>
        <xdr:cNvPr id="76" name="HGHelpVTGewVerwerkingsdatum" hidden="1"/>
        <xdr:cNvSpPr/>
      </xdr:nvSpPr>
      <xdr:spPr bwMode="auto">
        <a:xfrm>
          <a:off x="13468350" y="3571875"/>
          <a:ext cx="981074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1257300</xdr:colOff>
      <xdr:row>0</xdr:row>
      <xdr:rowOff>832184</xdr:rowOff>
    </xdr:from>
    <xdr:to>
      <xdr:col>10</xdr:col>
      <xdr:colOff>1362076</xdr:colOff>
      <xdr:row>15</xdr:row>
      <xdr:rowOff>38100</xdr:rowOff>
    </xdr:to>
    <xdr:sp macro="[0]!SluitHelp" textlink="">
      <xdr:nvSpPr>
        <xdr:cNvPr id="111" name="HBHelpVTGewVerwerkingsdatum" hidden="1"/>
        <xdr:cNvSpPr/>
      </xdr:nvSpPr>
      <xdr:spPr bwMode="auto">
        <a:xfrm>
          <a:off x="9619247" y="832184"/>
          <a:ext cx="3483645" cy="2424363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Geef hier de datum op waarop de daadwerkelijke actie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door de bank moet worden uitgevoerd. Als deze datum leeg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gelaten, dan wordt bij het genereren van de SEPA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betalingsbatch de gewenste verwerkingsdatum gebruikt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 in het werkblad Instellingen (ReqdExctnDt) staat 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ingevuld. De datum mag niet meer dan 364 dagen in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toekomst liggen. Een datum in het verleden of een ongeldige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wordt aangepast en veranderd in de eerst mogelijke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verwerkingsdatum.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11</xdr:col>
      <xdr:colOff>819153</xdr:colOff>
      <xdr:row>16</xdr:row>
      <xdr:rowOff>200025</xdr:rowOff>
    </xdr:from>
    <xdr:ext cx="180975" cy="180975"/>
    <xdr:pic macro="[0]!OpenHelp">
      <xdr:nvPicPr>
        <xdr:cNvPr id="102" name="HelpVTGewVerwerkingsdatum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8" y="3600450"/>
          <a:ext cx="180975" cy="180975"/>
        </a:xfrm>
        <a:prstGeom prst="rect">
          <a:avLst/>
        </a:prstGeom>
      </xdr:spPr>
    </xdr:pic>
    <xdr:clientData/>
  </xdr:oneCellAnchor>
  <xdr:twoCellAnchor>
    <xdr:from>
      <xdr:col>12</xdr:col>
      <xdr:colOff>50130</xdr:colOff>
      <xdr:row>16</xdr:row>
      <xdr:rowOff>171450</xdr:rowOff>
    </xdr:from>
    <xdr:to>
      <xdr:col>12</xdr:col>
      <xdr:colOff>731921</xdr:colOff>
      <xdr:row>18</xdr:row>
      <xdr:rowOff>19049</xdr:rowOff>
    </xdr:to>
    <xdr:sp macro="" textlink="">
      <xdr:nvSpPr>
        <xdr:cNvPr id="110" name="HGHelpVTValidatieIBAN" hidden="1"/>
        <xdr:cNvSpPr/>
      </xdr:nvSpPr>
      <xdr:spPr bwMode="auto">
        <a:xfrm>
          <a:off x="14488025" y="3550318"/>
          <a:ext cx="681791" cy="66975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114300</xdr:colOff>
      <xdr:row>1</xdr:row>
      <xdr:rowOff>152400</xdr:rowOff>
    </xdr:from>
    <xdr:to>
      <xdr:col>11</xdr:col>
      <xdr:colOff>431801</xdr:colOff>
      <xdr:row>14</xdr:row>
      <xdr:rowOff>149224</xdr:rowOff>
    </xdr:to>
    <xdr:sp macro="[0]!SluitHelp" textlink="">
      <xdr:nvSpPr>
        <xdr:cNvPr id="106" name="HBHelpVTValidatieIBAN" hidden="1"/>
        <xdr:cNvSpPr/>
      </xdr:nvSpPr>
      <xdr:spPr bwMode="auto">
        <a:xfrm>
          <a:off x="10391775" y="1123950"/>
          <a:ext cx="3498851" cy="2101849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Validatie Checksum IBANnummer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Bij de aanlevering van het gegeneerde SEPA betalingen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zal er door de bank op formaat en correctheid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aangeleverde rekeningnummers een controle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uitvoeren. De controle op de checksum in het IBAN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nummer is hier als ondersteunende formule bij de invoer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opgenomen. Groen is correct, rood is foutief.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Groen   -&gt; checksum IBANnummer geslaagd.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Rood is -&gt; checksum IBANnummer mislukt.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/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12</xdr:col>
      <xdr:colOff>523878</xdr:colOff>
      <xdr:row>16</xdr:row>
      <xdr:rowOff>200025</xdr:rowOff>
    </xdr:from>
    <xdr:to>
      <xdr:col>12</xdr:col>
      <xdr:colOff>704853</xdr:colOff>
      <xdr:row>16</xdr:row>
      <xdr:rowOff>381000</xdr:rowOff>
    </xdr:to>
    <xdr:pic macro="[0]!OpenHelp">
      <xdr:nvPicPr>
        <xdr:cNvPr id="112" name="HelpVTValidatieIBAN" hidden="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3778" y="3600450"/>
          <a:ext cx="180975" cy="180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1028700</xdr:colOff>
          <xdr:row>12</xdr:row>
          <xdr:rowOff>57150</xdr:rowOff>
        </xdr:from>
        <xdr:to>
          <xdr:col>4</xdr:col>
          <xdr:colOff>561975</xdr:colOff>
          <xdr:row>13</xdr:row>
          <xdr:rowOff>152400</xdr:rowOff>
        </xdr:to>
        <xdr:sp macro="" textlink="">
          <xdr:nvSpPr>
            <xdr:cNvPr id="11112" name="cmbLandenCode" hidden="1">
              <a:extLst>
                <a:ext uri="{63B3BB69-23CF-44E3-9099-C40C66FF867C}">
                  <a14:compatExt spid="_x0000_s1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Afbeelding 2" descr="log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1552575</xdr:colOff>
      <xdr:row>0</xdr:row>
      <xdr:rowOff>871525</xdr:rowOff>
    </xdr:to>
    <xdr:pic>
      <xdr:nvPicPr>
        <xdr:cNvPr id="2" name="LogoTemplateBuilding" descr="log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2781300" cy="871525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20266"/>
        </a:solidFill>
        <a:ln w="25400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a:spPr>
      <a:bodyPr vertOverflow="clip" horzOverflow="clip" wrap="square" lIns="18288" tIns="0" rIns="0" bIns="0" rtlCol="0" anchor="ctr" upright="1">
        <a:noAutofit/>
      </a:bodyPr>
      <a:lstStyle>
        <a:defPPr algn="ctr">
          <a:defRPr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020266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  <a:txDef>
      <a:spPr>
        <a:blipFill dpi="0" rotWithShape="1">
          <a:blip xmlns:r="http://schemas.openxmlformats.org/officeDocument/2006/relationships" r:embed="rId1">
            <a:alphaModFix amt="31000"/>
          </a:blip>
          <a:srcRect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1.xml"/><Relationship Id="rId4" Type="http://schemas.openxmlformats.org/officeDocument/2006/relationships/image" Target="../media/image4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9.emf"/><Relationship Id="rId2" Type="http://schemas.openxmlformats.org/officeDocument/2006/relationships/hyperlink" Target="https://www.ibanbicservice.nl/" TargetMode="External"/><Relationship Id="rId1" Type="http://schemas.openxmlformats.org/officeDocument/2006/relationships/hyperlink" Target="https://www.ibanbicservice.nl/" TargetMode="External"/><Relationship Id="rId6" Type="http://schemas.openxmlformats.org/officeDocument/2006/relationships/control" Target="../activeX/activeX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0"/>
  <sheetViews>
    <sheetView zoomScaleNormal="100" workbookViewId="0">
      <selection activeCell="U7" sqref="U7"/>
    </sheetView>
  </sheetViews>
  <sheetFormatPr defaultRowHeight="12.75"/>
  <cols>
    <col min="1" max="1" width="20.7109375" customWidth="1"/>
    <col min="2" max="3" width="9.140625" customWidth="1"/>
    <col min="4" max="4" width="12.7109375" customWidth="1"/>
    <col min="5" max="8" width="9.140625" customWidth="1"/>
    <col min="9" max="9" width="20.7109375" customWidth="1"/>
    <col min="10" max="10" width="12.7109375" customWidth="1"/>
    <col min="11" max="13" width="9.140625" customWidth="1"/>
    <col min="14" max="14" width="9.5703125" style="171" customWidth="1"/>
    <col min="15" max="15" width="9.140625" style="170" customWidth="1"/>
    <col min="16" max="17" width="9.140625" customWidth="1"/>
    <col min="18" max="18" width="30.7109375" style="165" customWidth="1"/>
    <col min="19" max="19" width="9.140625" customWidth="1"/>
  </cols>
  <sheetData>
    <row r="1" spans="1:21">
      <c r="A1" s="135"/>
      <c r="B1" s="135"/>
      <c r="C1" s="135"/>
      <c r="D1" s="135"/>
      <c r="E1" s="136"/>
      <c r="F1" s="135"/>
      <c r="G1" s="135"/>
      <c r="H1" s="135"/>
      <c r="I1" s="137"/>
      <c r="J1" s="135"/>
      <c r="K1" s="135"/>
      <c r="L1" s="135"/>
      <c r="M1" s="135"/>
      <c r="N1" s="138"/>
      <c r="O1" s="135"/>
      <c r="P1" s="135"/>
      <c r="Q1" s="135"/>
      <c r="R1" s="161"/>
      <c r="S1" s="135"/>
      <c r="T1" s="135"/>
      <c r="U1" s="135"/>
    </row>
    <row r="2" spans="1:21">
      <c r="A2" s="135"/>
      <c r="B2" s="135"/>
      <c r="C2" s="135"/>
      <c r="D2" s="135"/>
      <c r="E2" s="136"/>
      <c r="F2" s="135"/>
      <c r="G2" s="135"/>
      <c r="H2" s="135"/>
      <c r="I2" s="137"/>
      <c r="J2" s="135"/>
      <c r="K2" s="135"/>
      <c r="L2" s="135"/>
      <c r="M2" s="135"/>
      <c r="N2" s="138"/>
      <c r="O2" s="135"/>
      <c r="P2" s="135"/>
      <c r="Q2" s="135"/>
      <c r="R2" s="161"/>
      <c r="S2" s="135"/>
      <c r="T2" s="135"/>
      <c r="U2" s="135"/>
    </row>
    <row r="3" spans="1:21">
      <c r="A3" s="191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35"/>
      <c r="U3" s="135"/>
    </row>
    <row r="4" spans="1:21">
      <c r="A4" s="139" t="s">
        <v>1629</v>
      </c>
      <c r="B4" s="140"/>
      <c r="C4" s="140"/>
      <c r="D4" s="152" t="s">
        <v>1620</v>
      </c>
      <c r="E4" s="185"/>
      <c r="F4" s="140"/>
      <c r="G4" s="140"/>
      <c r="H4" s="140"/>
      <c r="I4" s="143" t="s">
        <v>1630</v>
      </c>
      <c r="J4" s="143" t="s">
        <v>1628</v>
      </c>
      <c r="K4" s="144"/>
      <c r="L4" s="168"/>
      <c r="M4" s="145"/>
      <c r="N4" s="145"/>
      <c r="O4" s="172">
        <v>78.5</v>
      </c>
      <c r="P4" s="168"/>
      <c r="Q4" s="140"/>
      <c r="R4" s="163" t="s">
        <v>1632</v>
      </c>
      <c r="S4" s="167"/>
      <c r="T4" s="135"/>
      <c r="U4" s="135"/>
    </row>
    <row r="5" spans="1:21">
      <c r="A5" s="263"/>
      <c r="B5" s="168"/>
      <c r="C5" s="168"/>
      <c r="D5" s="152"/>
      <c r="E5" s="142"/>
      <c r="F5" s="140"/>
      <c r="G5" s="140"/>
      <c r="H5" s="140"/>
      <c r="I5" s="143"/>
      <c r="J5" s="143"/>
      <c r="K5" s="144"/>
      <c r="L5" s="168"/>
      <c r="M5" s="145"/>
      <c r="N5" s="145"/>
      <c r="O5" s="172"/>
      <c r="P5" s="168"/>
      <c r="Q5" s="140"/>
      <c r="R5" s="163"/>
      <c r="S5" s="167"/>
      <c r="T5" s="139"/>
      <c r="U5" s="145"/>
    </row>
    <row r="6" spans="1:21">
      <c r="A6" s="139"/>
      <c r="B6" s="140"/>
      <c r="C6" s="140"/>
      <c r="D6" s="152"/>
      <c r="E6" s="173"/>
      <c r="F6" s="140"/>
      <c r="G6" s="140"/>
      <c r="H6" s="140"/>
      <c r="I6" s="143"/>
      <c r="J6" s="143"/>
      <c r="K6" s="144"/>
      <c r="L6" s="168"/>
      <c r="M6" s="145"/>
      <c r="N6" s="145"/>
      <c r="O6" s="172"/>
      <c r="P6" s="168"/>
      <c r="Q6" s="140"/>
      <c r="R6" s="163"/>
      <c r="S6" s="167"/>
      <c r="T6" s="139"/>
      <c r="U6" s="145"/>
    </row>
    <row r="7" spans="1:21">
      <c r="A7" s="139"/>
      <c r="B7" s="140"/>
      <c r="C7" s="140"/>
      <c r="D7" s="152"/>
      <c r="E7" s="139"/>
      <c r="F7" s="140"/>
      <c r="G7" s="140"/>
      <c r="H7" s="140"/>
      <c r="I7" s="143"/>
      <c r="J7" s="143"/>
      <c r="K7" s="144"/>
      <c r="L7" s="168"/>
      <c r="M7" s="145"/>
      <c r="N7" s="145"/>
      <c r="O7" s="172"/>
      <c r="P7" s="168"/>
      <c r="Q7" s="140"/>
      <c r="R7" s="163"/>
      <c r="S7" s="167"/>
      <c r="T7" s="139"/>
      <c r="U7" s="153"/>
    </row>
    <row r="8" spans="1:21">
      <c r="A8" s="139"/>
      <c r="B8" s="146"/>
      <c r="C8" s="146"/>
      <c r="D8" s="152"/>
      <c r="E8" s="173"/>
      <c r="F8" s="143"/>
      <c r="G8" s="143"/>
      <c r="H8" s="143"/>
      <c r="I8" s="180"/>
      <c r="J8" s="147"/>
      <c r="K8" s="149"/>
      <c r="L8" s="168"/>
      <c r="M8" s="145"/>
      <c r="N8" s="145"/>
      <c r="O8" s="145"/>
      <c r="P8" s="168"/>
      <c r="Q8" s="143"/>
      <c r="R8" s="190"/>
      <c r="S8" s="167"/>
      <c r="T8" s="139"/>
      <c r="U8" s="145"/>
    </row>
    <row r="9" spans="1:21">
      <c r="A9" s="264"/>
      <c r="B9" s="146"/>
      <c r="C9" s="146"/>
      <c r="D9" s="152"/>
      <c r="E9" s="173"/>
      <c r="F9" s="143"/>
      <c r="G9" s="143"/>
      <c r="H9" s="143"/>
      <c r="I9" s="180"/>
      <c r="J9" s="143"/>
      <c r="K9" s="149"/>
      <c r="L9" s="168"/>
      <c r="M9" s="145"/>
      <c r="N9" s="145"/>
      <c r="O9" s="145"/>
      <c r="P9" s="168"/>
      <c r="Q9" s="143"/>
      <c r="R9" s="190"/>
      <c r="S9" s="167"/>
      <c r="T9" s="139"/>
      <c r="U9" s="145"/>
    </row>
    <row r="10" spans="1:21">
      <c r="A10" s="155"/>
      <c r="B10" s="146"/>
      <c r="C10" s="146"/>
      <c r="D10" s="152"/>
      <c r="E10" s="145"/>
      <c r="F10" s="143"/>
      <c r="G10" s="143"/>
      <c r="H10" s="143"/>
      <c r="I10" s="143"/>
      <c r="J10" s="148"/>
      <c r="K10" s="149"/>
      <c r="L10" s="143"/>
      <c r="M10" s="145"/>
      <c r="N10" s="145"/>
      <c r="O10" s="145"/>
      <c r="P10" s="168"/>
      <c r="Q10" s="143"/>
      <c r="R10" s="190"/>
      <c r="S10" s="167"/>
      <c r="T10" s="139"/>
      <c r="U10" s="145"/>
    </row>
    <row r="11" spans="1:21">
      <c r="A11" s="155"/>
      <c r="B11" s="146"/>
      <c r="C11" s="146"/>
      <c r="D11" s="152"/>
      <c r="E11" s="145"/>
      <c r="F11" s="143"/>
      <c r="G11" s="143"/>
      <c r="H11" s="143"/>
      <c r="I11" s="180"/>
      <c r="J11" s="148"/>
      <c r="K11" s="149"/>
      <c r="L11" s="143"/>
      <c r="M11" s="145"/>
      <c r="N11" s="145"/>
      <c r="O11" s="145"/>
      <c r="P11" s="189"/>
      <c r="Q11" s="143"/>
      <c r="R11" s="190"/>
      <c r="S11" s="167"/>
      <c r="T11" s="139"/>
      <c r="U11" s="145"/>
    </row>
    <row r="12" spans="1:21">
      <c r="A12" s="155"/>
      <c r="B12" s="146"/>
      <c r="C12" s="146"/>
      <c r="D12" s="152"/>
      <c r="E12" s="145"/>
      <c r="F12" s="143"/>
      <c r="G12" s="143"/>
      <c r="H12" s="143"/>
      <c r="I12" s="180"/>
      <c r="J12" s="148"/>
      <c r="K12" s="149"/>
      <c r="L12" s="168"/>
      <c r="M12" s="145"/>
      <c r="N12" s="145"/>
      <c r="O12" s="145"/>
      <c r="P12" s="189"/>
      <c r="Q12" s="143"/>
      <c r="R12" s="190"/>
      <c r="S12" s="167"/>
      <c r="T12" s="139"/>
      <c r="U12" s="145"/>
    </row>
    <row r="13" spans="1:21">
      <c r="A13" s="139"/>
      <c r="B13" s="181"/>
      <c r="C13" s="146"/>
      <c r="D13" s="152"/>
      <c r="E13" s="145"/>
      <c r="F13" s="143"/>
      <c r="G13" s="143"/>
      <c r="H13" s="143"/>
      <c r="I13" s="145"/>
      <c r="J13" s="143"/>
      <c r="K13" s="149"/>
      <c r="L13" s="150"/>
      <c r="M13" s="145"/>
      <c r="N13" s="145"/>
      <c r="O13" s="145"/>
      <c r="P13" s="189"/>
      <c r="Q13" s="143"/>
      <c r="R13" s="190"/>
      <c r="S13" s="167"/>
      <c r="T13" s="139"/>
      <c r="U13" s="145"/>
    </row>
    <row r="14" spans="1:21">
      <c r="A14" s="155"/>
      <c r="B14" s="152"/>
      <c r="C14" s="152"/>
      <c r="D14" s="152"/>
      <c r="E14" s="172"/>
      <c r="F14" s="152"/>
      <c r="G14" s="152"/>
      <c r="H14" s="152"/>
      <c r="I14" s="147"/>
      <c r="J14" s="143"/>
      <c r="K14" s="149"/>
      <c r="L14" s="150"/>
      <c r="M14" s="145"/>
      <c r="N14" s="145"/>
      <c r="O14" s="145"/>
      <c r="P14" s="189"/>
      <c r="Q14" s="143"/>
      <c r="R14" s="190"/>
      <c r="S14" s="167"/>
      <c r="T14" s="139"/>
      <c r="U14" s="145"/>
    </row>
    <row r="15" spans="1:21">
      <c r="A15" s="186"/>
      <c r="B15" s="143"/>
      <c r="C15" s="143"/>
      <c r="D15" s="152"/>
      <c r="E15" s="145"/>
      <c r="F15" s="143"/>
      <c r="G15" s="143"/>
      <c r="H15" s="143"/>
      <c r="I15" s="143"/>
      <c r="J15" s="148"/>
      <c r="K15" s="149"/>
      <c r="L15" s="188"/>
      <c r="M15" s="145"/>
      <c r="N15" s="145"/>
      <c r="O15" s="145"/>
      <c r="P15" s="189"/>
      <c r="Q15" s="143"/>
      <c r="R15" s="190"/>
      <c r="S15" s="167"/>
      <c r="T15" s="139"/>
      <c r="U15" s="135"/>
    </row>
    <row r="16" spans="1:21">
      <c r="A16" s="139"/>
      <c r="B16" s="143"/>
      <c r="C16" s="143"/>
      <c r="D16" s="152"/>
      <c r="E16" s="145"/>
      <c r="F16" s="189"/>
      <c r="G16" s="143"/>
      <c r="H16" s="143"/>
      <c r="I16" s="143"/>
      <c r="J16" s="143"/>
      <c r="K16" s="149"/>
      <c r="L16" s="150"/>
      <c r="M16" s="145"/>
      <c r="N16" s="145"/>
      <c r="O16" s="145"/>
      <c r="P16" s="189"/>
      <c r="Q16" s="143"/>
      <c r="R16" s="190"/>
      <c r="S16" s="167"/>
      <c r="T16" s="139"/>
      <c r="U16" s="135"/>
    </row>
    <row r="17" spans="1:21">
      <c r="A17" s="139"/>
      <c r="B17" s="188"/>
      <c r="C17" s="143"/>
      <c r="D17" s="152"/>
      <c r="E17" s="145"/>
      <c r="F17" s="189"/>
      <c r="G17" s="143"/>
      <c r="H17" s="143"/>
      <c r="I17" s="147"/>
      <c r="J17" s="147"/>
      <c r="K17" s="149"/>
      <c r="L17" s="153"/>
      <c r="M17" s="145"/>
      <c r="N17" s="145"/>
      <c r="O17" s="145"/>
      <c r="P17" s="189"/>
      <c r="Q17" s="143"/>
      <c r="R17" s="190"/>
      <c r="S17" s="167"/>
      <c r="T17" s="139"/>
      <c r="U17" s="135"/>
    </row>
    <row r="18" spans="1:21">
      <c r="A18" s="139"/>
      <c r="B18" s="181"/>
      <c r="C18" s="143"/>
      <c r="D18" s="152"/>
      <c r="E18" s="145"/>
      <c r="F18" s="143"/>
      <c r="G18" s="143"/>
      <c r="H18" s="143"/>
      <c r="I18" s="147"/>
      <c r="J18" s="147"/>
      <c r="K18" s="149"/>
      <c r="L18" s="150"/>
      <c r="M18" s="145"/>
      <c r="N18" s="145"/>
      <c r="O18" s="145"/>
      <c r="P18" s="189"/>
      <c r="Q18" s="154"/>
      <c r="R18" s="190"/>
      <c r="S18" s="167"/>
      <c r="T18" s="139"/>
      <c r="U18" s="135"/>
    </row>
    <row r="19" spans="1:21">
      <c r="A19" s="155"/>
      <c r="B19" s="155"/>
      <c r="C19" s="155"/>
      <c r="D19" s="152"/>
      <c r="E19" s="155"/>
      <c r="F19" s="155"/>
      <c r="G19" s="155"/>
      <c r="H19" s="155"/>
      <c r="I19" s="143"/>
      <c r="J19" s="148"/>
      <c r="K19" s="139"/>
      <c r="L19" s="139"/>
      <c r="M19" s="145"/>
      <c r="N19" s="145"/>
      <c r="O19" s="145"/>
      <c r="P19" s="189"/>
      <c r="Q19" s="139"/>
      <c r="R19" s="190"/>
      <c r="S19" s="167"/>
      <c r="T19" s="139"/>
      <c r="U19" s="135"/>
    </row>
    <row r="20" spans="1:21">
      <c r="A20" s="155"/>
      <c r="B20" s="155"/>
      <c r="C20" s="189"/>
      <c r="D20" s="152"/>
      <c r="E20" s="139"/>
      <c r="F20" s="183"/>
      <c r="G20" s="139"/>
      <c r="H20" s="139"/>
      <c r="I20" s="166"/>
      <c r="J20" s="143"/>
      <c r="K20" s="139"/>
      <c r="L20" s="139"/>
      <c r="M20" s="145"/>
      <c r="N20" s="145"/>
      <c r="O20" s="145"/>
      <c r="P20" s="189"/>
      <c r="Q20" s="139"/>
      <c r="R20" s="190"/>
      <c r="S20" s="167"/>
      <c r="T20" s="139"/>
      <c r="U20" s="187"/>
    </row>
    <row r="21" spans="1:21">
      <c r="A21" s="182"/>
      <c r="B21" s="181"/>
      <c r="C21" s="143"/>
      <c r="D21" s="152"/>
      <c r="E21" s="139"/>
      <c r="F21" s="139"/>
      <c r="G21" s="139"/>
      <c r="H21" s="139"/>
      <c r="I21" s="166"/>
      <c r="J21" s="143"/>
      <c r="K21" s="139"/>
      <c r="L21" s="139"/>
      <c r="M21" s="145"/>
      <c r="N21" s="145"/>
      <c r="O21" s="145"/>
      <c r="P21" s="189"/>
      <c r="Q21" s="139"/>
      <c r="R21" s="190"/>
      <c r="S21" s="167"/>
      <c r="T21" s="139"/>
      <c r="U21" s="187"/>
    </row>
    <row r="22" spans="1:21">
      <c r="A22" s="139"/>
      <c r="B22" s="146"/>
      <c r="C22" s="146"/>
      <c r="D22" s="152"/>
      <c r="E22" s="145"/>
      <c r="F22" s="139"/>
      <c r="G22" s="152"/>
      <c r="H22" s="143"/>
      <c r="I22" s="147"/>
      <c r="J22" s="148"/>
      <c r="K22" s="149"/>
      <c r="L22" s="150"/>
      <c r="M22" s="145"/>
      <c r="N22" s="145"/>
      <c r="O22" s="145"/>
      <c r="P22" s="189"/>
      <c r="Q22" s="143"/>
      <c r="R22" s="190"/>
      <c r="S22" s="167"/>
      <c r="T22" s="139"/>
      <c r="U22" s="187"/>
    </row>
    <row r="23" spans="1:21">
      <c r="A23" s="139"/>
      <c r="B23" s="143"/>
      <c r="C23" s="143"/>
      <c r="D23" s="152"/>
      <c r="E23" s="145"/>
      <c r="F23" s="139"/>
      <c r="G23" s="143"/>
      <c r="H23" s="143"/>
      <c r="I23" s="147"/>
      <c r="J23" s="148"/>
      <c r="K23" s="149"/>
      <c r="L23" s="150"/>
      <c r="M23" s="145"/>
      <c r="N23" s="145"/>
      <c r="O23" s="145"/>
      <c r="P23" s="189"/>
      <c r="Q23" s="143"/>
      <c r="R23" s="190"/>
      <c r="S23" s="167"/>
      <c r="T23" s="139"/>
      <c r="U23" s="187"/>
    </row>
    <row r="24" spans="1:21">
      <c r="A24" s="139"/>
      <c r="B24" s="143"/>
      <c r="C24" s="143"/>
      <c r="D24" s="152"/>
      <c r="E24" s="145"/>
      <c r="F24" s="139"/>
      <c r="G24" s="143"/>
      <c r="H24" s="143"/>
      <c r="I24" s="143"/>
      <c r="J24" s="148"/>
      <c r="K24" s="149"/>
      <c r="L24" s="150"/>
      <c r="M24" s="145"/>
      <c r="N24" s="145"/>
      <c r="O24" s="145"/>
      <c r="P24" s="189"/>
      <c r="Q24" s="143"/>
      <c r="R24" s="190"/>
      <c r="S24" s="167"/>
      <c r="T24" s="139"/>
      <c r="U24" s="187"/>
    </row>
    <row r="25" spans="1:21">
      <c r="A25" s="139"/>
      <c r="B25" s="143"/>
      <c r="C25" s="143"/>
      <c r="D25" s="152"/>
      <c r="E25" s="145"/>
      <c r="F25" s="139"/>
      <c r="G25" s="143"/>
      <c r="H25" s="143"/>
      <c r="I25" s="143"/>
      <c r="J25" s="143"/>
      <c r="K25" s="149"/>
      <c r="L25" s="150"/>
      <c r="M25" s="145"/>
      <c r="N25" s="145"/>
      <c r="O25" s="145"/>
      <c r="P25" s="189"/>
      <c r="Q25" s="143"/>
      <c r="R25" s="190"/>
      <c r="S25" s="167"/>
      <c r="T25" s="139"/>
      <c r="U25" s="187"/>
    </row>
    <row r="26" spans="1:21">
      <c r="A26" s="155"/>
      <c r="B26" s="139"/>
      <c r="C26" s="143"/>
      <c r="D26" s="152"/>
      <c r="E26" s="145"/>
      <c r="F26" s="139"/>
      <c r="G26" s="143"/>
      <c r="H26" s="143"/>
      <c r="I26" s="152"/>
      <c r="J26" s="148"/>
      <c r="K26" s="149"/>
      <c r="L26" s="178"/>
      <c r="M26" s="145"/>
      <c r="N26" s="145"/>
      <c r="O26" s="145"/>
      <c r="P26" s="189"/>
      <c r="Q26" s="143"/>
      <c r="R26" s="190"/>
      <c r="S26" s="167"/>
      <c r="T26" s="139"/>
      <c r="U26" s="187"/>
    </row>
    <row r="27" spans="1:21">
      <c r="A27" s="155"/>
      <c r="B27" s="139"/>
      <c r="C27" s="143"/>
      <c r="D27" s="152"/>
      <c r="E27" s="145"/>
      <c r="F27" s="139"/>
      <c r="G27" s="143"/>
      <c r="H27" s="143"/>
      <c r="I27" s="152"/>
      <c r="J27" s="147"/>
      <c r="K27" s="149"/>
      <c r="L27" s="153"/>
      <c r="M27" s="145"/>
      <c r="N27" s="145"/>
      <c r="O27" s="145"/>
      <c r="P27" s="189"/>
      <c r="Q27" s="143"/>
      <c r="R27" s="190"/>
      <c r="S27" s="167"/>
      <c r="T27" s="139"/>
      <c r="U27" s="187"/>
    </row>
    <row r="28" spans="1:21">
      <c r="A28" s="139"/>
      <c r="B28" s="143"/>
      <c r="C28" s="143"/>
      <c r="D28" s="143"/>
      <c r="E28" s="145"/>
      <c r="F28" s="139"/>
      <c r="G28" s="143"/>
      <c r="H28" s="143"/>
      <c r="I28" s="143"/>
      <c r="J28" s="143"/>
      <c r="K28" s="144"/>
      <c r="L28" s="265"/>
      <c r="M28" s="145"/>
      <c r="N28" s="145"/>
      <c r="O28" s="145"/>
      <c r="P28" s="189"/>
      <c r="Q28" s="140"/>
      <c r="R28" s="162"/>
      <c r="S28" s="167"/>
      <c r="T28" s="139"/>
      <c r="U28" s="187"/>
    </row>
    <row r="29" spans="1:21">
      <c r="A29" s="139"/>
      <c r="B29" s="139"/>
      <c r="C29" s="139"/>
      <c r="D29" s="146"/>
      <c r="E29" s="139"/>
      <c r="F29" s="139"/>
      <c r="G29" s="139"/>
      <c r="H29" s="139"/>
      <c r="I29" s="152"/>
      <c r="J29" s="148"/>
      <c r="K29" s="139"/>
      <c r="L29" s="139"/>
      <c r="M29" s="145"/>
      <c r="N29" s="145"/>
      <c r="O29" s="145"/>
      <c r="P29" s="189"/>
      <c r="Q29" s="139"/>
      <c r="R29" s="163"/>
      <c r="S29" s="139"/>
      <c r="T29" s="139"/>
      <c r="U29" s="187"/>
    </row>
    <row r="30" spans="1:21">
      <c r="A30" s="156"/>
      <c r="B30" s="146"/>
      <c r="C30" s="146"/>
      <c r="D30" s="146"/>
      <c r="E30" s="145"/>
      <c r="F30" s="143"/>
      <c r="G30" s="143"/>
      <c r="H30" s="143"/>
      <c r="I30" s="152"/>
      <c r="J30" s="148"/>
      <c r="K30" s="149"/>
      <c r="L30" s="150"/>
      <c r="M30" s="145"/>
      <c r="N30" s="145"/>
      <c r="O30" s="145"/>
      <c r="P30" s="189"/>
      <c r="Q30" s="143"/>
      <c r="R30" s="190"/>
      <c r="S30" s="139"/>
      <c r="T30" s="139"/>
      <c r="U30" s="135"/>
    </row>
    <row r="31" spans="1:21">
      <c r="A31" s="156"/>
      <c r="B31" s="146"/>
      <c r="C31" s="146"/>
      <c r="D31" s="146"/>
      <c r="E31" s="145"/>
      <c r="F31" s="143"/>
      <c r="G31" s="143"/>
      <c r="H31" s="143"/>
      <c r="I31" s="143"/>
      <c r="J31" s="148"/>
      <c r="K31" s="149"/>
      <c r="L31" s="150"/>
      <c r="M31" s="145"/>
      <c r="N31" s="145"/>
      <c r="O31" s="145"/>
      <c r="P31" s="189"/>
      <c r="Q31" s="143"/>
      <c r="R31" s="190"/>
      <c r="S31" s="139"/>
      <c r="T31" s="139"/>
      <c r="U31" s="135"/>
    </row>
    <row r="32" spans="1:21">
      <c r="A32" s="139"/>
      <c r="B32" s="146"/>
      <c r="C32" s="146"/>
      <c r="D32" s="146"/>
      <c r="E32" s="173"/>
      <c r="F32" s="143"/>
      <c r="G32" s="143"/>
      <c r="H32" s="143"/>
      <c r="I32" s="152"/>
      <c r="J32" s="148"/>
      <c r="K32" s="149"/>
      <c r="L32" s="150"/>
      <c r="M32" s="145"/>
      <c r="N32" s="145"/>
      <c r="O32" s="145"/>
      <c r="P32" s="168"/>
      <c r="Q32" s="143"/>
      <c r="R32" s="190"/>
      <c r="S32" s="139"/>
      <c r="T32" s="139"/>
      <c r="U32" s="135"/>
    </row>
    <row r="33" spans="1:21">
      <c r="A33" s="151"/>
      <c r="B33" s="143"/>
      <c r="C33" s="143"/>
      <c r="D33" s="143"/>
      <c r="E33" s="145"/>
      <c r="F33" s="143"/>
      <c r="G33" s="143"/>
      <c r="H33" s="143"/>
      <c r="I33" s="152"/>
      <c r="J33" s="148"/>
      <c r="K33" s="143"/>
      <c r="L33" s="153"/>
      <c r="M33" s="145"/>
      <c r="N33" s="145"/>
      <c r="O33" s="145"/>
      <c r="P33" s="168"/>
      <c r="Q33" s="143"/>
      <c r="R33" s="190"/>
      <c r="S33" s="139"/>
      <c r="T33" s="139"/>
      <c r="U33" s="135"/>
    </row>
    <row r="34" spans="1:21">
      <c r="A34" s="151"/>
      <c r="B34" s="182"/>
      <c r="C34" s="143"/>
      <c r="D34" s="143"/>
      <c r="E34" s="145"/>
      <c r="F34" s="143"/>
      <c r="G34" s="143"/>
      <c r="H34" s="143"/>
      <c r="I34" s="152"/>
      <c r="J34" s="148"/>
      <c r="K34" s="143"/>
      <c r="L34" s="153"/>
      <c r="M34" s="145"/>
      <c r="N34" s="145"/>
      <c r="O34" s="145"/>
      <c r="P34" s="168"/>
      <c r="Q34" s="143"/>
      <c r="R34" s="163"/>
      <c r="S34" s="139"/>
      <c r="T34" s="139"/>
      <c r="U34" s="135"/>
    </row>
    <row r="35" spans="1:21">
      <c r="A35" s="139"/>
      <c r="B35" s="184"/>
      <c r="C35" s="146"/>
      <c r="D35" s="143"/>
      <c r="E35" s="168"/>
      <c r="F35" s="153"/>
      <c r="G35" s="143"/>
      <c r="H35" s="143"/>
      <c r="I35" s="143"/>
      <c r="J35" s="143"/>
      <c r="K35" s="143"/>
      <c r="L35" s="153"/>
      <c r="M35" s="145"/>
      <c r="N35" s="145"/>
      <c r="O35" s="145"/>
      <c r="P35" s="168"/>
      <c r="Q35" s="143"/>
      <c r="R35" s="163"/>
      <c r="S35" s="139"/>
      <c r="T35" s="139"/>
      <c r="U35" s="135"/>
    </row>
    <row r="36" spans="1:21">
      <c r="A36" s="139"/>
      <c r="B36" s="145"/>
      <c r="C36" s="143"/>
      <c r="D36" s="143"/>
      <c r="E36" s="145"/>
      <c r="F36" s="143"/>
      <c r="G36" s="143"/>
      <c r="H36" s="143"/>
      <c r="I36" s="147"/>
      <c r="J36" s="148"/>
      <c r="K36" s="143"/>
      <c r="L36" s="153"/>
      <c r="M36" s="145"/>
      <c r="N36" s="145"/>
      <c r="O36" s="145"/>
      <c r="P36" s="168"/>
      <c r="Q36" s="154"/>
      <c r="R36" s="163"/>
      <c r="S36" s="139"/>
      <c r="T36" s="139"/>
      <c r="U36" s="135"/>
    </row>
    <row r="37" spans="1:21">
      <c r="A37" s="139"/>
      <c r="B37" s="145"/>
      <c r="C37" s="143"/>
      <c r="D37" s="143"/>
      <c r="E37" s="145"/>
      <c r="F37" s="143"/>
      <c r="G37" s="143"/>
      <c r="H37" s="143"/>
      <c r="I37" s="143"/>
      <c r="J37" s="148"/>
      <c r="K37" s="143"/>
      <c r="L37" s="153"/>
      <c r="M37" s="145"/>
      <c r="N37" s="145"/>
      <c r="O37" s="145"/>
      <c r="P37" s="168"/>
      <c r="Q37" s="154"/>
      <c r="R37" s="163"/>
      <c r="S37" s="139"/>
      <c r="T37" s="139"/>
      <c r="U37" s="135"/>
    </row>
    <row r="38" spans="1:21">
      <c r="A38" s="139"/>
      <c r="B38" s="184"/>
      <c r="C38" s="146"/>
      <c r="D38" s="143"/>
      <c r="E38" s="168"/>
      <c r="F38" s="153"/>
      <c r="G38" s="143"/>
      <c r="H38" s="143"/>
      <c r="I38" s="143"/>
      <c r="J38" s="143"/>
      <c r="K38" s="143"/>
      <c r="L38" s="153"/>
      <c r="M38" s="145"/>
      <c r="N38" s="145"/>
      <c r="O38" s="145"/>
      <c r="P38" s="168"/>
      <c r="Q38" s="154"/>
      <c r="R38" s="163"/>
      <c r="S38" s="139"/>
      <c r="T38" s="139"/>
      <c r="U38" s="135"/>
    </row>
    <row r="39" spans="1:21">
      <c r="A39" s="139"/>
      <c r="B39" s="168"/>
      <c r="C39" s="168"/>
      <c r="D39" s="143"/>
      <c r="E39" s="168"/>
      <c r="F39" s="168"/>
      <c r="G39" s="168"/>
      <c r="H39" s="168"/>
      <c r="I39" s="174"/>
      <c r="J39" s="175"/>
      <c r="K39" s="168"/>
      <c r="L39" s="168"/>
      <c r="M39" s="168"/>
      <c r="N39" s="176"/>
      <c r="O39" s="145"/>
      <c r="P39" s="168"/>
      <c r="Q39" s="168"/>
      <c r="R39" s="163"/>
      <c r="S39" s="139"/>
      <c r="T39" s="139"/>
      <c r="U39" s="135"/>
    </row>
    <row r="40" spans="1:21">
      <c r="A40" s="182"/>
      <c r="B40" s="181"/>
      <c r="C40" s="143"/>
      <c r="D40" s="143"/>
      <c r="E40" s="143"/>
      <c r="F40" s="143"/>
      <c r="G40" s="143"/>
      <c r="H40" s="143"/>
      <c r="I40" s="152"/>
      <c r="J40" s="175"/>
      <c r="K40" s="143"/>
      <c r="L40" s="150"/>
      <c r="M40" s="145"/>
      <c r="N40" s="145"/>
      <c r="O40" s="145"/>
      <c r="P40" s="168"/>
      <c r="Q40" s="143"/>
      <c r="R40" s="163"/>
      <c r="S40" s="139"/>
      <c r="T40" s="139"/>
      <c r="U40" s="135"/>
    </row>
    <row r="41" spans="1:21">
      <c r="A41" s="177"/>
      <c r="B41" s="143"/>
      <c r="C41" s="143"/>
      <c r="D41" s="143"/>
      <c r="E41" s="145"/>
      <c r="F41" s="143"/>
      <c r="G41" s="143"/>
      <c r="H41" s="143"/>
      <c r="I41" s="152"/>
      <c r="J41" s="148"/>
      <c r="K41" s="143"/>
      <c r="L41" s="150"/>
      <c r="M41" s="145"/>
      <c r="N41" s="145"/>
      <c r="O41" s="145"/>
      <c r="P41" s="168"/>
      <c r="Q41" s="143"/>
      <c r="R41" s="163"/>
      <c r="S41" s="139"/>
      <c r="T41" s="139"/>
      <c r="U41" s="135"/>
    </row>
    <row r="42" spans="1:21">
      <c r="A42" s="177"/>
      <c r="B42" s="143"/>
      <c r="C42" s="143"/>
      <c r="D42" s="143"/>
      <c r="E42" s="145"/>
      <c r="F42" s="143"/>
      <c r="G42" s="143"/>
      <c r="H42" s="143"/>
      <c r="I42" s="143"/>
      <c r="J42" s="143"/>
      <c r="K42" s="143"/>
      <c r="L42" s="150"/>
      <c r="M42" s="145"/>
      <c r="N42" s="145"/>
      <c r="O42" s="145"/>
      <c r="P42" s="168"/>
      <c r="Q42" s="143"/>
      <c r="R42" s="163"/>
      <c r="S42" s="139"/>
      <c r="T42" s="139"/>
      <c r="U42" s="135"/>
    </row>
    <row r="43" spans="1:21">
      <c r="A43" s="177"/>
      <c r="B43" s="143"/>
      <c r="C43" s="143"/>
      <c r="D43" s="143"/>
      <c r="E43" s="145"/>
      <c r="F43" s="143"/>
      <c r="G43" s="143"/>
      <c r="H43" s="143"/>
      <c r="I43" s="143"/>
      <c r="J43" s="143"/>
      <c r="K43" s="143"/>
      <c r="L43" s="150"/>
      <c r="M43" s="145"/>
      <c r="N43" s="145"/>
      <c r="O43" s="145"/>
      <c r="P43" s="168"/>
      <c r="Q43" s="143"/>
      <c r="R43" s="163"/>
      <c r="S43" s="139"/>
      <c r="T43" s="139"/>
      <c r="U43" s="135"/>
    </row>
    <row r="44" spans="1:21">
      <c r="A44" s="139"/>
      <c r="B44" s="143"/>
      <c r="C44" s="143"/>
      <c r="D44" s="143"/>
      <c r="E44" s="145"/>
      <c r="F44" s="143"/>
      <c r="G44" s="143"/>
      <c r="H44" s="143"/>
      <c r="I44" s="169"/>
      <c r="J44" s="148"/>
      <c r="K44" s="149"/>
      <c r="L44" s="153"/>
      <c r="M44" s="145"/>
      <c r="N44" s="145"/>
      <c r="O44" s="145"/>
      <c r="P44" s="168"/>
      <c r="Q44" s="143"/>
      <c r="R44" s="162"/>
      <c r="S44" s="139"/>
      <c r="T44" s="139"/>
      <c r="U44" s="135"/>
    </row>
    <row r="45" spans="1:21">
      <c r="A45" s="139"/>
      <c r="B45" s="143"/>
      <c r="C45" s="143"/>
      <c r="D45" s="152"/>
      <c r="E45" s="145"/>
      <c r="F45" s="143"/>
      <c r="G45" s="143"/>
      <c r="H45" s="143"/>
      <c r="I45" s="143"/>
      <c r="J45" s="148"/>
      <c r="K45" s="149"/>
      <c r="L45" s="153"/>
      <c r="M45" s="145"/>
      <c r="N45" s="145"/>
      <c r="O45" s="145"/>
      <c r="P45" s="143"/>
      <c r="Q45" s="143"/>
      <c r="R45" s="162"/>
      <c r="S45" s="139"/>
      <c r="T45" s="139"/>
      <c r="U45" s="135"/>
    </row>
    <row r="46" spans="1:21">
      <c r="A46" s="139"/>
      <c r="B46" s="143"/>
      <c r="C46" s="143"/>
      <c r="D46" s="143"/>
      <c r="E46" s="157"/>
      <c r="F46" s="143"/>
      <c r="G46" s="143"/>
      <c r="H46" s="139"/>
      <c r="I46" s="152"/>
      <c r="J46" s="148"/>
      <c r="K46" s="139"/>
      <c r="L46" s="139"/>
      <c r="M46" s="145"/>
      <c r="N46" s="145"/>
      <c r="O46" s="145"/>
      <c r="P46" s="168"/>
      <c r="Q46" s="139"/>
      <c r="R46" s="162"/>
      <c r="S46" s="139"/>
      <c r="T46" s="139"/>
      <c r="U46" s="135"/>
    </row>
    <row r="47" spans="1:21">
      <c r="A47" s="168"/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76"/>
      <c r="O47" s="263"/>
      <c r="P47" s="168"/>
      <c r="Q47" s="168"/>
      <c r="R47" s="266"/>
      <c r="S47" s="168"/>
      <c r="T47" s="139"/>
      <c r="U47" s="135"/>
    </row>
    <row r="48" spans="1:21">
      <c r="A48" s="135"/>
      <c r="B48" s="135"/>
      <c r="C48" s="135"/>
      <c r="D48" s="137"/>
      <c r="E48" s="136"/>
      <c r="F48" s="135"/>
      <c r="G48" s="135"/>
      <c r="H48" s="135"/>
      <c r="I48" s="141"/>
      <c r="J48" s="148"/>
      <c r="K48" s="135"/>
      <c r="L48" s="135"/>
      <c r="M48" s="145"/>
      <c r="N48" s="145"/>
      <c r="O48" s="145"/>
      <c r="P48" s="135"/>
      <c r="Q48" s="135"/>
      <c r="R48" s="162"/>
      <c r="S48" s="135"/>
      <c r="T48" s="135"/>
      <c r="U48" s="135"/>
    </row>
    <row r="49" spans="1:21">
      <c r="A49" s="139"/>
      <c r="B49" s="135"/>
      <c r="C49" s="135"/>
      <c r="D49" s="137"/>
      <c r="E49" s="135"/>
      <c r="F49" s="135"/>
      <c r="G49" s="135"/>
      <c r="H49" s="135"/>
      <c r="J49" s="148"/>
      <c r="K49" s="135"/>
      <c r="L49" s="135"/>
      <c r="M49" s="135"/>
      <c r="N49" s="145"/>
      <c r="O49" s="135"/>
      <c r="P49" s="135"/>
      <c r="Q49" s="135"/>
      <c r="R49" s="164"/>
      <c r="S49" s="135"/>
      <c r="T49" s="135"/>
      <c r="U49" s="135"/>
    </row>
    <row r="50" spans="1:21">
      <c r="O50" s="14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ReleaseNotes"/>
  <dimension ref="A1:AF1023"/>
  <sheetViews>
    <sheetView showGridLines="0" showRowColHeaders="0" zoomScaleNormal="100" workbookViewId="0">
      <selection activeCell="F22" sqref="F22:H22"/>
    </sheetView>
  </sheetViews>
  <sheetFormatPr defaultColWidth="0" defaultRowHeight="12.75" zeroHeight="1"/>
  <cols>
    <col min="1" max="1" width="14.7109375" customWidth="1"/>
    <col min="2" max="3" width="9.140625" customWidth="1"/>
    <col min="4" max="4" width="32.7109375" customWidth="1"/>
    <col min="5" max="5" width="1.28515625" customWidth="1"/>
    <col min="6" max="6" width="59.5703125" customWidth="1"/>
    <col min="7" max="7" width="23.28515625" customWidth="1"/>
    <col min="8" max="8" width="46.28515625" customWidth="1"/>
    <col min="9" max="16" width="9.140625" customWidth="1"/>
    <col min="17" max="32" width="0" hidden="1" customWidth="1"/>
    <col min="33" max="16384" width="9.140625" hidden="1"/>
  </cols>
  <sheetData>
    <row r="1" spans="1:16" ht="76.5" customHeight="1">
      <c r="A1" s="81"/>
      <c r="B1" s="81"/>
      <c r="C1" s="81"/>
      <c r="D1" s="81"/>
      <c r="E1" s="82"/>
      <c r="F1" s="92" t="s">
        <v>1543</v>
      </c>
      <c r="G1" s="83" t="str">
        <f ca="1">INDIRECT(ADDRESS($D$3,4))</f>
        <v>v20140129</v>
      </c>
      <c r="H1" s="84"/>
      <c r="I1" s="84"/>
      <c r="J1" s="84"/>
      <c r="K1" s="84"/>
      <c r="L1" s="84"/>
      <c r="M1" s="84"/>
      <c r="N1" s="84"/>
      <c r="O1" s="84"/>
      <c r="P1" s="84"/>
    </row>
    <row r="2" spans="1:16">
      <c r="A2" s="81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</row>
    <row r="3" spans="1:16" ht="13.5" thickBot="1">
      <c r="A3" s="81"/>
      <c r="B3" s="85"/>
      <c r="C3" s="85"/>
      <c r="D3" s="86">
        <f t="array" aca="1" ref="D3" ca="1">MAX(IF(D5:D1000="",0,1)*ROW(INDIRECT("5:1000")))</f>
        <v>21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</row>
    <row r="4" spans="1:16" ht="21" customHeight="1" thickBot="1">
      <c r="A4" s="81"/>
      <c r="B4" s="85"/>
      <c r="C4" s="85"/>
      <c r="D4" s="87" t="s">
        <v>1553</v>
      </c>
      <c r="E4" s="85"/>
      <c r="F4" s="201" t="s">
        <v>1554</v>
      </c>
      <c r="G4" s="202"/>
      <c r="H4" s="203"/>
      <c r="I4" s="85"/>
      <c r="J4" s="85"/>
      <c r="K4" s="85"/>
      <c r="L4" s="85"/>
      <c r="M4" s="85"/>
      <c r="N4" s="85"/>
      <c r="O4" s="85"/>
      <c r="P4" s="85"/>
    </row>
    <row r="5" spans="1:16" ht="13.5" thickBot="1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</row>
    <row r="6" spans="1:16" ht="21" thickBot="1">
      <c r="A6" s="84"/>
      <c r="B6" s="85"/>
      <c r="C6" s="85"/>
      <c r="D6" s="88" t="s">
        <v>1555</v>
      </c>
      <c r="E6" s="85"/>
      <c r="F6" s="192" t="s">
        <v>1564</v>
      </c>
      <c r="G6" s="193"/>
      <c r="H6" s="194"/>
      <c r="I6" s="85"/>
      <c r="J6" s="85"/>
      <c r="K6" s="85"/>
      <c r="L6" s="85"/>
      <c r="M6" s="85"/>
      <c r="N6" s="85"/>
      <c r="O6" s="85"/>
      <c r="P6" s="85"/>
    </row>
    <row r="7" spans="1:16" ht="21" thickBot="1">
      <c r="A7" s="84"/>
      <c r="B7" s="85"/>
      <c r="C7" s="85"/>
      <c r="D7" s="89" t="s">
        <v>1556</v>
      </c>
      <c r="E7" s="85"/>
      <c r="F7" s="192" t="s">
        <v>1567</v>
      </c>
      <c r="G7" s="193"/>
      <c r="H7" s="194"/>
      <c r="I7" s="85"/>
      <c r="J7" s="85"/>
      <c r="K7" s="85"/>
      <c r="L7" s="85"/>
      <c r="M7" s="85"/>
      <c r="N7" s="85"/>
      <c r="O7" s="85"/>
      <c r="P7" s="85"/>
    </row>
    <row r="8" spans="1:16" ht="21" thickBot="1">
      <c r="A8" s="84"/>
      <c r="B8" s="85"/>
      <c r="C8" s="85"/>
      <c r="D8" s="88" t="s">
        <v>1557</v>
      </c>
      <c r="E8" s="85"/>
      <c r="F8" s="195" t="s">
        <v>1558</v>
      </c>
      <c r="G8" s="196"/>
      <c r="H8" s="197"/>
      <c r="I8" s="85"/>
      <c r="J8" s="85"/>
      <c r="K8" s="85"/>
      <c r="L8" s="85"/>
      <c r="M8" s="85"/>
      <c r="N8" s="85"/>
      <c r="O8" s="85"/>
      <c r="P8" s="85"/>
    </row>
    <row r="9" spans="1:16" ht="21" thickBot="1">
      <c r="A9" s="84"/>
      <c r="B9" s="85"/>
      <c r="C9" s="85"/>
      <c r="D9" s="89"/>
      <c r="E9" s="85"/>
      <c r="F9" s="198" t="s">
        <v>1565</v>
      </c>
      <c r="G9" s="199"/>
      <c r="H9" s="200"/>
      <c r="I9" s="85"/>
      <c r="J9" s="85"/>
      <c r="K9" s="85"/>
      <c r="L9" s="85"/>
      <c r="M9" s="85"/>
      <c r="N9" s="85"/>
      <c r="O9" s="85"/>
      <c r="P9" s="85"/>
    </row>
    <row r="10" spans="1:16" ht="21" thickBot="1">
      <c r="A10" s="84"/>
      <c r="B10" s="85"/>
      <c r="C10" s="85"/>
      <c r="D10" s="88" t="s">
        <v>1559</v>
      </c>
      <c r="E10" s="85"/>
      <c r="F10" s="195" t="s">
        <v>1560</v>
      </c>
      <c r="G10" s="196"/>
      <c r="H10" s="197"/>
      <c r="I10" s="85"/>
      <c r="J10" s="85"/>
      <c r="K10" s="85"/>
      <c r="L10" s="85"/>
      <c r="M10" s="85"/>
      <c r="N10" s="85"/>
      <c r="O10" s="85"/>
      <c r="P10" s="85"/>
    </row>
    <row r="11" spans="1:16" ht="21" thickBot="1">
      <c r="A11" s="84"/>
      <c r="B11" s="85"/>
      <c r="C11" s="85"/>
      <c r="D11" s="89" t="s">
        <v>1566</v>
      </c>
      <c r="E11" s="85"/>
      <c r="F11" s="195" t="s">
        <v>1561</v>
      </c>
      <c r="G11" s="196"/>
      <c r="H11" s="197"/>
      <c r="I11" s="85"/>
      <c r="J11" s="85"/>
      <c r="K11" s="85"/>
      <c r="L11" s="85"/>
      <c r="M11" s="85"/>
      <c r="N11" s="85"/>
      <c r="O11" s="85"/>
      <c r="P11" s="85"/>
    </row>
    <row r="12" spans="1:16" ht="21" thickBot="1">
      <c r="A12" s="84"/>
      <c r="B12" s="85"/>
      <c r="C12" s="85"/>
      <c r="D12" s="88"/>
      <c r="E12" s="85"/>
      <c r="F12" s="198" t="s">
        <v>1562</v>
      </c>
      <c r="G12" s="199"/>
      <c r="H12" s="200"/>
      <c r="I12" s="85"/>
      <c r="J12" s="85"/>
      <c r="K12" s="85"/>
      <c r="L12" s="85"/>
      <c r="M12" s="85"/>
      <c r="N12" s="85"/>
      <c r="O12" s="85"/>
      <c r="P12" s="85"/>
    </row>
    <row r="13" spans="1:16" ht="21" thickBot="1">
      <c r="A13" s="84"/>
      <c r="B13" s="85"/>
      <c r="C13" s="85"/>
      <c r="D13" s="89" t="s">
        <v>1589</v>
      </c>
      <c r="E13" s="85"/>
      <c r="F13" s="195" t="s">
        <v>1590</v>
      </c>
      <c r="G13" s="196"/>
      <c r="H13" s="197"/>
      <c r="I13" s="85"/>
      <c r="J13" s="85"/>
      <c r="K13" s="85"/>
      <c r="L13" s="85"/>
      <c r="M13" s="85"/>
      <c r="N13" s="85"/>
      <c r="O13" s="85"/>
      <c r="P13" s="85"/>
    </row>
    <row r="14" spans="1:16" ht="21" thickBot="1">
      <c r="A14" s="84"/>
      <c r="B14" s="85"/>
      <c r="C14" s="85"/>
      <c r="D14" s="88"/>
      <c r="E14" s="85"/>
      <c r="F14" s="198" t="s">
        <v>1591</v>
      </c>
      <c r="G14" s="199"/>
      <c r="H14" s="200"/>
      <c r="I14" s="85"/>
      <c r="J14" s="85"/>
      <c r="K14" s="85"/>
      <c r="L14" s="85"/>
      <c r="M14" s="85"/>
      <c r="N14" s="85"/>
      <c r="O14" s="85"/>
      <c r="P14" s="85"/>
    </row>
    <row r="15" spans="1:16" ht="21" thickBot="1">
      <c r="A15" s="84"/>
      <c r="B15" s="85"/>
      <c r="C15" s="85"/>
      <c r="D15" s="89" t="s">
        <v>1594</v>
      </c>
      <c r="E15" s="85"/>
      <c r="F15" s="195" t="s">
        <v>1593</v>
      </c>
      <c r="G15" s="196"/>
      <c r="H15" s="197"/>
      <c r="I15" s="85"/>
      <c r="J15" s="85"/>
      <c r="K15" s="85"/>
      <c r="L15" s="85"/>
      <c r="M15" s="85"/>
      <c r="N15" s="85"/>
      <c r="O15" s="85"/>
      <c r="P15" s="85"/>
    </row>
    <row r="16" spans="1:16" ht="21" thickBot="1">
      <c r="A16" s="84"/>
      <c r="B16" s="85"/>
      <c r="C16" s="85"/>
      <c r="D16" s="88"/>
      <c r="E16" s="85"/>
      <c r="F16" s="198" t="s">
        <v>1604</v>
      </c>
      <c r="G16" s="199"/>
      <c r="H16" s="200"/>
      <c r="I16" s="85"/>
      <c r="J16" s="85"/>
      <c r="K16" s="85"/>
      <c r="L16" s="85"/>
      <c r="M16" s="85"/>
      <c r="N16" s="85"/>
      <c r="O16" s="85"/>
      <c r="P16" s="85"/>
    </row>
    <row r="17" spans="1:16" ht="21" thickBot="1">
      <c r="A17" s="84"/>
      <c r="B17" s="85"/>
      <c r="C17" s="85"/>
      <c r="D17" s="89" t="s">
        <v>1606</v>
      </c>
      <c r="E17" s="85"/>
      <c r="F17" s="192" t="s">
        <v>1607</v>
      </c>
      <c r="G17" s="193"/>
      <c r="H17" s="194"/>
      <c r="I17" s="85"/>
      <c r="J17" s="85"/>
      <c r="K17" s="85"/>
      <c r="L17" s="85"/>
      <c r="M17" s="85"/>
      <c r="N17" s="85"/>
      <c r="O17" s="85"/>
      <c r="P17" s="85"/>
    </row>
    <row r="18" spans="1:16" ht="21" thickBot="1">
      <c r="A18" s="84"/>
      <c r="B18" s="85"/>
      <c r="C18" s="85"/>
      <c r="D18" s="88" t="s">
        <v>1608</v>
      </c>
      <c r="E18" s="85"/>
      <c r="F18" s="192" t="s">
        <v>1609</v>
      </c>
      <c r="G18" s="193"/>
      <c r="H18" s="194"/>
      <c r="I18" s="85"/>
      <c r="J18" s="85"/>
      <c r="K18" s="85"/>
      <c r="L18" s="85"/>
      <c r="M18" s="85"/>
      <c r="N18" s="85"/>
      <c r="O18" s="85"/>
      <c r="P18" s="85"/>
    </row>
    <row r="19" spans="1:16" ht="21" thickBot="1">
      <c r="A19" s="84"/>
      <c r="B19" s="85"/>
      <c r="C19" s="85"/>
      <c r="D19" s="89" t="s">
        <v>1614</v>
      </c>
      <c r="E19" s="85"/>
      <c r="F19" s="192" t="s">
        <v>1612</v>
      </c>
      <c r="G19" s="193"/>
      <c r="H19" s="194"/>
      <c r="I19" s="85"/>
      <c r="J19" s="85"/>
      <c r="K19" s="85"/>
      <c r="L19" s="85"/>
      <c r="M19" s="85"/>
      <c r="N19" s="85"/>
      <c r="O19" s="85"/>
      <c r="P19" s="85"/>
    </row>
    <row r="20" spans="1:16" ht="21" thickBot="1">
      <c r="A20" s="84"/>
      <c r="B20" s="85"/>
      <c r="C20" s="85"/>
      <c r="D20" s="88" t="s">
        <v>1615</v>
      </c>
      <c r="E20" s="85"/>
      <c r="F20" s="192" t="s">
        <v>1613</v>
      </c>
      <c r="G20" s="193"/>
      <c r="H20" s="194"/>
      <c r="I20" s="85"/>
      <c r="J20" s="85"/>
      <c r="K20" s="85"/>
      <c r="L20" s="85"/>
      <c r="M20" s="85"/>
      <c r="N20" s="85"/>
      <c r="O20" s="85"/>
      <c r="P20" s="85"/>
    </row>
    <row r="21" spans="1:16" ht="21" thickBot="1">
      <c r="A21" s="84"/>
      <c r="B21" s="85"/>
      <c r="C21" s="85"/>
      <c r="D21" s="89" t="s">
        <v>1616</v>
      </c>
      <c r="E21" s="85"/>
      <c r="F21" s="192" t="s">
        <v>1617</v>
      </c>
      <c r="G21" s="193"/>
      <c r="H21" s="194"/>
      <c r="I21" s="85"/>
      <c r="J21" s="85"/>
      <c r="K21" s="85"/>
      <c r="L21" s="85"/>
      <c r="M21" s="85"/>
      <c r="N21" s="85"/>
      <c r="O21" s="85"/>
      <c r="P21" s="85"/>
    </row>
    <row r="22" spans="1:16" ht="21" thickBot="1">
      <c r="A22" s="84"/>
      <c r="B22" s="85"/>
      <c r="C22" s="85"/>
      <c r="D22" s="88"/>
      <c r="E22" s="85"/>
      <c r="F22" s="192"/>
      <c r="G22" s="193"/>
      <c r="H22" s="194"/>
      <c r="I22" s="85"/>
      <c r="J22" s="85"/>
      <c r="K22" s="85"/>
      <c r="L22" s="85"/>
      <c r="M22" s="85"/>
      <c r="N22" s="85"/>
      <c r="O22" s="85"/>
      <c r="P22" s="85"/>
    </row>
    <row r="23" spans="1:16" ht="21" thickBot="1">
      <c r="A23" s="84"/>
      <c r="B23" s="85"/>
      <c r="C23" s="85"/>
      <c r="D23" s="89"/>
      <c r="E23" s="85"/>
      <c r="F23" s="192"/>
      <c r="G23" s="193"/>
      <c r="H23" s="194"/>
      <c r="I23" s="85"/>
      <c r="J23" s="85"/>
      <c r="K23" s="85"/>
      <c r="L23" s="85"/>
      <c r="M23" s="85"/>
      <c r="N23" s="85"/>
      <c r="O23" s="85"/>
      <c r="P23" s="85"/>
    </row>
    <row r="24" spans="1:16" ht="21" thickBot="1">
      <c r="A24" s="84"/>
      <c r="B24" s="85"/>
      <c r="C24" s="85"/>
      <c r="D24" s="88"/>
      <c r="E24" s="85"/>
      <c r="F24" s="192"/>
      <c r="G24" s="193"/>
      <c r="H24" s="194"/>
      <c r="I24" s="85"/>
      <c r="J24" s="85"/>
      <c r="K24" s="85"/>
      <c r="L24" s="85"/>
      <c r="M24" s="85"/>
      <c r="N24" s="85"/>
      <c r="O24" s="85"/>
      <c r="P24" s="85"/>
    </row>
    <row r="25" spans="1:16" ht="21" thickBot="1">
      <c r="A25" s="84"/>
      <c r="B25" s="85"/>
      <c r="C25" s="85"/>
      <c r="D25" s="89"/>
      <c r="E25" s="85"/>
      <c r="F25" s="192"/>
      <c r="G25" s="193"/>
      <c r="H25" s="194"/>
      <c r="I25" s="85"/>
      <c r="J25" s="85"/>
      <c r="K25" s="85"/>
      <c r="L25" s="85"/>
      <c r="M25" s="85"/>
      <c r="N25" s="85"/>
      <c r="O25" s="85"/>
      <c r="P25" s="85"/>
    </row>
    <row r="26" spans="1:16" ht="21" thickBot="1">
      <c r="A26" s="84"/>
      <c r="B26" s="85"/>
      <c r="C26" s="85"/>
      <c r="D26" s="88"/>
      <c r="E26" s="85"/>
      <c r="F26" s="192"/>
      <c r="G26" s="193"/>
      <c r="H26" s="194"/>
      <c r="I26" s="85"/>
      <c r="J26" s="85"/>
      <c r="K26" s="85"/>
      <c r="L26" s="85"/>
      <c r="M26" s="85"/>
      <c r="N26" s="85"/>
      <c r="O26" s="85"/>
      <c r="P26" s="85"/>
    </row>
    <row r="27" spans="1:16" ht="21" thickBot="1">
      <c r="A27" s="84"/>
      <c r="B27" s="85"/>
      <c r="C27" s="85"/>
      <c r="D27" s="89"/>
      <c r="E27" s="85"/>
      <c r="F27" s="192"/>
      <c r="G27" s="193"/>
      <c r="H27" s="194"/>
      <c r="I27" s="85"/>
      <c r="J27" s="85"/>
      <c r="K27" s="85"/>
      <c r="L27" s="85"/>
      <c r="M27" s="85"/>
      <c r="N27" s="85"/>
      <c r="O27" s="85"/>
      <c r="P27" s="85"/>
    </row>
    <row r="28" spans="1:16">
      <c r="A28" s="90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</row>
    <row r="29" spans="1:16">
      <c r="A29" s="90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</row>
    <row r="30" spans="1:16">
      <c r="A30" s="90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</row>
    <row r="31" spans="1:16">
      <c r="A31" s="90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</row>
    <row r="32" spans="1:16">
      <c r="A32" s="90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</row>
    <row r="33" spans="1:16">
      <c r="A33" s="90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</row>
    <row r="34" spans="1:16">
      <c r="A34" s="90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</row>
    <row r="35" spans="1:16">
      <c r="A35" s="90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</row>
    <row r="36" spans="1:16">
      <c r="A36" s="90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</row>
    <row r="37" spans="1:16">
      <c r="A37" s="90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</row>
    <row r="38" spans="1:16">
      <c r="A38" s="90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</row>
    <row r="39" spans="1:16">
      <c r="A39" s="90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</row>
    <row r="40" spans="1:16">
      <c r="A40" s="90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</row>
    <row r="41" spans="1:16">
      <c r="A41" s="90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</row>
    <row r="42" spans="1:16">
      <c r="A42" s="90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</row>
    <row r="43" spans="1:16">
      <c r="A43" s="90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</row>
    <row r="44" spans="1:16">
      <c r="A44" s="90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</row>
    <row r="45" spans="1:16">
      <c r="A45" s="90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</row>
    <row r="46" spans="1:16">
      <c r="A46" s="90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</row>
    <row r="47" spans="1:16">
      <c r="A47" s="90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</row>
    <row r="48" spans="1:16">
      <c r="A48" s="90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</row>
    <row r="49" spans="1:16">
      <c r="A49" s="90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</row>
    <row r="50" spans="1:16">
      <c r="A50" s="90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</row>
    <row r="51" spans="1:16">
      <c r="A51" s="90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</row>
    <row r="52" spans="1:16">
      <c r="A52" s="90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</row>
    <row r="53" spans="1:16">
      <c r="A53" s="90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</row>
    <row r="54" spans="1:16">
      <c r="A54" s="90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</row>
    <row r="55" spans="1:16">
      <c r="A55" s="90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</row>
    <row r="56" spans="1:16">
      <c r="A56" s="90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</row>
    <row r="57" spans="1:16">
      <c r="A57" s="90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</row>
    <row r="58" spans="1:16">
      <c r="A58" s="90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</row>
    <row r="59" spans="1:16">
      <c r="A59" s="90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</row>
    <row r="60" spans="1:16">
      <c r="A60" s="90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</row>
    <row r="61" spans="1:16">
      <c r="A61" s="90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</row>
    <row r="62" spans="1:16" hidden="1"/>
    <row r="63" spans="1:16" hidden="1"/>
    <row r="64" spans="1:16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</sheetData>
  <sheetProtection password="9AF0" sheet="1" objects="1" scenarios="1" selectLockedCells="1"/>
  <mergeCells count="23">
    <mergeCell ref="F10:H10"/>
    <mergeCell ref="F4:H4"/>
    <mergeCell ref="F6:H6"/>
    <mergeCell ref="F7:H7"/>
    <mergeCell ref="F8:H8"/>
    <mergeCell ref="F9:H9"/>
    <mergeCell ref="F22:H22"/>
    <mergeCell ref="F11:H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F21:H21"/>
    <mergeCell ref="F23:H23"/>
    <mergeCell ref="F24:H24"/>
    <mergeCell ref="F25:H25"/>
    <mergeCell ref="F26:H26"/>
    <mergeCell ref="F27:H27"/>
  </mergeCells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bInstellingen">
    <pageSetUpPr autoPageBreaks="0"/>
  </sheetPr>
  <dimension ref="A1:R53"/>
  <sheetViews>
    <sheetView showGridLines="0" showRowColHeaders="0" topLeftCell="A7" zoomScaleNormal="100" zoomScaleSheetLayoutView="100" workbookViewId="0">
      <selection activeCell="D25" sqref="D25"/>
    </sheetView>
  </sheetViews>
  <sheetFormatPr defaultColWidth="0" defaultRowHeight="12.75" zeroHeight="1"/>
  <cols>
    <col min="1" max="1" width="14.7109375" style="21" customWidth="1"/>
    <col min="2" max="2" width="9.140625" style="21" customWidth="1"/>
    <col min="3" max="3" width="37.5703125" style="21" customWidth="1"/>
    <col min="4" max="4" width="35.140625" style="21" customWidth="1"/>
    <col min="5" max="5" width="23.7109375" style="21" customWidth="1"/>
    <col min="6" max="6" width="21.42578125" style="21" customWidth="1"/>
    <col min="7" max="7" width="23.7109375" style="21" customWidth="1"/>
    <col min="8" max="9" width="17.7109375" style="21" customWidth="1"/>
    <col min="10" max="18" width="9.140625" style="21" customWidth="1"/>
    <col min="19" max="16384" width="9.140625" style="21" hidden="1"/>
  </cols>
  <sheetData>
    <row r="1" spans="1:18" ht="76.5" customHeight="1">
      <c r="A1" s="8"/>
      <c r="B1" s="8"/>
      <c r="C1" s="8"/>
      <c r="D1" s="91" t="s">
        <v>1543</v>
      </c>
      <c r="E1" s="75"/>
      <c r="F1" s="83" t="str">
        <f ca="1">'Release Notes'!$G$1</f>
        <v>v20140129</v>
      </c>
      <c r="G1" s="8"/>
      <c r="H1" s="8"/>
      <c r="I1" s="7"/>
      <c r="J1" s="7"/>
      <c r="K1" s="8"/>
      <c r="L1" s="8"/>
      <c r="M1" s="8"/>
      <c r="N1" s="8"/>
      <c r="O1" s="8"/>
      <c r="P1" s="8"/>
      <c r="Q1" s="8"/>
      <c r="R1" s="8"/>
    </row>
    <row r="2" spans="1:18" ht="12.75" customHeight="1" thickBot="1">
      <c r="A2" s="8"/>
    </row>
    <row r="3" spans="1:18" ht="25.5" customHeight="1" thickBot="1">
      <c r="A3" s="8"/>
      <c r="C3" s="223" t="s">
        <v>771</v>
      </c>
      <c r="D3" s="224"/>
      <c r="E3" s="225"/>
      <c r="G3" s="211" t="s">
        <v>1545</v>
      </c>
      <c r="H3" s="212"/>
      <c r="I3" s="213"/>
    </row>
    <row r="4" spans="1:18" ht="6.6" customHeight="1">
      <c r="A4" s="8"/>
      <c r="G4" s="49"/>
      <c r="H4" s="49"/>
    </row>
    <row r="5" spans="1:18" ht="6.6" customHeight="1" thickBot="1">
      <c r="A5" s="8"/>
      <c r="B5" s="49"/>
      <c r="C5" s="51"/>
      <c r="D5" s="51"/>
      <c r="E5" s="51"/>
      <c r="F5" s="51"/>
      <c r="G5" s="51"/>
      <c r="H5" s="52"/>
      <c r="I5" s="49"/>
    </row>
    <row r="6" spans="1:18" ht="25.5" customHeight="1" thickBot="1">
      <c r="A6" s="8"/>
      <c r="C6" s="55" t="s">
        <v>27</v>
      </c>
      <c r="D6" s="226" t="str">
        <f>TRIM(LEFT(Transacties!$E$6 &amp; REPT(" ",70),70))</f>
        <v>Gulp en Geul Journaal</v>
      </c>
      <c r="E6" s="227"/>
      <c r="F6" s="52"/>
      <c r="G6" s="55" t="s">
        <v>1546</v>
      </c>
      <c r="H6" s="214">
        <v>0.05</v>
      </c>
      <c r="I6" s="215"/>
    </row>
    <row r="7" spans="1:18" ht="25.5" customHeight="1" thickBot="1">
      <c r="A7" s="8"/>
      <c r="C7" s="56" t="s">
        <v>1552</v>
      </c>
      <c r="D7" s="226" t="str">
        <f>Transacties!$E$8</f>
        <v>NL85ABNA0558835139</v>
      </c>
      <c r="E7" s="227"/>
      <c r="F7" s="53"/>
      <c r="G7" s="56" t="s">
        <v>1547</v>
      </c>
      <c r="H7" s="216">
        <v>5000</v>
      </c>
      <c r="I7" s="217"/>
      <c r="M7" s="1"/>
    </row>
    <row r="8" spans="1:18" ht="25.5" customHeight="1" thickBot="1">
      <c r="A8" s="8"/>
      <c r="C8" s="55" t="s">
        <v>772</v>
      </c>
      <c r="D8" s="226" t="str">
        <f>Transacties!$E$10</f>
        <v>ABNANL2A</v>
      </c>
      <c r="E8" s="227"/>
      <c r="F8" s="53"/>
      <c r="G8" s="54"/>
      <c r="H8" s="218" t="str">
        <f>IF(MaximumBedrag&lt;MinimumBedrag,"Maximumbedrag kan niet lager zijn dan Minimumbedrag !!!","")</f>
        <v/>
      </c>
      <c r="I8" s="218"/>
      <c r="M8" s="1"/>
    </row>
    <row r="9" spans="1:18" ht="25.5" customHeight="1" thickBot="1">
      <c r="A9" s="8"/>
      <c r="C9" s="56" t="s">
        <v>28</v>
      </c>
      <c r="D9" s="226" t="str">
        <f>Transacties!$E$13</f>
        <v>NL</v>
      </c>
      <c r="E9" s="227"/>
      <c r="F9" s="53"/>
      <c r="G9" s="54"/>
      <c r="H9" s="219"/>
      <c r="I9" s="219"/>
      <c r="M9" s="1"/>
    </row>
    <row r="10" spans="1:18" ht="25.5" customHeight="1" thickBot="1">
      <c r="A10" s="8"/>
      <c r="C10" s="55" t="s">
        <v>29</v>
      </c>
      <c r="D10" s="226" t="str">
        <f>Transacties!$E$15</f>
        <v>JMC</v>
      </c>
      <c r="E10" s="227"/>
      <c r="F10" s="53"/>
      <c r="G10" s="50"/>
      <c r="H10" s="52"/>
      <c r="M10" s="1"/>
    </row>
    <row r="11" spans="1:18" ht="25.5" customHeight="1" thickBot="1">
      <c r="A11" s="8"/>
      <c r="C11" s="56" t="s">
        <v>30</v>
      </c>
      <c r="D11" s="226">
        <f ca="1">COUNTIF(INDIRECT(D25&amp;"!$D$6:$D$1392"),"x")</f>
        <v>46</v>
      </c>
      <c r="E11" s="227"/>
      <c r="F11" s="53"/>
      <c r="G11" s="51"/>
      <c r="H11" s="52"/>
      <c r="M11" s="1"/>
    </row>
    <row r="12" spans="1:18" ht="25.5" customHeight="1" thickBot="1">
      <c r="A12" s="8"/>
      <c r="C12" s="55" t="s">
        <v>31</v>
      </c>
      <c r="D12" s="226">
        <f>COUNTIF(Transacties!$C$20:$C$5496,"&lt;&gt;")</f>
        <v>1</v>
      </c>
      <c r="E12" s="227"/>
      <c r="F12" s="53"/>
      <c r="G12" s="50"/>
      <c r="H12" s="52"/>
      <c r="M12" s="1"/>
    </row>
    <row r="13" spans="1:18" ht="25.5" customHeight="1" thickBot="1">
      <c r="A13" s="8"/>
      <c r="C13" s="56" t="s">
        <v>32</v>
      </c>
      <c r="D13" s="226" t="e">
        <f ca="1">LEFT(D10 &amp; TEXT(NOW(),jaarformaat()&amp;"MMDD"&amp;uurformaat()&amp;"mmss"),35)</f>
        <v>#NAME?</v>
      </c>
      <c r="E13" s="227"/>
      <c r="F13" s="53"/>
      <c r="G13" s="54"/>
      <c r="H13" s="52"/>
      <c r="M13" s="1"/>
    </row>
    <row r="14" spans="1:18" ht="25.5" customHeight="1" thickBot="1">
      <c r="A14" s="8"/>
      <c r="C14" s="55" t="s">
        <v>33</v>
      </c>
      <c r="D14" s="226" t="e">
        <f ca="1">TEXT(NOW(),jaarformaat()&amp;"-MM-DDT" &amp; uurformaat() &amp;":mm:ss")</f>
        <v>#NAME?</v>
      </c>
      <c r="E14" s="227"/>
      <c r="F14" s="53"/>
      <c r="G14" s="54"/>
      <c r="H14" s="52"/>
      <c r="M14" s="1"/>
    </row>
    <row r="15" spans="1:18" ht="25.5" customHeight="1" thickBot="1">
      <c r="A15" s="8"/>
      <c r="C15" s="56" t="s">
        <v>34</v>
      </c>
      <c r="D15" s="48" t="e">
        <f ca="1">TEXT(TODAY(),jaarformaat()&amp;"mmdd")</f>
        <v>#NAME?</v>
      </c>
      <c r="E15" s="59" t="s">
        <v>42</v>
      </c>
      <c r="F15" s="58" t="s">
        <v>1605</v>
      </c>
      <c r="G15" s="50"/>
      <c r="H15" s="52"/>
      <c r="M15" s="1"/>
    </row>
    <row r="16" spans="1:18" ht="25.5" customHeight="1" thickBot="1">
      <c r="A16" s="8"/>
      <c r="C16" s="55" t="s">
        <v>35</v>
      </c>
      <c r="D16" s="112" t="e">
        <f ca="1">TEXT(IF(E16&lt;&gt;"",IF(AND(E16&gt;=TODAY(),(E16&lt;=(TODAY()+264))),E16,TODAY()),TODAY()),jaarformaat() &amp; "-mm-dd")</f>
        <v>#NAME?</v>
      </c>
      <c r="E16" s="60"/>
      <c r="F16" s="58" t="s">
        <v>1548</v>
      </c>
      <c r="G16" s="50"/>
      <c r="H16" s="52"/>
      <c r="M16" s="1"/>
    </row>
    <row r="17" spans="1:13" ht="25.5" customHeight="1" thickBot="1">
      <c r="A17" s="8"/>
      <c r="C17" s="56" t="s">
        <v>1550</v>
      </c>
      <c r="D17" s="228" t="s">
        <v>1626</v>
      </c>
      <c r="E17" s="229"/>
      <c r="F17" s="57" t="s">
        <v>773</v>
      </c>
      <c r="G17" s="50"/>
      <c r="H17" s="52"/>
      <c r="M17" s="1"/>
    </row>
    <row r="18" spans="1:13" ht="25.5" customHeight="1" thickBot="1">
      <c r="A18" s="8"/>
      <c r="C18" s="55" t="s">
        <v>1551</v>
      </c>
      <c r="D18" s="228" t="s">
        <v>1627</v>
      </c>
      <c r="E18" s="229"/>
      <c r="F18" s="57" t="s">
        <v>773</v>
      </c>
      <c r="G18" s="50"/>
      <c r="H18" s="52"/>
      <c r="M18" s="1"/>
    </row>
    <row r="19" spans="1:13" ht="25.5" customHeight="1" thickBot="1">
      <c r="A19" s="8"/>
      <c r="C19" s="56" t="s">
        <v>1592</v>
      </c>
      <c r="D19" s="104"/>
      <c r="E19" s="50"/>
      <c r="F19" s="57" t="s">
        <v>773</v>
      </c>
      <c r="G19" s="50"/>
      <c r="H19" s="52"/>
      <c r="M19" s="1"/>
    </row>
    <row r="20" spans="1:13" ht="6.6" customHeight="1" thickBot="1">
      <c r="A20" s="8"/>
      <c r="C20" s="52"/>
      <c r="D20" s="52"/>
      <c r="E20" s="52"/>
      <c r="F20" s="52"/>
      <c r="G20" s="52"/>
      <c r="H20" s="52"/>
    </row>
    <row r="21" spans="1:13" ht="25.5" customHeight="1">
      <c r="A21" s="8"/>
      <c r="B21" s="49"/>
      <c r="C21" s="230" t="s">
        <v>1544</v>
      </c>
      <c r="D21" s="231"/>
      <c r="E21" s="232"/>
      <c r="F21" s="51"/>
      <c r="G21" s="51"/>
      <c r="H21" s="52"/>
    </row>
    <row r="22" spans="1:13" ht="13.5" thickBot="1">
      <c r="A22" s="8"/>
      <c r="B22" s="49"/>
      <c r="C22" s="50"/>
      <c r="D22" s="50"/>
      <c r="E22" s="50"/>
      <c r="F22" s="50"/>
      <c r="G22" s="50"/>
      <c r="H22" s="52"/>
    </row>
    <row r="23" spans="1:13" ht="25.5" customHeight="1" thickBot="1">
      <c r="A23" s="8"/>
      <c r="C23" s="55" t="s">
        <v>762</v>
      </c>
      <c r="D23" s="220" t="s">
        <v>1621</v>
      </c>
      <c r="E23" s="221"/>
      <c r="F23" s="222"/>
      <c r="G23" s="54"/>
      <c r="H23" s="52"/>
    </row>
    <row r="24" spans="1:13" ht="25.5" customHeight="1" thickBot="1">
      <c r="A24" s="8"/>
      <c r="C24" s="56" t="s">
        <v>763</v>
      </c>
      <c r="D24" s="220" t="s">
        <v>1631</v>
      </c>
      <c r="E24" s="221"/>
      <c r="F24" s="222"/>
      <c r="G24" s="54"/>
      <c r="H24" s="52"/>
    </row>
    <row r="25" spans="1:13" ht="25.5" customHeight="1" thickBot="1">
      <c r="A25" s="8"/>
      <c r="C25" s="55" t="s">
        <v>770</v>
      </c>
      <c r="D25" s="61" t="s">
        <v>1542</v>
      </c>
      <c r="E25" s="50"/>
      <c r="F25" s="50"/>
      <c r="G25" s="50"/>
      <c r="H25" s="52"/>
    </row>
    <row r="26" spans="1:13" ht="21" thickBot="1">
      <c r="A26" s="8"/>
      <c r="C26" s="115" t="s">
        <v>1618</v>
      </c>
      <c r="D26" s="204"/>
      <c r="E26" s="205"/>
      <c r="F26" s="206"/>
      <c r="G26" s="57" t="s">
        <v>1619</v>
      </c>
      <c r="H26" s="52"/>
    </row>
    <row r="27" spans="1:13">
      <c r="A27" s="8"/>
      <c r="D27" s="49"/>
      <c r="E27" s="49"/>
      <c r="F27" s="49"/>
      <c r="G27" s="49"/>
      <c r="H27" s="49"/>
    </row>
    <row r="28" spans="1:13" ht="13.5" thickBot="1">
      <c r="A28" s="8"/>
      <c r="D28" s="49"/>
      <c r="E28" s="49"/>
      <c r="F28" s="49"/>
      <c r="G28" s="49"/>
      <c r="H28" s="49"/>
    </row>
    <row r="29" spans="1:13" ht="14.25" customHeight="1">
      <c r="A29" s="8"/>
      <c r="C29" s="107" t="s">
        <v>1581</v>
      </c>
      <c r="D29" s="108">
        <f ca="1">1*(COUNTIF($D$31:$D$37,Aantal_Ingevulde_IBANnummers)=7)</f>
        <v>1</v>
      </c>
      <c r="F29" s="110" t="str">
        <f ca="1">"Feestdagen " &amp; TEXT(YEAR(TODAY()),"0000")</f>
        <v>Feestdagen 2019</v>
      </c>
      <c r="G29" s="111" t="str">
        <f ca="1">"Feestdagen " &amp; TEXT(YEAR(TODAY())+1,"0000")</f>
        <v>Feestdagen 2020</v>
      </c>
    </row>
    <row r="30" spans="1:13" ht="13.5" thickBot="1">
      <c r="A30" s="8"/>
    </row>
    <row r="31" spans="1:13" ht="14.25" customHeight="1" thickBot="1">
      <c r="A31" s="8"/>
      <c r="C31" s="98" t="s">
        <v>1568</v>
      </c>
      <c r="D31" s="100">
        <f>$D$12</f>
        <v>1</v>
      </c>
      <c r="E31" s="101" t="s">
        <v>1582</v>
      </c>
      <c r="F31" s="106" t="e">
        <f ca="1">BepaalPasen(YEAR(TODAY()))</f>
        <v>#NAME?</v>
      </c>
      <c r="G31" s="106" t="e">
        <f ca="1">BepaalPasen(YEAR(TODAY())+1)</f>
        <v>#NAME?</v>
      </c>
      <c r="H31" s="209" t="s">
        <v>1595</v>
      </c>
      <c r="I31" s="210"/>
    </row>
    <row r="32" spans="1:13" ht="14.25" customHeight="1" thickBot="1">
      <c r="A32" s="8"/>
      <c r="C32" s="99" t="s">
        <v>1569</v>
      </c>
      <c r="D32" s="100">
        <f>Aantal_Ingevulde_IBANnummers</f>
        <v>1</v>
      </c>
      <c r="E32" s="101" t="s">
        <v>1582</v>
      </c>
      <c r="F32" s="106" t="e">
        <f ca="1">F31+1</f>
        <v>#NAME?</v>
      </c>
      <c r="G32" s="106" t="e">
        <f ca="1">G31+1</f>
        <v>#NAME?</v>
      </c>
      <c r="H32" s="207" t="s">
        <v>1596</v>
      </c>
      <c r="I32" s="208"/>
    </row>
    <row r="33" spans="1:9" ht="14.25" customHeight="1" thickBot="1">
      <c r="A33" s="8"/>
      <c r="C33" s="98" t="s">
        <v>1570</v>
      </c>
      <c r="D33" s="100">
        <f ca="1">Aantal_Ingevulde_BICCodes</f>
        <v>1</v>
      </c>
      <c r="E33" s="101" t="s">
        <v>1583</v>
      </c>
      <c r="F33" s="106" t="e">
        <f ca="1">F31+49</f>
        <v>#NAME?</v>
      </c>
      <c r="G33" s="106" t="e">
        <f ca="1">G31+49</f>
        <v>#NAME?</v>
      </c>
      <c r="H33" s="209" t="s">
        <v>1597</v>
      </c>
      <c r="I33" s="210"/>
    </row>
    <row r="34" spans="1:9" ht="14.25" customHeight="1" thickBot="1">
      <c r="A34" s="8"/>
      <c r="C34" s="99" t="s">
        <v>1571</v>
      </c>
      <c r="D34" s="100">
        <f ca="1">Aantal_Ingevulde_Bedragen</f>
        <v>1</v>
      </c>
      <c r="E34" s="102" t="s">
        <v>1584</v>
      </c>
      <c r="F34" s="106" t="e">
        <f ca="1">F33+1</f>
        <v>#NAME?</v>
      </c>
      <c r="G34" s="106" t="e">
        <f ca="1">G33+1</f>
        <v>#NAME?</v>
      </c>
      <c r="H34" s="207" t="s">
        <v>1598</v>
      </c>
      <c r="I34" s="208"/>
    </row>
    <row r="35" spans="1:9" ht="14.25" customHeight="1" thickBot="1">
      <c r="A35" s="8"/>
      <c r="C35" s="98" t="s">
        <v>1572</v>
      </c>
      <c r="D35" s="100">
        <f ca="1">Aantal_Ingevulde_Namen</f>
        <v>1</v>
      </c>
      <c r="E35" s="102" t="s">
        <v>1585</v>
      </c>
      <c r="F35" s="106" t="e">
        <f ca="1">F33-10</f>
        <v>#NAME?</v>
      </c>
      <c r="G35" s="106" t="e">
        <f ca="1">G33-10</f>
        <v>#NAME?</v>
      </c>
      <c r="H35" s="209" t="s">
        <v>1599</v>
      </c>
      <c r="I35" s="210"/>
    </row>
    <row r="36" spans="1:9" ht="14.25" customHeight="1" thickBot="1">
      <c r="A36" s="8"/>
      <c r="C36" s="99" t="s">
        <v>1573</v>
      </c>
      <c r="D36" s="100">
        <f ca="1">Aantal_Ingevulde_TransactieIDs</f>
        <v>1</v>
      </c>
      <c r="E36" s="102" t="s">
        <v>1586</v>
      </c>
      <c r="F36" s="106">
        <f ca="1">IF(YEAR(TODAY())&lt;=2013,DATE(YEAR(TODAY()),4,30),IF(WEEKDAY(DATE(YEAR(TODAY()),4,27))=1,DATE(YEAR(TODAY()),4,26),DATE(YEAR(TODAY()),4,27)))</f>
        <v>43582</v>
      </c>
      <c r="G36" s="106">
        <f ca="1">IF((YEAR(TODAY())+1)&lt;=2013,DATE((YEAR(TODAY())+1),4,30),IF(WEEKDAY(DATE((YEAR(TODAY())+1),4,27))=1,DATE((YEAR(TODAY())+1),4,26),DATE((YEAR(TODAY())+1),4,27)))</f>
        <v>43948</v>
      </c>
      <c r="H36" s="207" t="s">
        <v>1600</v>
      </c>
      <c r="I36" s="208"/>
    </row>
    <row r="37" spans="1:9" ht="14.25" customHeight="1" thickBot="1">
      <c r="A37" s="8"/>
      <c r="C37" s="98" t="s">
        <v>1574</v>
      </c>
      <c r="D37" s="100">
        <f ca="1">Aantal_Ingevulde_Omschrijvingen</f>
        <v>1</v>
      </c>
      <c r="E37" s="102" t="s">
        <v>1587</v>
      </c>
      <c r="F37" s="106">
        <f ca="1">DATE(YEAR(TODAY()),12,25)</f>
        <v>43824</v>
      </c>
      <c r="G37" s="106">
        <f ca="1">DATE((YEAR(TODAY())+1),12,25)</f>
        <v>44190</v>
      </c>
      <c r="H37" s="209" t="s">
        <v>1601</v>
      </c>
      <c r="I37" s="210"/>
    </row>
    <row r="38" spans="1:9" ht="14.25" customHeight="1" thickBot="1">
      <c r="A38" s="8"/>
      <c r="F38" s="106">
        <f ca="1">DATE(YEAR(TODAY()),12,26)</f>
        <v>43825</v>
      </c>
      <c r="G38" s="106">
        <f ca="1">DATE((YEAR(TODAY())+1),12,26)</f>
        <v>44191</v>
      </c>
      <c r="H38" s="207" t="s">
        <v>1602</v>
      </c>
      <c r="I38" s="208"/>
    </row>
    <row r="39" spans="1:9" ht="14.25" customHeight="1" thickBot="1">
      <c r="A39" s="8"/>
      <c r="C39" s="109" t="s">
        <v>1588</v>
      </c>
      <c r="D39" s="108">
        <f ca="1">1*(COUNTIF($D$41:$D$46,D41)=6)</f>
        <v>1</v>
      </c>
      <c r="F39" s="106">
        <f ca="1">DATE(YEAR(TODAY()),1,1)</f>
        <v>43466</v>
      </c>
      <c r="G39" s="106">
        <f ca="1">DATE((YEAR(TODAY())+1),1,1)</f>
        <v>43831</v>
      </c>
      <c r="H39" s="209" t="s">
        <v>1603</v>
      </c>
      <c r="I39" s="210"/>
    </row>
    <row r="40" spans="1:9" ht="13.5" thickBot="1">
      <c r="A40" s="8"/>
      <c r="D40" s="97"/>
    </row>
    <row r="41" spans="1:9" ht="14.25" thickBot="1">
      <c r="A41" s="8"/>
      <c r="C41" s="98" t="s">
        <v>1575</v>
      </c>
      <c r="D41" s="100">
        <f ca="1">LaatsteRegel_Ingevulde_IBANnummers</f>
        <v>20</v>
      </c>
      <c r="E41" s="101" t="s">
        <v>1582</v>
      </c>
      <c r="F41" s="134" t="str">
        <f ca="1">IF(D41&lt;&gt;MAX($D$41:$D$46),"IBAN-nummers,",",")</f>
        <v>,</v>
      </c>
      <c r="G41" s="134" t="str">
        <f ca="1">IF(D32&lt;&gt;MAX($D$32:$D$37),"IBAN-nummers,",",")</f>
        <v>,</v>
      </c>
    </row>
    <row r="42" spans="1:9" ht="14.25" thickBot="1">
      <c r="A42" s="8"/>
      <c r="C42" s="99" t="s">
        <v>1580</v>
      </c>
      <c r="D42" s="100">
        <f ca="1">LaatsteRegel_Ingevulde_BICCodes</f>
        <v>20</v>
      </c>
      <c r="E42" s="101" t="s">
        <v>1583</v>
      </c>
      <c r="F42" s="134" t="str">
        <f ca="1">IF(D42&lt;&gt;MAX($D$41:$D$46),"BICcodes,",",")</f>
        <v>,</v>
      </c>
      <c r="G42" s="134" t="str">
        <f ca="1">IF(D33&lt;&gt;MAX($D$32:$D$37),"BICcodes,",",")</f>
        <v>,</v>
      </c>
    </row>
    <row r="43" spans="1:9" ht="14.25" thickBot="1">
      <c r="A43" s="8"/>
      <c r="C43" s="98" t="s">
        <v>1576</v>
      </c>
      <c r="D43" s="100">
        <f ca="1">LaatsteRegel_Ingevulde_Bedragen</f>
        <v>20</v>
      </c>
      <c r="E43" s="102" t="s">
        <v>1584</v>
      </c>
      <c r="F43" s="134" t="str">
        <f ca="1">IF(D43&lt;&gt;MAX($D$41:$D$46),"Bedragen,",",")</f>
        <v>,</v>
      </c>
      <c r="G43" s="134" t="str">
        <f ca="1">IF(D34&lt;&gt;MAX($D$32:$D$37),"Bedragen,",",")</f>
        <v>,</v>
      </c>
    </row>
    <row r="44" spans="1:9" ht="14.25" thickBot="1">
      <c r="A44" s="8"/>
      <c r="C44" s="99" t="s">
        <v>1577</v>
      </c>
      <c r="D44" s="100">
        <f ca="1">LaatsteRegel_Ingevulde_Namen</f>
        <v>20</v>
      </c>
      <c r="E44" s="102" t="s">
        <v>1585</v>
      </c>
      <c r="F44" s="134" t="str">
        <f ca="1">IF(D44&lt;&gt;MAX($D$41:$D$46),"Namen,",",")</f>
        <v>,</v>
      </c>
      <c r="G44" s="134" t="str">
        <f ca="1">IF(D35&lt;&gt;MAX($D$32:$D$37),"Namen,",",")</f>
        <v>,</v>
      </c>
    </row>
    <row r="45" spans="1:9" ht="14.25" thickBot="1">
      <c r="A45" s="8"/>
      <c r="C45" s="98" t="s">
        <v>1578</v>
      </c>
      <c r="D45" s="100">
        <f ca="1">LaatsteRegel_Ingevulde_TransactieIDs</f>
        <v>20</v>
      </c>
      <c r="E45" s="102" t="s">
        <v>1586</v>
      </c>
      <c r="F45" s="134" t="str">
        <f ca="1">IF(D45&lt;&gt;MAX($D$41:$D$46),"Transactie-ID's,",",")</f>
        <v>,</v>
      </c>
      <c r="G45" s="134" t="str">
        <f ca="1">IF(D36&lt;&gt;MAX($D$32:$D$37),"Transactie-ID's,",",")</f>
        <v>,</v>
      </c>
    </row>
    <row r="46" spans="1:9" ht="14.25" thickBot="1">
      <c r="A46" s="8"/>
      <c r="C46" s="99" t="s">
        <v>1579</v>
      </c>
      <c r="D46" s="100">
        <f ca="1">LaatsteRegel_Ingevulde_Omschrijvingen</f>
        <v>20</v>
      </c>
      <c r="E46" s="102" t="s">
        <v>1587</v>
      </c>
      <c r="F46" s="134" t="str">
        <f ca="1">IF(D46&lt;&gt;MAX($D$41:$D$46),"Omschrijvingen,",",")</f>
        <v>,</v>
      </c>
      <c r="G46" s="134" t="str">
        <f ca="1">IF(D37&lt;&gt;MAX($D$32:$D$37),"Omschrijvingen,",",")</f>
        <v>,</v>
      </c>
    </row>
    <row r="47" spans="1:9" ht="13.5" thickBot="1">
      <c r="A47" s="8"/>
      <c r="F47" s="134" t="str">
        <f ca="1">SUBSTITUTE(TRIM(SUBSTITUTE(F41&amp;F42&amp;F43&amp;F44&amp;F45&amp;F46,","," "))," ",", ")</f>
        <v/>
      </c>
      <c r="G47" s="134" t="str">
        <f ca="1">SUBSTITUTE(TRIM(SUBSTITUTE(G41&amp;G42&amp;G43&amp;G44&amp;G45&amp;G46,","," "))," ",", ")</f>
        <v/>
      </c>
    </row>
    <row r="48" spans="1:9" ht="21" thickBot="1">
      <c r="A48" s="8"/>
      <c r="C48" s="113" t="s">
        <v>1611</v>
      </c>
      <c r="D48" s="114">
        <v>1519</v>
      </c>
    </row>
    <row r="49" spans="1:1">
      <c r="A49" s="8"/>
    </row>
    <row r="50" spans="1:1">
      <c r="A50" s="8"/>
    </row>
    <row r="51" spans="1:1" hidden="1">
      <c r="A51" s="8"/>
    </row>
    <row r="52" spans="1:1" hidden="1">
      <c r="A52" s="8"/>
    </row>
    <row r="53" spans="1:1" hidden="1">
      <c r="A53" s="8"/>
    </row>
  </sheetData>
  <sheetProtection password="9AF0" sheet="1" objects="1" scenarios="1" selectLockedCells="1"/>
  <mergeCells count="29">
    <mergeCell ref="D24:F24"/>
    <mergeCell ref="C3:E3"/>
    <mergeCell ref="D6:E6"/>
    <mergeCell ref="D17:E17"/>
    <mergeCell ref="D18:E18"/>
    <mergeCell ref="D14:E14"/>
    <mergeCell ref="D13:E13"/>
    <mergeCell ref="D12:E12"/>
    <mergeCell ref="D11:E11"/>
    <mergeCell ref="D10:E10"/>
    <mergeCell ref="D9:E9"/>
    <mergeCell ref="D8:E8"/>
    <mergeCell ref="D7:E7"/>
    <mergeCell ref="C21:E21"/>
    <mergeCell ref="G3:I3"/>
    <mergeCell ref="H6:I6"/>
    <mergeCell ref="H7:I7"/>
    <mergeCell ref="H8:I9"/>
    <mergeCell ref="D23:F23"/>
    <mergeCell ref="D26:F26"/>
    <mergeCell ref="H36:I36"/>
    <mergeCell ref="H37:I37"/>
    <mergeCell ref="H38:I38"/>
    <mergeCell ref="H39:I39"/>
    <mergeCell ref="H31:I31"/>
    <mergeCell ref="H32:I32"/>
    <mergeCell ref="H33:I33"/>
    <mergeCell ref="H34:I34"/>
    <mergeCell ref="H35:I35"/>
  </mergeCells>
  <conditionalFormatting sqref="H8:I9">
    <cfRule type="expression" dxfId="32" priority="1">
      <formula>$H$8&lt;&gt;""</formula>
    </cfRule>
  </conditionalFormatting>
  <dataValidations count="3">
    <dataValidation type="list" allowBlank="1" showInputMessage="1" showErrorMessage="1" sqref="D25">
      <formula1>"pain.001.001.03,pain.001.001.04"</formula1>
    </dataValidation>
    <dataValidation type="decimal" operator="greaterThan" allowBlank="1" showErrorMessage="1" errorTitle="Foutief bedrag" error="Het ingevoerde bedrag mag geen 0,00 EUR bedragen" sqref="H7">
      <formula1>0</formula1>
    </dataValidation>
    <dataValidation type="decimal" operator="greaterThan" allowBlank="1" showErrorMessage="1" errorTitle="Foutief bedrag" error="Het ingevoerde bedrag mag geen 0,00 EUR of minder bedragen . . . " sqref="H6:I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49" r:id="rId5" name="svBB">
          <controlPr defaultSize="0" print="0" autoFill="0" autoLine="0" r:id="rId6">
            <anchor moveWithCells="1" sizeWithCells="1">
              <from>
                <xdr:col>3</xdr:col>
                <xdr:colOff>76200</xdr:colOff>
                <xdr:row>18</xdr:row>
                <xdr:rowOff>19050</xdr:rowOff>
              </from>
              <to>
                <xdr:col>3</xdr:col>
                <xdr:colOff>295275</xdr:colOff>
                <xdr:row>19</xdr:row>
                <xdr:rowOff>38100</xdr:rowOff>
              </to>
            </anchor>
          </controlPr>
        </control>
      </mc:Choice>
      <mc:Fallback>
        <control shapeId="2049" r:id="rId5" name="svB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bTransacties">
    <pageSetUpPr autoPageBreaks="0"/>
  </sheetPr>
  <dimension ref="A1:U1524"/>
  <sheetViews>
    <sheetView showGridLines="0" showRowColHeaders="0" tabSelected="1" zoomScale="85" zoomScaleNormal="85" workbookViewId="0">
      <pane ySplit="19" topLeftCell="A20" activePane="bottomLeft" state="frozen"/>
      <selection pane="bottomLeft" activeCell="N36" sqref="N36"/>
    </sheetView>
  </sheetViews>
  <sheetFormatPr defaultColWidth="0" defaultRowHeight="12.75" zeroHeight="1"/>
  <cols>
    <col min="1" max="1" width="14.7109375" style="21" customWidth="1"/>
    <col min="2" max="2" width="1.7109375" style="21" customWidth="1"/>
    <col min="3" max="3" width="20.5703125" style="69" customWidth="1"/>
    <col min="4" max="4" width="15.5703125" style="21" customWidth="1"/>
    <col min="5" max="5" width="12.5703125" style="21" customWidth="1"/>
    <col min="6" max="6" width="22" style="21" customWidth="1"/>
    <col min="7" max="7" width="10.7109375" style="21" customWidth="1"/>
    <col min="8" max="9" width="28.7109375" style="21" customWidth="1"/>
    <col min="10" max="10" width="22" style="69" customWidth="1"/>
    <col min="11" max="11" width="25.7109375" style="69" customWidth="1"/>
    <col min="12" max="12" width="14.7109375" style="73" customWidth="1"/>
    <col min="13" max="13" width="11.42578125" style="21" customWidth="1"/>
    <col min="14" max="21" width="9.140625" style="21" customWidth="1"/>
    <col min="22" max="16384" width="9.140625" style="21" hidden="1"/>
  </cols>
  <sheetData>
    <row r="1" spans="1:21" ht="76.5" customHeight="1">
      <c r="A1" s="6"/>
      <c r="B1" s="6"/>
      <c r="C1" s="6"/>
      <c r="D1" s="6"/>
      <c r="E1" s="7"/>
      <c r="F1" s="91" t="s">
        <v>1543</v>
      </c>
      <c r="G1" s="91"/>
      <c r="H1" s="75"/>
      <c r="I1" s="83" t="str">
        <f ca="1">'Release Notes'!$G$1</f>
        <v>v20140129</v>
      </c>
      <c r="J1" s="116"/>
      <c r="K1" s="116"/>
      <c r="L1" s="75"/>
      <c r="M1" s="75"/>
      <c r="N1" s="75"/>
      <c r="O1" s="75"/>
      <c r="P1" s="75"/>
      <c r="Q1" s="75"/>
      <c r="R1" s="75"/>
      <c r="S1" s="8"/>
      <c r="T1" s="8"/>
      <c r="U1" s="8"/>
    </row>
    <row r="2" spans="1:21" ht="12.75" customHeight="1" thickBot="1">
      <c r="A2" s="6"/>
      <c r="B2" s="10"/>
      <c r="C2" s="10"/>
      <c r="D2" s="10"/>
      <c r="E2" s="10"/>
      <c r="F2" s="10"/>
      <c r="G2" s="10"/>
      <c r="H2" s="10"/>
      <c r="I2" s="10"/>
      <c r="J2" s="117"/>
      <c r="K2" s="117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 ht="12.75" customHeight="1">
      <c r="A3" s="6"/>
      <c r="B3" s="10"/>
      <c r="C3" s="233" t="s">
        <v>760</v>
      </c>
      <c r="D3" s="234"/>
      <c r="E3" s="234"/>
      <c r="F3" s="234"/>
      <c r="G3" s="235"/>
      <c r="H3" s="10"/>
      <c r="I3" s="10"/>
      <c r="J3" s="117"/>
      <c r="K3" s="117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 ht="12.75" customHeight="1" thickBot="1">
      <c r="A4" s="6"/>
      <c r="B4" s="10"/>
      <c r="C4" s="236"/>
      <c r="D4" s="237"/>
      <c r="E4" s="237"/>
      <c r="F4" s="237"/>
      <c r="G4" s="238"/>
      <c r="H4" s="44"/>
      <c r="I4" s="62"/>
      <c r="J4" s="117"/>
      <c r="K4" s="117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ht="12.75" customHeight="1" thickBot="1">
      <c r="A5" s="8"/>
      <c r="B5" s="9"/>
      <c r="C5" s="10"/>
      <c r="D5" s="10"/>
      <c r="E5" s="9"/>
      <c r="F5" s="9"/>
      <c r="G5" s="9"/>
      <c r="H5" s="9"/>
      <c r="I5" s="9"/>
      <c r="J5" s="118"/>
      <c r="K5" s="118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1" ht="12.75" customHeight="1">
      <c r="A6" s="8"/>
      <c r="B6" s="9"/>
      <c r="C6" s="242" t="s">
        <v>258</v>
      </c>
      <c r="D6" s="243"/>
      <c r="E6" s="254" t="s">
        <v>1622</v>
      </c>
      <c r="F6" s="255"/>
      <c r="G6" s="256"/>
      <c r="H6" s="241" t="s">
        <v>764</v>
      </c>
      <c r="I6" s="62"/>
      <c r="J6" s="123"/>
      <c r="K6" s="118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21" ht="12.75" customHeight="1" thickBot="1">
      <c r="A7" s="8"/>
      <c r="B7" s="9"/>
      <c r="C7" s="244"/>
      <c r="D7" s="245"/>
      <c r="E7" s="248"/>
      <c r="F7" s="257"/>
      <c r="G7" s="249"/>
      <c r="H7" s="241"/>
      <c r="I7" s="62"/>
      <c r="J7" s="123"/>
      <c r="K7" s="118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21" ht="12.75" customHeight="1">
      <c r="A8" s="8"/>
      <c r="B8" s="9"/>
      <c r="C8" s="259" t="s">
        <v>259</v>
      </c>
      <c r="D8" s="260"/>
      <c r="E8" s="254" t="s">
        <v>1623</v>
      </c>
      <c r="F8" s="255"/>
      <c r="G8" s="256"/>
      <c r="H8" s="240"/>
      <c r="I8" s="62"/>
      <c r="J8" s="123"/>
      <c r="K8" s="118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21" ht="12.75" customHeight="1" thickBot="1">
      <c r="A9" s="8"/>
      <c r="B9" s="9"/>
      <c r="C9" s="261"/>
      <c r="D9" s="262"/>
      <c r="E9" s="248"/>
      <c r="F9" s="257"/>
      <c r="G9" s="249"/>
      <c r="H9" s="240"/>
      <c r="I9" s="62"/>
      <c r="J9" s="123"/>
      <c r="K9" s="118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 ht="12.75" customHeight="1">
      <c r="A10" s="8"/>
      <c r="B10" s="9"/>
      <c r="C10" s="242" t="s">
        <v>260</v>
      </c>
      <c r="D10" s="243"/>
      <c r="E10" s="246" t="s">
        <v>1624</v>
      </c>
      <c r="F10" s="247"/>
      <c r="G10" s="240"/>
      <c r="H10" s="239"/>
      <c r="I10" s="62"/>
      <c r="J10" s="123"/>
      <c r="K10" s="118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21" ht="12.75" customHeight="1" thickBot="1">
      <c r="A11" s="8"/>
      <c r="B11" s="9"/>
      <c r="C11" s="244"/>
      <c r="D11" s="245"/>
      <c r="E11" s="248"/>
      <c r="F11" s="249"/>
      <c r="G11" s="240"/>
      <c r="H11" s="239"/>
      <c r="I11" s="62"/>
      <c r="J11" s="123"/>
      <c r="K11" s="118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21" ht="12.75" customHeight="1" thickBot="1">
      <c r="A12" s="8"/>
      <c r="B12" s="9"/>
      <c r="C12" s="62"/>
      <c r="D12" s="62"/>
      <c r="E12" s="258"/>
      <c r="F12" s="258"/>
      <c r="G12" s="258"/>
      <c r="H12" s="62"/>
      <c r="I12" s="62"/>
      <c r="J12" s="123"/>
      <c r="K12" s="118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1:21" ht="12.75" customHeight="1">
      <c r="A13" s="8"/>
      <c r="B13" s="9"/>
      <c r="C13" s="259" t="s">
        <v>261</v>
      </c>
      <c r="D13" s="260"/>
      <c r="E13" s="250" t="s">
        <v>5</v>
      </c>
      <c r="F13" s="62"/>
      <c r="G13" s="62"/>
      <c r="H13" s="62"/>
      <c r="I13" s="62"/>
      <c r="J13" s="123"/>
      <c r="K13" s="118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 ht="12.75" customHeight="1" thickBot="1">
      <c r="A14" s="8"/>
      <c r="B14" s="9"/>
      <c r="C14" s="261"/>
      <c r="D14" s="262"/>
      <c r="E14" s="251"/>
      <c r="F14" s="63"/>
      <c r="G14" s="64" t="s">
        <v>761</v>
      </c>
      <c r="H14" s="65">
        <f>Instellingen!$D$12</f>
        <v>1</v>
      </c>
      <c r="I14" s="66"/>
      <c r="J14" s="123"/>
      <c r="K14" s="118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 ht="12.75" customHeight="1">
      <c r="A15" s="8"/>
      <c r="B15" s="9"/>
      <c r="C15" s="242" t="s">
        <v>262</v>
      </c>
      <c r="D15" s="243"/>
      <c r="E15" s="252" t="s">
        <v>1625</v>
      </c>
      <c r="F15" s="66"/>
      <c r="G15" s="64" t="s">
        <v>765</v>
      </c>
      <c r="H15" s="94">
        <f>SUM($E$20:$E$1519)</f>
        <v>78.5</v>
      </c>
      <c r="I15" s="66"/>
      <c r="J15" s="123"/>
      <c r="K15" s="118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1:21" ht="12.75" customHeight="1" thickBot="1">
      <c r="A16" s="8"/>
      <c r="B16" s="9"/>
      <c r="C16" s="244"/>
      <c r="D16" s="245"/>
      <c r="E16" s="253"/>
      <c r="F16" s="66"/>
      <c r="G16" s="66"/>
      <c r="H16" s="66"/>
      <c r="I16" s="66"/>
      <c r="J16" s="123"/>
      <c r="K16" s="118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1:21" ht="35.1" customHeight="1">
      <c r="A17" s="8"/>
      <c r="B17" s="9"/>
      <c r="C17" s="10"/>
      <c r="D17" s="10"/>
      <c r="E17" s="74"/>
      <c r="F17" s="62"/>
      <c r="G17" s="67"/>
      <c r="H17" s="68"/>
      <c r="I17" s="68"/>
      <c r="J17" s="123"/>
      <c r="K17" s="118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21" ht="30" customHeight="1">
      <c r="A18" s="8"/>
      <c r="B18" s="9"/>
      <c r="C18" s="12"/>
      <c r="D18" s="12"/>
      <c r="E18" s="13"/>
      <c r="F18" s="13"/>
      <c r="G18" s="14"/>
      <c r="H18" s="15"/>
      <c r="I18" s="16"/>
      <c r="J18" s="124"/>
      <c r="K18" s="119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15" customHeight="1">
      <c r="A19" s="95" t="s">
        <v>1563</v>
      </c>
      <c r="B19" s="9"/>
      <c r="C19" s="17"/>
      <c r="D19" s="17"/>
      <c r="E19" s="76">
        <f t="array" aca="1" ref="E19" ca="1">SUMPRODUCT(((INDIRECT("Transacties!$E$20:$E$"&amp; Instellingen!$D$48)&lt;MinimumBedrag)+(INDIRECT("Transacties!$E$20:$E$"&amp; Instellingen!$D$48)&gt;MaximumBedrag))*(INDIRECT("Transacties!$E$20:$E$"&amp; Instellingen!$D$48)&lt;&gt;""))</f>
        <v>0</v>
      </c>
      <c r="F19" s="19"/>
      <c r="G19" s="19"/>
      <c r="H19" s="18"/>
      <c r="I19" s="19"/>
      <c r="J19" s="120"/>
      <c r="K19" s="120"/>
      <c r="L19" s="76">
        <f ca="1">COUNTIF(INDIRECT("Transacties!$L$20:$L$"&amp; Instellingen!$D$48),"&lt;&gt;")</f>
        <v>1</v>
      </c>
      <c r="M19" s="76" t="e">
        <f ca="1">SUMPRODUCT((INDIRECT("Transacties!$M$20:$M$"&amp; Instellingen!$D$48)&lt;97)*(INDIRECT("Transacties!$M$20:$M$"&amp; Instellingen!$D$48)&lt;&gt;""))</f>
        <v>#NAME?</v>
      </c>
      <c r="N19" s="18"/>
      <c r="O19" s="18"/>
      <c r="P19" s="18"/>
      <c r="Q19" s="18"/>
      <c r="R19" s="18"/>
      <c r="S19" s="18"/>
      <c r="T19" s="18"/>
      <c r="U19" s="18"/>
    </row>
    <row r="20" spans="1:21">
      <c r="A20" s="96">
        <v>1</v>
      </c>
      <c r="B20" s="9"/>
      <c r="C20" s="27" t="str">
        <f>Blad1!I4</f>
        <v>NL69RABO0335116353</v>
      </c>
      <c r="D20" s="159" t="str">
        <f>Blad1!J4</f>
        <v>RABONL2U</v>
      </c>
      <c r="E20" s="179">
        <f>Blad1!O4</f>
        <v>78.5</v>
      </c>
      <c r="F20" s="27" t="str">
        <f>Blad1!A4</f>
        <v>Sterre Kleikers</v>
      </c>
      <c r="G20" s="128"/>
      <c r="H20" s="45"/>
      <c r="I20" s="129" t="str">
        <f>Blad1!D4</f>
        <v>Wijlre</v>
      </c>
      <c r="J20" s="125" t="str">
        <f t="shared" ref="J20:J62" si="0">"GGT-"&amp;(ROW()-19)</f>
        <v>GGT-1</v>
      </c>
      <c r="K20" s="160" t="str">
        <f>Blad1!R4</f>
        <v>Route Wijlre 2 -W36 tm W41 - 2019</v>
      </c>
      <c r="L20" s="77">
        <v>43759</v>
      </c>
      <c r="M20" s="71" t="e">
        <f ca="1">IF(INDIRECT(ADDRESS(ROW(),3))&lt;&gt;"",getIBANchecksum(INDIRECT(ADDRESS(ROW(),3))),98)</f>
        <v>#NAME?</v>
      </c>
    </row>
    <row r="21" spans="1:21">
      <c r="A21" s="96">
        <f>A20+1</f>
        <v>2</v>
      </c>
      <c r="B21" s="9"/>
      <c r="C21" s="27"/>
      <c r="D21" s="159"/>
      <c r="E21" s="179"/>
      <c r="F21" s="27"/>
      <c r="G21" s="128"/>
      <c r="H21" s="45"/>
      <c r="I21" s="129"/>
      <c r="J21" s="125"/>
      <c r="K21" s="160"/>
      <c r="L21" s="77"/>
      <c r="M21" s="72">
        <f ca="1">IF(INDIRECT(ADDRESS(ROW(),3))&lt;&gt;"",getIBANchecksum(INDIRECT(ADDRESS(ROW(),3))),98)</f>
        <v>98</v>
      </c>
    </row>
    <row r="22" spans="1:21">
      <c r="A22" s="96">
        <f t="shared" ref="A22:A85" si="1">A21+1</f>
        <v>3</v>
      </c>
      <c r="B22" s="9"/>
      <c r="C22" s="27"/>
      <c r="D22" s="159"/>
      <c r="E22" s="179"/>
      <c r="F22" s="27"/>
      <c r="G22" s="128"/>
      <c r="H22" s="45"/>
      <c r="I22" s="129"/>
      <c r="J22" s="125"/>
      <c r="K22" s="160"/>
      <c r="L22" s="77"/>
      <c r="M22" s="72">
        <f ca="1">IF(INDIRECT(ADDRESS(ROW(),3))&lt;&gt;"",getIBANchecksum(INDIRECT(ADDRESS(ROW(),3))),98)</f>
        <v>98</v>
      </c>
    </row>
    <row r="23" spans="1:21">
      <c r="A23" s="96">
        <f t="shared" si="1"/>
        <v>4</v>
      </c>
      <c r="B23" s="9"/>
      <c r="C23" s="27"/>
      <c r="D23" s="159"/>
      <c r="E23" s="179"/>
      <c r="F23" s="27"/>
      <c r="G23" s="128"/>
      <c r="H23" s="45"/>
      <c r="I23" s="129"/>
      <c r="J23" s="125"/>
      <c r="K23" s="160"/>
      <c r="L23" s="77"/>
      <c r="M23" s="72">
        <f ca="1">IF(INDIRECT(ADDRESS(ROW(),3))&lt;&gt;"",getIBANchecksum(INDIRECT(ADDRESS(ROW(),3))),98)</f>
        <v>98</v>
      </c>
    </row>
    <row r="24" spans="1:21">
      <c r="A24" s="96">
        <f t="shared" si="1"/>
        <v>5</v>
      </c>
      <c r="B24" s="9"/>
      <c r="C24" s="27"/>
      <c r="D24" s="159"/>
      <c r="E24" s="179"/>
      <c r="F24" s="27"/>
      <c r="G24" s="128"/>
      <c r="H24" s="45"/>
      <c r="I24" s="129"/>
      <c r="J24" s="125"/>
      <c r="K24" s="160"/>
      <c r="L24" s="77"/>
      <c r="M24" s="72">
        <f ca="1">IF(INDIRECT(ADDRESS(ROW(),3))&lt;&gt;"",getIBANchecksum(INDIRECT(ADDRESS(ROW(),3))),98)</f>
        <v>98</v>
      </c>
    </row>
    <row r="25" spans="1:21">
      <c r="A25" s="96">
        <f t="shared" si="1"/>
        <v>6</v>
      </c>
      <c r="B25" s="9"/>
      <c r="C25" s="27"/>
      <c r="D25" s="159"/>
      <c r="E25" s="179"/>
      <c r="F25" s="27"/>
      <c r="G25" s="128"/>
      <c r="H25" s="45"/>
      <c r="I25" s="129"/>
      <c r="J25" s="125"/>
      <c r="K25" s="160"/>
      <c r="L25" s="77"/>
      <c r="M25" s="72">
        <f ca="1">IF(INDIRECT(ADDRESS(ROW(),3))&lt;&gt;"",getIBANchecksum(INDIRECT(ADDRESS(ROW(),3))),98)</f>
        <v>98</v>
      </c>
    </row>
    <row r="26" spans="1:21">
      <c r="A26" s="96">
        <f t="shared" si="1"/>
        <v>7</v>
      </c>
      <c r="B26" s="9"/>
      <c r="C26" s="27"/>
      <c r="D26" s="159"/>
      <c r="E26" s="179"/>
      <c r="F26" s="27"/>
      <c r="G26" s="128"/>
      <c r="H26" s="45"/>
      <c r="I26" s="129"/>
      <c r="J26" s="125"/>
      <c r="K26" s="160"/>
      <c r="L26" s="77"/>
      <c r="M26" s="72">
        <f ca="1">IF(INDIRECT(ADDRESS(ROW(),3))&lt;&gt;"",getIBANchecksum(INDIRECT(ADDRESS(ROW(),3))),98)</f>
        <v>98</v>
      </c>
    </row>
    <row r="27" spans="1:21">
      <c r="A27" s="96">
        <f t="shared" si="1"/>
        <v>8</v>
      </c>
      <c r="B27" s="9"/>
      <c r="C27" s="27"/>
      <c r="D27" s="159"/>
      <c r="E27" s="179"/>
      <c r="F27" s="27"/>
      <c r="G27" s="128"/>
      <c r="H27" s="45"/>
      <c r="I27" s="129"/>
      <c r="J27" s="125"/>
      <c r="K27" s="160"/>
      <c r="L27" s="77"/>
      <c r="M27" s="72">
        <f ca="1">IF(INDIRECT(ADDRESS(ROW(),3))&lt;&gt;"",getIBANchecksum(INDIRECT(ADDRESS(ROW(),3))),98)</f>
        <v>98</v>
      </c>
    </row>
    <row r="28" spans="1:21">
      <c r="A28" s="96">
        <f t="shared" si="1"/>
        <v>9</v>
      </c>
      <c r="B28" s="9"/>
      <c r="C28" s="27"/>
      <c r="D28" s="159"/>
      <c r="E28" s="179"/>
      <c r="F28" s="27"/>
      <c r="G28" s="128"/>
      <c r="H28" s="45"/>
      <c r="I28" s="129"/>
      <c r="J28" s="125"/>
      <c r="K28" s="160"/>
      <c r="L28" s="77"/>
      <c r="M28" s="72">
        <f ca="1">IF(INDIRECT(ADDRESS(ROW(),3))&lt;&gt;"",getIBANchecksum(INDIRECT(ADDRESS(ROW(),3))),98)</f>
        <v>98</v>
      </c>
    </row>
    <row r="29" spans="1:21">
      <c r="A29" s="96">
        <f t="shared" si="1"/>
        <v>10</v>
      </c>
      <c r="B29" s="9"/>
      <c r="C29" s="27"/>
      <c r="D29" s="159"/>
      <c r="E29" s="179"/>
      <c r="F29" s="27"/>
      <c r="G29" s="128"/>
      <c r="H29" s="45"/>
      <c r="I29" s="129"/>
      <c r="J29" s="125"/>
      <c r="K29" s="160"/>
      <c r="L29" s="77"/>
      <c r="M29" s="72">
        <f ca="1">IF(INDIRECT(ADDRESS(ROW(),3))&lt;&gt;"",getIBANchecksum(INDIRECT(ADDRESS(ROW(),3))),98)</f>
        <v>98</v>
      </c>
    </row>
    <row r="30" spans="1:21">
      <c r="A30" s="96">
        <f t="shared" si="1"/>
        <v>11</v>
      </c>
      <c r="B30" s="9"/>
      <c r="C30" s="27"/>
      <c r="D30" s="159"/>
      <c r="E30" s="179"/>
      <c r="F30" s="27"/>
      <c r="G30" s="128"/>
      <c r="H30" s="45"/>
      <c r="I30" s="129"/>
      <c r="J30" s="125"/>
      <c r="K30" s="160"/>
      <c r="L30" s="77"/>
      <c r="M30" s="72">
        <f ca="1">IF(INDIRECT(ADDRESS(ROW(),3))&lt;&gt;"",getIBANchecksum(INDIRECT(ADDRESS(ROW(),3))),98)</f>
        <v>98</v>
      </c>
    </row>
    <row r="31" spans="1:21">
      <c r="A31" s="96">
        <f t="shared" si="1"/>
        <v>12</v>
      </c>
      <c r="B31" s="9"/>
      <c r="C31" s="27"/>
      <c r="D31" s="159"/>
      <c r="E31" s="179"/>
      <c r="F31" s="27"/>
      <c r="G31" s="128"/>
      <c r="H31" s="45"/>
      <c r="I31" s="129"/>
      <c r="J31" s="125"/>
      <c r="K31" s="160"/>
      <c r="L31" s="77"/>
      <c r="M31" s="72">
        <f ca="1">IF(INDIRECT(ADDRESS(ROW(),3))&lt;&gt;"",getIBANchecksum(INDIRECT(ADDRESS(ROW(),3))),98)</f>
        <v>98</v>
      </c>
    </row>
    <row r="32" spans="1:21">
      <c r="A32" s="96">
        <f t="shared" si="1"/>
        <v>13</v>
      </c>
      <c r="B32" s="9"/>
      <c r="C32" s="27"/>
      <c r="D32" s="159"/>
      <c r="E32" s="179"/>
      <c r="F32" s="27"/>
      <c r="G32" s="128"/>
      <c r="H32" s="45"/>
      <c r="I32" s="129"/>
      <c r="J32" s="125"/>
      <c r="K32" s="160"/>
      <c r="L32" s="77"/>
      <c r="M32" s="72">
        <f ca="1">IF(INDIRECT(ADDRESS(ROW(),3))&lt;&gt;"",getIBANchecksum(INDIRECT(ADDRESS(ROW(),3))),98)</f>
        <v>98</v>
      </c>
    </row>
    <row r="33" spans="1:13">
      <c r="A33" s="96">
        <f t="shared" si="1"/>
        <v>14</v>
      </c>
      <c r="B33" s="9"/>
      <c r="C33" s="27"/>
      <c r="D33" s="159"/>
      <c r="E33" s="179"/>
      <c r="F33" s="27"/>
      <c r="G33" s="128"/>
      <c r="H33" s="45"/>
      <c r="I33" s="129"/>
      <c r="J33" s="125"/>
      <c r="K33" s="160"/>
      <c r="L33" s="77"/>
      <c r="M33" s="72">
        <f ca="1">IF(INDIRECT(ADDRESS(ROW(),3))&lt;&gt;"",getIBANchecksum(INDIRECT(ADDRESS(ROW(),3))),98)</f>
        <v>98</v>
      </c>
    </row>
    <row r="34" spans="1:13">
      <c r="A34" s="96">
        <f t="shared" si="1"/>
        <v>15</v>
      </c>
      <c r="B34" s="9"/>
      <c r="C34" s="27"/>
      <c r="D34" s="159"/>
      <c r="E34" s="179"/>
      <c r="F34" s="27"/>
      <c r="G34" s="128"/>
      <c r="H34" s="45"/>
      <c r="I34" s="129"/>
      <c r="J34" s="125"/>
      <c r="K34" s="160"/>
      <c r="L34" s="77"/>
      <c r="M34" s="72">
        <f ca="1">IF(INDIRECT(ADDRESS(ROW(),3))&lt;&gt;"",getIBANchecksum(INDIRECT(ADDRESS(ROW(),3))),98)</f>
        <v>98</v>
      </c>
    </row>
    <row r="35" spans="1:13">
      <c r="A35" s="96">
        <f t="shared" si="1"/>
        <v>16</v>
      </c>
      <c r="B35" s="9"/>
      <c r="C35" s="27"/>
      <c r="D35" s="159"/>
      <c r="E35" s="179"/>
      <c r="F35" s="27"/>
      <c r="G35" s="128"/>
      <c r="H35" s="45"/>
      <c r="I35" s="129"/>
      <c r="J35" s="125"/>
      <c r="K35" s="160"/>
      <c r="L35" s="77"/>
      <c r="M35" s="72">
        <f ca="1">IF(INDIRECT(ADDRESS(ROW(),3))&lt;&gt;"",getIBANchecksum(INDIRECT(ADDRESS(ROW(),3))),98)</f>
        <v>98</v>
      </c>
    </row>
    <row r="36" spans="1:13">
      <c r="A36" s="96">
        <f t="shared" si="1"/>
        <v>17</v>
      </c>
      <c r="B36" s="9"/>
      <c r="C36" s="27"/>
      <c r="D36" s="159"/>
      <c r="E36" s="179"/>
      <c r="F36" s="27"/>
      <c r="G36" s="128"/>
      <c r="H36" s="45"/>
      <c r="I36" s="129"/>
      <c r="J36" s="125"/>
      <c r="K36" s="160"/>
      <c r="L36" s="77"/>
      <c r="M36" s="72">
        <f ca="1">IF(INDIRECT(ADDRESS(ROW(),3))&lt;&gt;"",getIBANchecksum(INDIRECT(ADDRESS(ROW(),3))),98)</f>
        <v>98</v>
      </c>
    </row>
    <row r="37" spans="1:13">
      <c r="A37" s="96">
        <f t="shared" si="1"/>
        <v>18</v>
      </c>
      <c r="B37" s="9"/>
      <c r="C37" s="27"/>
      <c r="D37" s="159"/>
      <c r="E37" s="179"/>
      <c r="F37" s="27"/>
      <c r="G37" s="128"/>
      <c r="H37" s="45"/>
      <c r="I37" s="129"/>
      <c r="J37" s="125"/>
      <c r="K37" s="160"/>
      <c r="L37" s="77"/>
      <c r="M37" s="72">
        <f ca="1">IF(INDIRECT(ADDRESS(ROW(),3))&lt;&gt;"",getIBANchecksum(INDIRECT(ADDRESS(ROW(),3))),98)</f>
        <v>98</v>
      </c>
    </row>
    <row r="38" spans="1:13">
      <c r="A38" s="96">
        <f t="shared" si="1"/>
        <v>19</v>
      </c>
      <c r="B38" s="9"/>
      <c r="C38" s="27"/>
      <c r="D38" s="159"/>
      <c r="E38" s="179"/>
      <c r="F38" s="27"/>
      <c r="G38" s="128"/>
      <c r="H38" s="45"/>
      <c r="I38" s="129"/>
      <c r="J38" s="125"/>
      <c r="K38" s="160"/>
      <c r="L38" s="77"/>
      <c r="M38" s="72">
        <f ca="1">IF(INDIRECT(ADDRESS(ROW(),3))&lt;&gt;"",getIBANchecksum(INDIRECT(ADDRESS(ROW(),3))),98)</f>
        <v>98</v>
      </c>
    </row>
    <row r="39" spans="1:13">
      <c r="A39" s="96">
        <f t="shared" si="1"/>
        <v>20</v>
      </c>
      <c r="B39" s="9"/>
      <c r="C39" s="27"/>
      <c r="D39" s="159"/>
      <c r="E39" s="179"/>
      <c r="F39" s="27"/>
      <c r="G39" s="128"/>
      <c r="H39" s="45"/>
      <c r="I39" s="129"/>
      <c r="J39" s="125"/>
      <c r="K39" s="160"/>
      <c r="L39" s="77"/>
      <c r="M39" s="72">
        <f ca="1">IF(INDIRECT(ADDRESS(ROW(),3))&lt;&gt;"",getIBANchecksum(INDIRECT(ADDRESS(ROW(),3))),98)</f>
        <v>98</v>
      </c>
    </row>
    <row r="40" spans="1:13">
      <c r="A40" s="96">
        <f t="shared" si="1"/>
        <v>21</v>
      </c>
      <c r="B40" s="9"/>
      <c r="C40" s="27"/>
      <c r="D40" s="159"/>
      <c r="E40" s="179"/>
      <c r="F40" s="27"/>
      <c r="G40" s="128"/>
      <c r="H40" s="45"/>
      <c r="I40" s="129"/>
      <c r="J40" s="125"/>
      <c r="K40" s="160"/>
      <c r="L40" s="77"/>
      <c r="M40" s="72">
        <f ca="1">IF(INDIRECT(ADDRESS(ROW(),3))&lt;&gt;"",getIBANchecksum(INDIRECT(ADDRESS(ROW(),3))),98)</f>
        <v>98</v>
      </c>
    </row>
    <row r="41" spans="1:13">
      <c r="A41" s="96">
        <f t="shared" si="1"/>
        <v>22</v>
      </c>
      <c r="B41" s="9"/>
      <c r="C41" s="27"/>
      <c r="D41" s="159"/>
      <c r="E41" s="179"/>
      <c r="F41" s="27"/>
      <c r="G41" s="128"/>
      <c r="H41" s="45"/>
      <c r="I41" s="129"/>
      <c r="J41" s="125"/>
      <c r="K41" s="160"/>
      <c r="L41" s="77"/>
      <c r="M41" s="72">
        <f ca="1">IF(INDIRECT(ADDRESS(ROW(),3))&lt;&gt;"",getIBANchecksum(INDIRECT(ADDRESS(ROW(),3))),98)</f>
        <v>98</v>
      </c>
    </row>
    <row r="42" spans="1:13">
      <c r="A42" s="96">
        <f t="shared" si="1"/>
        <v>23</v>
      </c>
      <c r="B42" s="9"/>
      <c r="C42" s="27"/>
      <c r="D42" s="159"/>
      <c r="E42" s="179"/>
      <c r="F42" s="27"/>
      <c r="G42" s="128"/>
      <c r="H42" s="45"/>
      <c r="I42" s="129"/>
      <c r="J42" s="125"/>
      <c r="K42" s="160"/>
      <c r="L42" s="77"/>
      <c r="M42" s="72">
        <f ca="1">IF(INDIRECT(ADDRESS(ROW(),3))&lt;&gt;"",getIBANchecksum(INDIRECT(ADDRESS(ROW(),3))),98)</f>
        <v>98</v>
      </c>
    </row>
    <row r="43" spans="1:13">
      <c r="A43" s="96">
        <f t="shared" si="1"/>
        <v>24</v>
      </c>
      <c r="B43" s="9"/>
      <c r="C43" s="27"/>
      <c r="D43" s="159"/>
      <c r="E43" s="179"/>
      <c r="F43" s="27"/>
      <c r="G43" s="128"/>
      <c r="H43" s="45"/>
      <c r="I43" s="129"/>
      <c r="J43" s="125"/>
      <c r="K43" s="160"/>
      <c r="L43" s="77"/>
      <c r="M43" s="72">
        <f ca="1">IF(INDIRECT(ADDRESS(ROW(),3))&lt;&gt;"",getIBANchecksum(INDIRECT(ADDRESS(ROW(),3))),98)</f>
        <v>98</v>
      </c>
    </row>
    <row r="44" spans="1:13">
      <c r="A44" s="96">
        <f t="shared" si="1"/>
        <v>25</v>
      </c>
      <c r="B44" s="9"/>
      <c r="C44" s="27"/>
      <c r="D44" s="159"/>
      <c r="E44" s="179"/>
      <c r="F44" s="27"/>
      <c r="G44" s="128"/>
      <c r="H44" s="45"/>
      <c r="I44" s="129"/>
      <c r="J44" s="125"/>
      <c r="K44" s="160"/>
      <c r="L44" s="77"/>
      <c r="M44" s="72">
        <f ca="1">IF(INDIRECT(ADDRESS(ROW(),3))&lt;&gt;"",getIBANchecksum(INDIRECT(ADDRESS(ROW(),3))),98)</f>
        <v>98</v>
      </c>
    </row>
    <row r="45" spans="1:13">
      <c r="A45" s="96">
        <f t="shared" si="1"/>
        <v>26</v>
      </c>
      <c r="B45" s="9"/>
      <c r="C45" s="27"/>
      <c r="D45" s="159"/>
      <c r="E45" s="179"/>
      <c r="F45" s="27"/>
      <c r="G45" s="128"/>
      <c r="H45" s="45"/>
      <c r="I45" s="129"/>
      <c r="J45" s="125"/>
      <c r="K45" s="160"/>
      <c r="L45" s="77"/>
      <c r="M45" s="72">
        <f ca="1">IF(INDIRECT(ADDRESS(ROW(),3))&lt;&gt;"",getIBANchecksum(INDIRECT(ADDRESS(ROW(),3))),98)</f>
        <v>98</v>
      </c>
    </row>
    <row r="46" spans="1:13">
      <c r="A46" s="96">
        <f t="shared" si="1"/>
        <v>27</v>
      </c>
      <c r="B46" s="9"/>
      <c r="C46" s="27"/>
      <c r="D46" s="159"/>
      <c r="E46" s="179"/>
      <c r="F46" s="27"/>
      <c r="G46" s="128"/>
      <c r="H46" s="45"/>
      <c r="I46" s="129"/>
      <c r="J46" s="125"/>
      <c r="K46" s="160"/>
      <c r="L46" s="77"/>
      <c r="M46" s="72">
        <f ca="1">IF(INDIRECT(ADDRESS(ROW(),3))&lt;&gt;"",getIBANchecksum(INDIRECT(ADDRESS(ROW(),3))),98)</f>
        <v>98</v>
      </c>
    </row>
    <row r="47" spans="1:13">
      <c r="A47" s="96">
        <f t="shared" si="1"/>
        <v>28</v>
      </c>
      <c r="B47" s="9"/>
      <c r="C47" s="27"/>
      <c r="D47" s="159"/>
      <c r="E47" s="179"/>
      <c r="F47" s="27"/>
      <c r="G47" s="128"/>
      <c r="H47" s="45"/>
      <c r="I47" s="129"/>
      <c r="J47" s="125"/>
      <c r="K47" s="160"/>
      <c r="L47" s="77"/>
      <c r="M47" s="72">
        <f ca="1">IF(INDIRECT(ADDRESS(ROW(),3))&lt;&gt;"",getIBANchecksum(INDIRECT(ADDRESS(ROW(),3))),98)</f>
        <v>98</v>
      </c>
    </row>
    <row r="48" spans="1:13">
      <c r="A48" s="96">
        <f t="shared" si="1"/>
        <v>29</v>
      </c>
      <c r="B48" s="9"/>
      <c r="C48" s="27"/>
      <c r="D48" s="159"/>
      <c r="E48" s="179"/>
      <c r="F48" s="27"/>
      <c r="G48" s="128"/>
      <c r="H48" s="45"/>
      <c r="I48" s="129"/>
      <c r="J48" s="125"/>
      <c r="K48" s="160"/>
      <c r="L48" s="77"/>
      <c r="M48" s="72">
        <f ca="1">IF(INDIRECT(ADDRESS(ROW(),3))&lt;&gt;"",getIBANchecksum(INDIRECT(ADDRESS(ROW(),3))),98)</f>
        <v>98</v>
      </c>
    </row>
    <row r="49" spans="1:13">
      <c r="A49" s="96">
        <f t="shared" si="1"/>
        <v>30</v>
      </c>
      <c r="B49" s="9"/>
      <c r="C49" s="27"/>
      <c r="D49" s="159"/>
      <c r="E49" s="179"/>
      <c r="F49" s="27"/>
      <c r="G49" s="128"/>
      <c r="H49" s="45"/>
      <c r="I49" s="129"/>
      <c r="J49" s="125"/>
      <c r="K49" s="160"/>
      <c r="L49" s="77"/>
      <c r="M49" s="72">
        <f ca="1">IF(INDIRECT(ADDRESS(ROW(),3))&lt;&gt;"",getIBANchecksum(INDIRECT(ADDRESS(ROW(),3))),98)</f>
        <v>98</v>
      </c>
    </row>
    <row r="50" spans="1:13">
      <c r="A50" s="96">
        <f t="shared" si="1"/>
        <v>31</v>
      </c>
      <c r="B50" s="9"/>
      <c r="C50" s="27"/>
      <c r="D50" s="159"/>
      <c r="E50" s="179"/>
      <c r="F50" s="27"/>
      <c r="G50" s="128"/>
      <c r="H50" s="45"/>
      <c r="I50" s="129"/>
      <c r="J50" s="125"/>
      <c r="K50" s="160"/>
      <c r="L50" s="77"/>
      <c r="M50" s="72">
        <f ca="1">IF(INDIRECT(ADDRESS(ROW(),3))&lt;&gt;"",getIBANchecksum(INDIRECT(ADDRESS(ROW(),3))),98)</f>
        <v>98</v>
      </c>
    </row>
    <row r="51" spans="1:13">
      <c r="A51" s="96">
        <f t="shared" si="1"/>
        <v>32</v>
      </c>
      <c r="B51" s="9"/>
      <c r="C51" s="27"/>
      <c r="D51" s="159"/>
      <c r="E51" s="179"/>
      <c r="F51" s="27"/>
      <c r="G51" s="128"/>
      <c r="H51" s="45"/>
      <c r="I51" s="129"/>
      <c r="J51" s="125"/>
      <c r="K51" s="160"/>
      <c r="L51" s="77"/>
      <c r="M51" s="72">
        <f ca="1">IF(INDIRECT(ADDRESS(ROW(),3))&lt;&gt;"",getIBANchecksum(INDIRECT(ADDRESS(ROW(),3))),98)</f>
        <v>98</v>
      </c>
    </row>
    <row r="52" spans="1:13">
      <c r="A52" s="96">
        <f t="shared" si="1"/>
        <v>33</v>
      </c>
      <c r="B52" s="9"/>
      <c r="C52" s="27"/>
      <c r="D52" s="159"/>
      <c r="E52" s="179"/>
      <c r="F52" s="27"/>
      <c r="G52" s="128"/>
      <c r="H52" s="45"/>
      <c r="I52" s="129"/>
      <c r="J52" s="125"/>
      <c r="K52" s="160"/>
      <c r="L52" s="77"/>
      <c r="M52" s="72">
        <f ca="1">IF(INDIRECT(ADDRESS(ROW(),3))&lt;&gt;"",getIBANchecksum(INDIRECT(ADDRESS(ROW(),3))),98)</f>
        <v>98</v>
      </c>
    </row>
    <row r="53" spans="1:13">
      <c r="A53" s="96">
        <f t="shared" si="1"/>
        <v>34</v>
      </c>
      <c r="B53" s="9"/>
      <c r="C53" s="27"/>
      <c r="D53" s="159"/>
      <c r="E53" s="179"/>
      <c r="F53" s="27"/>
      <c r="G53" s="128"/>
      <c r="H53" s="45"/>
      <c r="I53" s="129"/>
      <c r="J53" s="125"/>
      <c r="K53" s="160"/>
      <c r="L53" s="77"/>
      <c r="M53" s="72">
        <f ca="1">IF(INDIRECT(ADDRESS(ROW(),3))&lt;&gt;"",getIBANchecksum(INDIRECT(ADDRESS(ROW(),3))),98)</f>
        <v>98</v>
      </c>
    </row>
    <row r="54" spans="1:13">
      <c r="A54" s="96">
        <f t="shared" si="1"/>
        <v>35</v>
      </c>
      <c r="B54" s="9"/>
      <c r="C54" s="27"/>
      <c r="D54" s="159"/>
      <c r="E54" s="179"/>
      <c r="F54" s="27"/>
      <c r="G54" s="128"/>
      <c r="H54" s="45"/>
      <c r="I54" s="129"/>
      <c r="J54" s="125"/>
      <c r="K54" s="160"/>
      <c r="L54" s="77"/>
      <c r="M54" s="72">
        <f ca="1">IF(INDIRECT(ADDRESS(ROW(),3))&lt;&gt;"",getIBANchecksum(INDIRECT(ADDRESS(ROW(),3))),98)</f>
        <v>98</v>
      </c>
    </row>
    <row r="55" spans="1:13">
      <c r="A55" s="96">
        <f t="shared" si="1"/>
        <v>36</v>
      </c>
      <c r="B55" s="9"/>
      <c r="C55" s="27"/>
      <c r="D55" s="159"/>
      <c r="E55" s="179"/>
      <c r="F55" s="27"/>
      <c r="G55" s="128"/>
      <c r="H55" s="45"/>
      <c r="I55" s="129"/>
      <c r="J55" s="125"/>
      <c r="K55" s="160"/>
      <c r="L55" s="77"/>
      <c r="M55" s="72">
        <f ca="1">IF(INDIRECT(ADDRESS(ROW(),3))&lt;&gt;"",getIBANchecksum(INDIRECT(ADDRESS(ROW(),3))),98)</f>
        <v>98</v>
      </c>
    </row>
    <row r="56" spans="1:13">
      <c r="A56" s="96">
        <f t="shared" si="1"/>
        <v>37</v>
      </c>
      <c r="B56" s="9"/>
      <c r="C56" s="27"/>
      <c r="D56" s="159"/>
      <c r="E56" s="179"/>
      <c r="F56" s="27"/>
      <c r="G56" s="128"/>
      <c r="H56" s="45"/>
      <c r="I56" s="129"/>
      <c r="J56" s="125"/>
      <c r="K56" s="160"/>
      <c r="L56" s="77"/>
      <c r="M56" s="72">
        <f ca="1">IF(INDIRECT(ADDRESS(ROW(),3))&lt;&gt;"",getIBANchecksum(INDIRECT(ADDRESS(ROW(),3))),98)</f>
        <v>98</v>
      </c>
    </row>
    <row r="57" spans="1:13">
      <c r="A57" s="96">
        <f t="shared" si="1"/>
        <v>38</v>
      </c>
      <c r="B57" s="9"/>
      <c r="C57" s="27"/>
      <c r="D57" s="159"/>
      <c r="E57" s="179"/>
      <c r="F57" s="27"/>
      <c r="G57" s="128"/>
      <c r="H57" s="45"/>
      <c r="I57" s="129"/>
      <c r="J57" s="125"/>
      <c r="K57" s="160"/>
      <c r="L57" s="77"/>
      <c r="M57" s="72">
        <f ca="1">IF(INDIRECT(ADDRESS(ROW(),3))&lt;&gt;"",getIBANchecksum(INDIRECT(ADDRESS(ROW(),3))),98)</f>
        <v>98</v>
      </c>
    </row>
    <row r="58" spans="1:13">
      <c r="A58" s="96">
        <f t="shared" si="1"/>
        <v>39</v>
      </c>
      <c r="B58" s="9"/>
      <c r="C58" s="27"/>
      <c r="D58" s="159"/>
      <c r="E58" s="179"/>
      <c r="F58" s="27"/>
      <c r="G58" s="128"/>
      <c r="H58" s="45"/>
      <c r="I58" s="129"/>
      <c r="J58" s="125"/>
      <c r="K58" s="160"/>
      <c r="L58" s="77"/>
      <c r="M58" s="72">
        <f ca="1">IF(INDIRECT(ADDRESS(ROW(),3))&lt;&gt;"",getIBANchecksum(INDIRECT(ADDRESS(ROW(),3))),98)</f>
        <v>98</v>
      </c>
    </row>
    <row r="59" spans="1:13">
      <c r="A59" s="96">
        <f t="shared" si="1"/>
        <v>40</v>
      </c>
      <c r="B59" s="9"/>
      <c r="C59" s="27"/>
      <c r="D59" s="159"/>
      <c r="E59" s="179"/>
      <c r="F59" s="27"/>
      <c r="G59" s="128"/>
      <c r="H59" s="45"/>
      <c r="I59" s="129"/>
      <c r="J59" s="125"/>
      <c r="K59" s="160"/>
      <c r="L59" s="77"/>
      <c r="M59" s="72">
        <f ca="1">IF(INDIRECT(ADDRESS(ROW(),3))&lt;&gt;"",getIBANchecksum(INDIRECT(ADDRESS(ROW(),3))),98)</f>
        <v>98</v>
      </c>
    </row>
    <row r="60" spans="1:13">
      <c r="A60" s="96">
        <f t="shared" si="1"/>
        <v>41</v>
      </c>
      <c r="B60" s="9"/>
      <c r="C60" s="27"/>
      <c r="D60" s="159"/>
      <c r="E60" s="179"/>
      <c r="F60" s="27"/>
      <c r="G60" s="128"/>
      <c r="H60" s="45"/>
      <c r="I60" s="129"/>
      <c r="J60" s="125"/>
      <c r="K60" s="160"/>
      <c r="L60" s="77"/>
      <c r="M60" s="72">
        <f ca="1">IF(INDIRECT(ADDRESS(ROW(),3))&lt;&gt;"",getIBANchecksum(INDIRECT(ADDRESS(ROW(),3))),98)</f>
        <v>98</v>
      </c>
    </row>
    <row r="61" spans="1:13">
      <c r="A61" s="96">
        <f t="shared" si="1"/>
        <v>42</v>
      </c>
      <c r="B61" s="9"/>
      <c r="C61" s="27"/>
      <c r="D61" s="159"/>
      <c r="E61" s="179"/>
      <c r="F61" s="27"/>
      <c r="G61" s="128"/>
      <c r="H61" s="45"/>
      <c r="I61" s="129"/>
      <c r="J61" s="125"/>
      <c r="K61" s="160"/>
      <c r="L61" s="77"/>
      <c r="M61" s="72">
        <f ca="1">IF(INDIRECT(ADDRESS(ROW(),3))&lt;&gt;"",getIBANchecksum(INDIRECT(ADDRESS(ROW(),3))),98)</f>
        <v>98</v>
      </c>
    </row>
    <row r="62" spans="1:13">
      <c r="A62" s="96">
        <f t="shared" si="1"/>
        <v>43</v>
      </c>
      <c r="B62" s="9"/>
      <c r="C62" s="27"/>
      <c r="D62" s="159"/>
      <c r="E62" s="179"/>
      <c r="F62" s="27"/>
      <c r="G62" s="128"/>
      <c r="H62" s="45"/>
      <c r="I62" s="129"/>
      <c r="J62" s="125"/>
      <c r="K62" s="160"/>
      <c r="L62" s="77"/>
      <c r="M62" s="72">
        <f ca="1">IF(INDIRECT(ADDRESS(ROW(),3))&lt;&gt;"",getIBANchecksum(INDIRECT(ADDRESS(ROW(),3))),98)</f>
        <v>98</v>
      </c>
    </row>
    <row r="63" spans="1:13">
      <c r="A63" s="96">
        <f t="shared" si="1"/>
        <v>44</v>
      </c>
      <c r="B63" s="9"/>
      <c r="C63" s="27"/>
      <c r="D63" s="159"/>
      <c r="E63" s="179"/>
      <c r="F63" s="27"/>
      <c r="G63" s="128"/>
      <c r="H63" s="45"/>
      <c r="I63" s="129"/>
      <c r="J63" s="125"/>
      <c r="K63" s="160"/>
      <c r="L63" s="77"/>
      <c r="M63" s="72">
        <f ca="1">IF(INDIRECT(ADDRESS(ROW(),3))&lt;&gt;"",getIBANchecksum(INDIRECT(ADDRESS(ROW(),3))),98)</f>
        <v>98</v>
      </c>
    </row>
    <row r="64" spans="1:13">
      <c r="A64" s="96">
        <f t="shared" si="1"/>
        <v>45</v>
      </c>
      <c r="B64" s="9"/>
      <c r="C64" s="27"/>
      <c r="D64" s="159"/>
      <c r="E64" s="179"/>
      <c r="F64" s="27"/>
      <c r="G64" s="128"/>
      <c r="H64" s="45"/>
      <c r="I64" s="129"/>
      <c r="J64" s="125"/>
      <c r="K64" s="160"/>
      <c r="L64" s="77"/>
      <c r="M64" s="72">
        <f ca="1">IF(INDIRECT(ADDRESS(ROW(),3))&lt;&gt;"",getIBANchecksum(INDIRECT(ADDRESS(ROW(),3))),98)</f>
        <v>98</v>
      </c>
    </row>
    <row r="65" spans="1:13">
      <c r="A65" s="96">
        <f t="shared" si="1"/>
        <v>46</v>
      </c>
      <c r="B65" s="9"/>
      <c r="C65" s="27"/>
      <c r="D65" s="159"/>
      <c r="E65" s="179"/>
      <c r="F65" s="27"/>
      <c r="G65" s="128"/>
      <c r="H65" s="45"/>
      <c r="I65" s="129"/>
      <c r="J65" s="125"/>
      <c r="K65" s="160"/>
      <c r="L65" s="77"/>
      <c r="M65" s="72">
        <f ca="1">IF(INDIRECT(ADDRESS(ROW(),3))&lt;&gt;"",getIBANchecksum(INDIRECT(ADDRESS(ROW(),3))),98)</f>
        <v>98</v>
      </c>
    </row>
    <row r="66" spans="1:13">
      <c r="A66" s="96">
        <f t="shared" si="1"/>
        <v>47</v>
      </c>
      <c r="B66" s="9"/>
      <c r="C66" s="27"/>
      <c r="D66" s="159"/>
      <c r="E66" s="179"/>
      <c r="F66" s="27"/>
      <c r="G66" s="128"/>
      <c r="H66" s="45"/>
      <c r="I66" s="129"/>
      <c r="J66" s="125"/>
      <c r="K66" s="160"/>
      <c r="L66" s="77"/>
      <c r="M66" s="72">
        <f ca="1">IF(INDIRECT(ADDRESS(ROW(),3))&lt;&gt;"",getIBANchecksum(INDIRECT(ADDRESS(ROW(),3))),98)</f>
        <v>98</v>
      </c>
    </row>
    <row r="67" spans="1:13">
      <c r="A67" s="96">
        <f t="shared" si="1"/>
        <v>48</v>
      </c>
      <c r="B67" s="9"/>
      <c r="C67" s="27"/>
      <c r="D67" s="159"/>
      <c r="E67" s="179"/>
      <c r="F67" s="27"/>
      <c r="G67" s="128"/>
      <c r="H67" s="45"/>
      <c r="I67" s="129"/>
      <c r="J67" s="125"/>
      <c r="K67" s="160"/>
      <c r="L67" s="77"/>
      <c r="M67" s="72">
        <f ca="1">IF(INDIRECT(ADDRESS(ROW(),3))&lt;&gt;"",getIBANchecksum(INDIRECT(ADDRESS(ROW(),3))),98)</f>
        <v>98</v>
      </c>
    </row>
    <row r="68" spans="1:13">
      <c r="A68" s="96">
        <f t="shared" si="1"/>
        <v>49</v>
      </c>
      <c r="B68" s="9"/>
      <c r="C68" s="27"/>
      <c r="D68" s="159"/>
      <c r="E68" s="158"/>
      <c r="F68" s="27"/>
      <c r="G68" s="128"/>
      <c r="H68" s="45"/>
      <c r="I68" s="129"/>
      <c r="J68" s="125"/>
      <c r="K68" s="160"/>
      <c r="L68" s="77"/>
      <c r="M68" s="72">
        <f ca="1">IF(INDIRECT(ADDRESS(ROW(),3))&lt;&gt;"",getIBANchecksum(INDIRECT(ADDRESS(ROW(),3))),98)</f>
        <v>98</v>
      </c>
    </row>
    <row r="69" spans="1:13">
      <c r="A69" s="96">
        <f t="shared" si="1"/>
        <v>50</v>
      </c>
      <c r="B69" s="9"/>
      <c r="C69" s="27"/>
      <c r="D69" s="159"/>
      <c r="E69" s="158"/>
      <c r="F69" s="27"/>
      <c r="G69" s="128"/>
      <c r="H69" s="45"/>
      <c r="I69" s="129"/>
      <c r="J69" s="125"/>
      <c r="K69" s="160"/>
      <c r="L69" s="77"/>
      <c r="M69" s="72">
        <f ca="1">IF(INDIRECT(ADDRESS(ROW(),3))&lt;&gt;"",getIBANchecksum(INDIRECT(ADDRESS(ROW(),3))),98)</f>
        <v>98</v>
      </c>
    </row>
    <row r="70" spans="1:13">
      <c r="A70" s="96">
        <f t="shared" si="1"/>
        <v>51</v>
      </c>
      <c r="B70" s="9"/>
      <c r="C70" s="27"/>
      <c r="D70" s="159"/>
      <c r="E70" s="158"/>
      <c r="F70" s="27"/>
      <c r="G70" s="128"/>
      <c r="H70" s="45"/>
      <c r="I70" s="129"/>
      <c r="J70" s="125"/>
      <c r="K70" s="160"/>
      <c r="L70" s="77"/>
      <c r="M70" s="72">
        <f ca="1">IF(INDIRECT(ADDRESS(ROW(),3))&lt;&gt;"",getIBANchecksum(INDIRECT(ADDRESS(ROW(),3))),98)</f>
        <v>98</v>
      </c>
    </row>
    <row r="71" spans="1:13">
      <c r="A71" s="96">
        <f t="shared" si="1"/>
        <v>52</v>
      </c>
      <c r="B71" s="9"/>
      <c r="C71" s="27"/>
      <c r="D71" s="159"/>
      <c r="E71" s="158"/>
      <c r="F71" s="27"/>
      <c r="G71" s="128"/>
      <c r="H71" s="45"/>
      <c r="I71" s="129"/>
      <c r="J71" s="125"/>
      <c r="K71" s="160"/>
      <c r="L71" s="78"/>
      <c r="M71" s="72">
        <f ca="1">IF(INDIRECT(ADDRESS(ROW(),3))&lt;&gt;"",getIBANchecksum(INDIRECT(ADDRESS(ROW(),3))),98)</f>
        <v>98</v>
      </c>
    </row>
    <row r="72" spans="1:13">
      <c r="A72" s="96">
        <f t="shared" si="1"/>
        <v>53</v>
      </c>
      <c r="B72" s="9"/>
      <c r="C72" s="27"/>
      <c r="D72" s="159"/>
      <c r="E72" s="158"/>
      <c r="F72" s="27"/>
      <c r="G72" s="128"/>
      <c r="H72" s="45"/>
      <c r="I72" s="129"/>
      <c r="J72" s="125"/>
      <c r="K72" s="160"/>
      <c r="L72" s="78"/>
      <c r="M72" s="72">
        <f ca="1">IF(INDIRECT(ADDRESS(ROW(),3))&lt;&gt;"",getIBANchecksum(INDIRECT(ADDRESS(ROW(),3))),98)</f>
        <v>98</v>
      </c>
    </row>
    <row r="73" spans="1:13">
      <c r="A73" s="96">
        <f t="shared" si="1"/>
        <v>54</v>
      </c>
      <c r="B73" s="9"/>
      <c r="C73" s="28"/>
      <c r="D73" s="23"/>
      <c r="E73" s="93"/>
      <c r="F73" s="27"/>
      <c r="G73" s="128"/>
      <c r="H73" s="45"/>
      <c r="I73" s="129"/>
      <c r="J73" s="125"/>
      <c r="K73" s="121"/>
      <c r="L73" s="78"/>
      <c r="M73" s="72">
        <f ca="1">IF(INDIRECT(ADDRESS(ROW(),3))&lt;&gt;"",getIBANchecksum(INDIRECT(ADDRESS(ROW(),3))),98)</f>
        <v>98</v>
      </c>
    </row>
    <row r="74" spans="1:13">
      <c r="A74" s="96">
        <f t="shared" si="1"/>
        <v>55</v>
      </c>
      <c r="B74" s="9"/>
      <c r="C74" s="28"/>
      <c r="D74" s="23"/>
      <c r="E74" s="93"/>
      <c r="F74" s="27"/>
      <c r="G74" s="128"/>
      <c r="H74" s="45"/>
      <c r="I74" s="129"/>
      <c r="J74" s="125"/>
      <c r="K74" s="121"/>
      <c r="L74" s="78"/>
      <c r="M74" s="72">
        <f ca="1">IF(INDIRECT(ADDRESS(ROW(),3))&lt;&gt;"",getIBANchecksum(INDIRECT(ADDRESS(ROW(),3))),98)</f>
        <v>98</v>
      </c>
    </row>
    <row r="75" spans="1:13">
      <c r="A75" s="96">
        <f t="shared" si="1"/>
        <v>56</v>
      </c>
      <c r="B75" s="9"/>
      <c r="C75" s="28"/>
      <c r="D75" s="23"/>
      <c r="E75" s="93"/>
      <c r="F75" s="27"/>
      <c r="G75" s="128"/>
      <c r="H75" s="45"/>
      <c r="I75" s="129"/>
      <c r="J75" s="125"/>
      <c r="K75" s="121"/>
      <c r="L75" s="78"/>
      <c r="M75" s="72">
        <f ca="1">IF(INDIRECT(ADDRESS(ROW(),3))&lt;&gt;"",getIBANchecksum(INDIRECT(ADDRESS(ROW(),3))),98)</f>
        <v>98</v>
      </c>
    </row>
    <row r="76" spans="1:13">
      <c r="A76" s="96">
        <f t="shared" si="1"/>
        <v>57</v>
      </c>
      <c r="B76" s="9"/>
      <c r="C76" s="28"/>
      <c r="D76" s="23"/>
      <c r="E76" s="93"/>
      <c r="F76" s="22"/>
      <c r="G76" s="128"/>
      <c r="H76" s="45"/>
      <c r="I76" s="129"/>
      <c r="J76" s="125"/>
      <c r="K76" s="121"/>
      <c r="L76" s="78"/>
      <c r="M76" s="72">
        <f ca="1">IF(INDIRECT(ADDRESS(ROW(),3))&lt;&gt;"",getIBANchecksum(INDIRECT(ADDRESS(ROW(),3))),98)</f>
        <v>98</v>
      </c>
    </row>
    <row r="77" spans="1:13">
      <c r="A77" s="96">
        <f t="shared" si="1"/>
        <v>58</v>
      </c>
      <c r="B77" s="9"/>
      <c r="C77" s="28"/>
      <c r="D77" s="23"/>
      <c r="E77" s="93"/>
      <c r="F77" s="22"/>
      <c r="G77" s="128"/>
      <c r="H77" s="45"/>
      <c r="I77" s="129"/>
      <c r="J77" s="125"/>
      <c r="K77" s="121"/>
      <c r="L77" s="78"/>
      <c r="M77" s="72">
        <f ca="1">IF(INDIRECT(ADDRESS(ROW(),3))&lt;&gt;"",getIBANchecksum(INDIRECT(ADDRESS(ROW(),3))),98)</f>
        <v>98</v>
      </c>
    </row>
    <row r="78" spans="1:13">
      <c r="A78" s="96">
        <f t="shared" si="1"/>
        <v>59</v>
      </c>
      <c r="B78" s="9"/>
      <c r="C78" s="28"/>
      <c r="D78" s="23"/>
      <c r="E78" s="93"/>
      <c r="F78" s="22"/>
      <c r="G78" s="128"/>
      <c r="H78" s="45"/>
      <c r="I78" s="129"/>
      <c r="J78" s="125"/>
      <c r="K78" s="121"/>
      <c r="L78" s="78"/>
      <c r="M78" s="72">
        <f ca="1">IF(INDIRECT(ADDRESS(ROW(),3))&lt;&gt;"",getIBANchecksum(INDIRECT(ADDRESS(ROW(),3))),98)</f>
        <v>98</v>
      </c>
    </row>
    <row r="79" spans="1:13">
      <c r="A79" s="96">
        <f t="shared" si="1"/>
        <v>60</v>
      </c>
      <c r="B79" s="9"/>
      <c r="C79" s="28"/>
      <c r="D79" s="23"/>
      <c r="E79" s="93"/>
      <c r="F79" s="22"/>
      <c r="G79" s="128"/>
      <c r="H79" s="45"/>
      <c r="I79" s="129"/>
      <c r="J79" s="125"/>
      <c r="K79" s="121"/>
      <c r="L79" s="78"/>
      <c r="M79" s="72">
        <f ca="1">IF(INDIRECT(ADDRESS(ROW(),3))&lt;&gt;"",getIBANchecksum(INDIRECT(ADDRESS(ROW(),3))),98)</f>
        <v>98</v>
      </c>
    </row>
    <row r="80" spans="1:13">
      <c r="A80" s="96">
        <f t="shared" si="1"/>
        <v>61</v>
      </c>
      <c r="B80" s="9"/>
      <c r="C80" s="28"/>
      <c r="D80" s="23"/>
      <c r="E80" s="93"/>
      <c r="F80" s="22"/>
      <c r="G80" s="128"/>
      <c r="H80" s="45"/>
      <c r="I80" s="129"/>
      <c r="J80" s="125"/>
      <c r="K80" s="121"/>
      <c r="L80" s="78"/>
      <c r="M80" s="72">
        <f ca="1">IF(INDIRECT(ADDRESS(ROW(),3))&lt;&gt;"",getIBANchecksum(INDIRECT(ADDRESS(ROW(),3))),98)</f>
        <v>98</v>
      </c>
    </row>
    <row r="81" spans="1:13">
      <c r="A81" s="96">
        <f t="shared" si="1"/>
        <v>62</v>
      </c>
      <c r="B81" s="9"/>
      <c r="C81" s="28"/>
      <c r="D81" s="23"/>
      <c r="E81" s="93"/>
      <c r="F81" s="22"/>
      <c r="G81" s="128"/>
      <c r="H81" s="45"/>
      <c r="I81" s="129"/>
      <c r="J81" s="125"/>
      <c r="K81" s="121"/>
      <c r="L81" s="78"/>
      <c r="M81" s="72">
        <f ca="1">IF(INDIRECT(ADDRESS(ROW(),3))&lt;&gt;"",getIBANchecksum(INDIRECT(ADDRESS(ROW(),3))),98)</f>
        <v>98</v>
      </c>
    </row>
    <row r="82" spans="1:13">
      <c r="A82" s="96">
        <f t="shared" si="1"/>
        <v>63</v>
      </c>
      <c r="B82" s="9"/>
      <c r="C82" s="28"/>
      <c r="D82" s="23"/>
      <c r="E82" s="93"/>
      <c r="F82" s="22"/>
      <c r="G82" s="128"/>
      <c r="H82" s="45"/>
      <c r="I82" s="129"/>
      <c r="J82" s="125"/>
      <c r="K82" s="121"/>
      <c r="L82" s="78"/>
      <c r="M82" s="72">
        <f ca="1">IF(INDIRECT(ADDRESS(ROW(),3))&lt;&gt;"",getIBANchecksum(INDIRECT(ADDRESS(ROW(),3))),98)</f>
        <v>98</v>
      </c>
    </row>
    <row r="83" spans="1:13">
      <c r="A83" s="96">
        <f t="shared" si="1"/>
        <v>64</v>
      </c>
      <c r="B83" s="9"/>
      <c r="C83" s="28"/>
      <c r="D83" s="23"/>
      <c r="E83" s="93"/>
      <c r="F83" s="22"/>
      <c r="G83" s="128"/>
      <c r="H83" s="45"/>
      <c r="I83" s="129"/>
      <c r="J83" s="125"/>
      <c r="K83" s="121"/>
      <c r="L83" s="78"/>
      <c r="M83" s="72">
        <f ca="1">IF(INDIRECT(ADDRESS(ROW(),3))&lt;&gt;"",getIBANchecksum(INDIRECT(ADDRESS(ROW(),3))),98)</f>
        <v>98</v>
      </c>
    </row>
    <row r="84" spans="1:13">
      <c r="A84" s="96">
        <f t="shared" si="1"/>
        <v>65</v>
      </c>
      <c r="B84" s="9"/>
      <c r="C84" s="28"/>
      <c r="D84" s="23"/>
      <c r="E84" s="93"/>
      <c r="F84" s="22"/>
      <c r="G84" s="128"/>
      <c r="H84" s="45"/>
      <c r="I84" s="129"/>
      <c r="J84" s="125"/>
      <c r="K84" s="121"/>
      <c r="L84" s="78"/>
      <c r="M84" s="72">
        <f ca="1">IF(INDIRECT(ADDRESS(ROW(),3))&lt;&gt;"",getIBANchecksum(INDIRECT(ADDRESS(ROW(),3))),98)</f>
        <v>98</v>
      </c>
    </row>
    <row r="85" spans="1:13">
      <c r="A85" s="96">
        <f t="shared" si="1"/>
        <v>66</v>
      </c>
      <c r="B85" s="9"/>
      <c r="C85" s="28"/>
      <c r="D85" s="23"/>
      <c r="E85" s="93"/>
      <c r="F85" s="22"/>
      <c r="G85" s="128"/>
      <c r="H85" s="45"/>
      <c r="I85" s="129"/>
      <c r="J85" s="125"/>
      <c r="K85" s="121"/>
      <c r="L85" s="78"/>
      <c r="M85" s="72">
        <f ca="1">IF(INDIRECT(ADDRESS(ROW(),3))&lt;&gt;"",getIBANchecksum(INDIRECT(ADDRESS(ROW(),3))),98)</f>
        <v>98</v>
      </c>
    </row>
    <row r="86" spans="1:13">
      <c r="A86" s="96">
        <f t="shared" ref="A86:A149" si="2">A85+1</f>
        <v>67</v>
      </c>
      <c r="B86" s="9"/>
      <c r="C86" s="28"/>
      <c r="D86" s="23"/>
      <c r="E86" s="93"/>
      <c r="F86" s="22"/>
      <c r="G86" s="128"/>
      <c r="H86" s="45"/>
      <c r="I86" s="129"/>
      <c r="J86" s="125"/>
      <c r="K86" s="121"/>
      <c r="L86" s="78"/>
      <c r="M86" s="72">
        <f ca="1">IF(INDIRECT(ADDRESS(ROW(),3))&lt;&gt;"",getIBANchecksum(INDIRECT(ADDRESS(ROW(),3))),98)</f>
        <v>98</v>
      </c>
    </row>
    <row r="87" spans="1:13">
      <c r="A87" s="96">
        <f t="shared" si="2"/>
        <v>68</v>
      </c>
      <c r="B87" s="9"/>
      <c r="C87" s="28"/>
      <c r="D87" s="23"/>
      <c r="E87" s="93"/>
      <c r="F87" s="22"/>
      <c r="G87" s="128"/>
      <c r="H87" s="45"/>
      <c r="I87" s="129"/>
      <c r="J87" s="125"/>
      <c r="K87" s="121"/>
      <c r="L87" s="78"/>
      <c r="M87" s="72">
        <f ca="1">IF(INDIRECT(ADDRESS(ROW(),3))&lt;&gt;"",getIBANchecksum(INDIRECT(ADDRESS(ROW(),3))),98)</f>
        <v>98</v>
      </c>
    </row>
    <row r="88" spans="1:13">
      <c r="A88" s="96">
        <f t="shared" si="2"/>
        <v>69</v>
      </c>
      <c r="B88" s="9"/>
      <c r="C88" s="28"/>
      <c r="D88" s="23"/>
      <c r="E88" s="93"/>
      <c r="F88" s="22"/>
      <c r="G88" s="128"/>
      <c r="H88" s="45"/>
      <c r="I88" s="129"/>
      <c r="J88" s="125"/>
      <c r="K88" s="121"/>
      <c r="L88" s="78"/>
      <c r="M88" s="72">
        <f ca="1">IF(INDIRECT(ADDRESS(ROW(),3))&lt;&gt;"",getIBANchecksum(INDIRECT(ADDRESS(ROW(),3))),98)</f>
        <v>98</v>
      </c>
    </row>
    <row r="89" spans="1:13">
      <c r="A89" s="96">
        <f t="shared" si="2"/>
        <v>70</v>
      </c>
      <c r="B89" s="9"/>
      <c r="C89" s="28"/>
      <c r="D89" s="23"/>
      <c r="E89" s="93"/>
      <c r="F89" s="22"/>
      <c r="G89" s="128"/>
      <c r="H89" s="45"/>
      <c r="I89" s="129"/>
      <c r="J89" s="125"/>
      <c r="K89" s="121"/>
      <c r="L89" s="78"/>
      <c r="M89" s="72">
        <f ca="1">IF(INDIRECT(ADDRESS(ROW(),3))&lt;&gt;"",getIBANchecksum(INDIRECT(ADDRESS(ROW(),3))),98)</f>
        <v>98</v>
      </c>
    </row>
    <row r="90" spans="1:13">
      <c r="A90" s="96">
        <f t="shared" si="2"/>
        <v>71</v>
      </c>
      <c r="B90" s="9"/>
      <c r="C90" s="28"/>
      <c r="D90" s="23"/>
      <c r="E90" s="93"/>
      <c r="F90" s="22"/>
      <c r="G90" s="128"/>
      <c r="H90" s="45"/>
      <c r="I90" s="129"/>
      <c r="J90" s="125"/>
      <c r="K90" s="121"/>
      <c r="L90" s="78"/>
      <c r="M90" s="72">
        <f ca="1">IF(INDIRECT(ADDRESS(ROW(),3))&lt;&gt;"",getIBANchecksum(INDIRECT(ADDRESS(ROW(),3))),98)</f>
        <v>98</v>
      </c>
    </row>
    <row r="91" spans="1:13">
      <c r="A91" s="96">
        <f t="shared" si="2"/>
        <v>72</v>
      </c>
      <c r="B91" s="9"/>
      <c r="C91" s="28"/>
      <c r="D91" s="23"/>
      <c r="E91" s="93"/>
      <c r="F91" s="22"/>
      <c r="G91" s="128"/>
      <c r="H91" s="45"/>
      <c r="I91" s="129"/>
      <c r="J91" s="125"/>
      <c r="K91" s="121"/>
      <c r="L91" s="78"/>
      <c r="M91" s="72">
        <f ca="1">IF(INDIRECT(ADDRESS(ROW(),3))&lt;&gt;"",getIBANchecksum(INDIRECT(ADDRESS(ROW(),3))),98)</f>
        <v>98</v>
      </c>
    </row>
    <row r="92" spans="1:13">
      <c r="A92" s="96">
        <f t="shared" si="2"/>
        <v>73</v>
      </c>
      <c r="B92" s="9"/>
      <c r="C92" s="28"/>
      <c r="D92" s="23"/>
      <c r="E92" s="93"/>
      <c r="F92" s="22"/>
      <c r="G92" s="128"/>
      <c r="H92" s="45"/>
      <c r="I92" s="129"/>
      <c r="J92" s="125"/>
      <c r="K92" s="121"/>
      <c r="L92" s="78"/>
      <c r="M92" s="72">
        <f ca="1">IF(INDIRECT(ADDRESS(ROW(),3))&lt;&gt;"",getIBANchecksum(INDIRECT(ADDRESS(ROW(),3))),98)</f>
        <v>98</v>
      </c>
    </row>
    <row r="93" spans="1:13">
      <c r="A93" s="96">
        <f t="shared" si="2"/>
        <v>74</v>
      </c>
      <c r="B93" s="9"/>
      <c r="C93" s="28"/>
      <c r="D93" s="23"/>
      <c r="E93" s="93"/>
      <c r="F93" s="22"/>
      <c r="G93" s="128"/>
      <c r="H93" s="45"/>
      <c r="I93" s="129"/>
      <c r="J93" s="125"/>
      <c r="K93" s="121"/>
      <c r="L93" s="78"/>
      <c r="M93" s="72">
        <f ca="1">IF(INDIRECT(ADDRESS(ROW(),3))&lt;&gt;"",getIBANchecksum(INDIRECT(ADDRESS(ROW(),3))),98)</f>
        <v>98</v>
      </c>
    </row>
    <row r="94" spans="1:13">
      <c r="A94" s="96">
        <f t="shared" si="2"/>
        <v>75</v>
      </c>
      <c r="B94" s="9"/>
      <c r="C94" s="28"/>
      <c r="D94" s="23"/>
      <c r="E94" s="93"/>
      <c r="F94" s="22"/>
      <c r="G94" s="128"/>
      <c r="H94" s="45"/>
      <c r="I94" s="129"/>
      <c r="J94" s="125"/>
      <c r="K94" s="121"/>
      <c r="L94" s="78"/>
      <c r="M94" s="72">
        <f ca="1">IF(INDIRECT(ADDRESS(ROW(),3))&lt;&gt;"",getIBANchecksum(INDIRECT(ADDRESS(ROW(),3))),98)</f>
        <v>98</v>
      </c>
    </row>
    <row r="95" spans="1:13">
      <c r="A95" s="96">
        <f t="shared" si="2"/>
        <v>76</v>
      </c>
      <c r="B95" s="9"/>
      <c r="C95" s="28"/>
      <c r="D95" s="23"/>
      <c r="E95" s="93"/>
      <c r="F95" s="22"/>
      <c r="G95" s="128"/>
      <c r="H95" s="45"/>
      <c r="I95" s="129"/>
      <c r="J95" s="125"/>
      <c r="K95" s="121"/>
      <c r="L95" s="78"/>
      <c r="M95" s="72">
        <f ca="1">IF(INDIRECT(ADDRESS(ROW(),3))&lt;&gt;"",getIBANchecksum(INDIRECT(ADDRESS(ROW(),3))),98)</f>
        <v>98</v>
      </c>
    </row>
    <row r="96" spans="1:13">
      <c r="A96" s="96">
        <f t="shared" si="2"/>
        <v>77</v>
      </c>
      <c r="B96" s="9"/>
      <c r="C96" s="28"/>
      <c r="D96" s="23"/>
      <c r="E96" s="93"/>
      <c r="F96" s="22"/>
      <c r="G96" s="128"/>
      <c r="H96" s="45"/>
      <c r="I96" s="129"/>
      <c r="J96" s="125"/>
      <c r="K96" s="121"/>
      <c r="L96" s="78"/>
      <c r="M96" s="72">
        <f ca="1">IF(INDIRECT(ADDRESS(ROW(),3))&lt;&gt;"",getIBANchecksum(INDIRECT(ADDRESS(ROW(),3))),98)</f>
        <v>98</v>
      </c>
    </row>
    <row r="97" spans="1:13">
      <c r="A97" s="96">
        <f t="shared" si="2"/>
        <v>78</v>
      </c>
      <c r="B97" s="9"/>
      <c r="C97" s="28"/>
      <c r="D97" s="23"/>
      <c r="E97" s="93"/>
      <c r="F97" s="22"/>
      <c r="G97" s="128"/>
      <c r="H97" s="45"/>
      <c r="I97" s="129"/>
      <c r="J97" s="125"/>
      <c r="K97" s="121"/>
      <c r="L97" s="78"/>
      <c r="M97" s="72">
        <f ca="1">IF(INDIRECT(ADDRESS(ROW(),3))&lt;&gt;"",getIBANchecksum(INDIRECT(ADDRESS(ROW(),3))),98)</f>
        <v>98</v>
      </c>
    </row>
    <row r="98" spans="1:13">
      <c r="A98" s="96">
        <f t="shared" si="2"/>
        <v>79</v>
      </c>
      <c r="B98" s="9"/>
      <c r="C98" s="28"/>
      <c r="D98" s="23"/>
      <c r="E98" s="93"/>
      <c r="F98" s="22"/>
      <c r="G98" s="128"/>
      <c r="H98" s="45"/>
      <c r="I98" s="129"/>
      <c r="J98" s="125"/>
      <c r="K98" s="121"/>
      <c r="L98" s="78"/>
      <c r="M98" s="72">
        <f ca="1">IF(INDIRECT(ADDRESS(ROW(),3))&lt;&gt;"",getIBANchecksum(INDIRECT(ADDRESS(ROW(),3))),98)</f>
        <v>98</v>
      </c>
    </row>
    <row r="99" spans="1:13">
      <c r="A99" s="96">
        <f t="shared" si="2"/>
        <v>80</v>
      </c>
      <c r="B99" s="9"/>
      <c r="C99" s="28"/>
      <c r="D99" s="23"/>
      <c r="E99" s="93"/>
      <c r="F99" s="22"/>
      <c r="G99" s="128"/>
      <c r="H99" s="45"/>
      <c r="I99" s="129"/>
      <c r="J99" s="125"/>
      <c r="K99" s="121"/>
      <c r="L99" s="78"/>
      <c r="M99" s="72">
        <f ca="1">IF(INDIRECT(ADDRESS(ROW(),3))&lt;&gt;"",getIBANchecksum(INDIRECT(ADDRESS(ROW(),3))),98)</f>
        <v>98</v>
      </c>
    </row>
    <row r="100" spans="1:13">
      <c r="A100" s="96">
        <f t="shared" si="2"/>
        <v>81</v>
      </c>
      <c r="B100" s="9"/>
      <c r="C100" s="28"/>
      <c r="D100" s="23"/>
      <c r="E100" s="93"/>
      <c r="F100" s="22"/>
      <c r="G100" s="128"/>
      <c r="H100" s="45"/>
      <c r="I100" s="129"/>
      <c r="J100" s="125"/>
      <c r="K100" s="121"/>
      <c r="L100" s="78"/>
      <c r="M100" s="72">
        <f ca="1">IF(INDIRECT(ADDRESS(ROW(),3))&lt;&gt;"",getIBANchecksum(INDIRECT(ADDRESS(ROW(),3))),98)</f>
        <v>98</v>
      </c>
    </row>
    <row r="101" spans="1:13">
      <c r="A101" s="96">
        <f t="shared" si="2"/>
        <v>82</v>
      </c>
      <c r="B101" s="9"/>
      <c r="C101" s="28"/>
      <c r="D101" s="23"/>
      <c r="E101" s="93"/>
      <c r="F101" s="22"/>
      <c r="G101" s="128"/>
      <c r="H101" s="45"/>
      <c r="I101" s="129"/>
      <c r="J101" s="125"/>
      <c r="K101" s="121"/>
      <c r="L101" s="78"/>
      <c r="M101" s="72">
        <f ca="1">IF(INDIRECT(ADDRESS(ROW(),3))&lt;&gt;"",getIBANchecksum(INDIRECT(ADDRESS(ROW(),3))),98)</f>
        <v>98</v>
      </c>
    </row>
    <row r="102" spans="1:13">
      <c r="A102" s="96">
        <f t="shared" si="2"/>
        <v>83</v>
      </c>
      <c r="B102" s="9"/>
      <c r="C102" s="28"/>
      <c r="D102" s="23"/>
      <c r="E102" s="93"/>
      <c r="F102" s="22"/>
      <c r="G102" s="128"/>
      <c r="H102" s="45"/>
      <c r="I102" s="129"/>
      <c r="J102" s="125"/>
      <c r="K102" s="121"/>
      <c r="L102" s="78"/>
      <c r="M102" s="72">
        <f ca="1">IF(INDIRECT(ADDRESS(ROW(),3))&lt;&gt;"",getIBANchecksum(INDIRECT(ADDRESS(ROW(),3))),98)</f>
        <v>98</v>
      </c>
    </row>
    <row r="103" spans="1:13">
      <c r="A103" s="96">
        <f t="shared" si="2"/>
        <v>84</v>
      </c>
      <c r="B103" s="9"/>
      <c r="C103" s="28"/>
      <c r="D103" s="23"/>
      <c r="E103" s="93"/>
      <c r="F103" s="22"/>
      <c r="G103" s="128"/>
      <c r="H103" s="45"/>
      <c r="I103" s="129"/>
      <c r="J103" s="125"/>
      <c r="K103" s="121"/>
      <c r="L103" s="78"/>
      <c r="M103" s="72">
        <f ca="1">IF(INDIRECT(ADDRESS(ROW(),3))&lt;&gt;"",getIBANchecksum(INDIRECT(ADDRESS(ROW(),3))),98)</f>
        <v>98</v>
      </c>
    </row>
    <row r="104" spans="1:13">
      <c r="A104" s="96">
        <f t="shared" si="2"/>
        <v>85</v>
      </c>
      <c r="B104" s="9"/>
      <c r="C104" s="28"/>
      <c r="D104" s="23"/>
      <c r="E104" s="93"/>
      <c r="F104" s="22"/>
      <c r="G104" s="128"/>
      <c r="H104" s="45"/>
      <c r="I104" s="129"/>
      <c r="J104" s="125"/>
      <c r="K104" s="121"/>
      <c r="L104" s="78"/>
      <c r="M104" s="72">
        <f ca="1">IF(INDIRECT(ADDRESS(ROW(),3))&lt;&gt;"",getIBANchecksum(INDIRECT(ADDRESS(ROW(),3))),98)</f>
        <v>98</v>
      </c>
    </row>
    <row r="105" spans="1:13">
      <c r="A105" s="96">
        <f t="shared" si="2"/>
        <v>86</v>
      </c>
      <c r="B105" s="9"/>
      <c r="C105" s="28"/>
      <c r="D105" s="23"/>
      <c r="E105" s="93"/>
      <c r="F105" s="22"/>
      <c r="G105" s="128"/>
      <c r="H105" s="45"/>
      <c r="I105" s="129"/>
      <c r="J105" s="125"/>
      <c r="K105" s="121"/>
      <c r="L105" s="78"/>
      <c r="M105" s="72">
        <f ca="1">IF(INDIRECT(ADDRESS(ROW(),3))&lt;&gt;"",getIBANchecksum(INDIRECT(ADDRESS(ROW(),3))),98)</f>
        <v>98</v>
      </c>
    </row>
    <row r="106" spans="1:13">
      <c r="A106" s="96">
        <f t="shared" si="2"/>
        <v>87</v>
      </c>
      <c r="B106" s="9"/>
      <c r="C106" s="28"/>
      <c r="D106" s="23"/>
      <c r="E106" s="93"/>
      <c r="F106" s="22"/>
      <c r="G106" s="128"/>
      <c r="H106" s="45"/>
      <c r="I106" s="129"/>
      <c r="J106" s="125"/>
      <c r="K106" s="121"/>
      <c r="L106" s="78"/>
      <c r="M106" s="72">
        <f ca="1">IF(INDIRECT(ADDRESS(ROW(),3))&lt;&gt;"",getIBANchecksum(INDIRECT(ADDRESS(ROW(),3))),98)</f>
        <v>98</v>
      </c>
    </row>
    <row r="107" spans="1:13">
      <c r="A107" s="96">
        <f t="shared" si="2"/>
        <v>88</v>
      </c>
      <c r="B107" s="9"/>
      <c r="C107" s="28"/>
      <c r="D107" s="23"/>
      <c r="E107" s="93"/>
      <c r="F107" s="22"/>
      <c r="G107" s="128"/>
      <c r="H107" s="45"/>
      <c r="I107" s="129"/>
      <c r="J107" s="125"/>
      <c r="K107" s="121"/>
      <c r="L107" s="78"/>
      <c r="M107" s="72">
        <f ca="1">IF(INDIRECT(ADDRESS(ROW(),3))&lt;&gt;"",getIBANchecksum(INDIRECT(ADDRESS(ROW(),3))),98)</f>
        <v>98</v>
      </c>
    </row>
    <row r="108" spans="1:13">
      <c r="A108" s="96">
        <f t="shared" si="2"/>
        <v>89</v>
      </c>
      <c r="B108" s="9"/>
      <c r="C108" s="28"/>
      <c r="D108" s="23"/>
      <c r="E108" s="93"/>
      <c r="F108" s="22"/>
      <c r="G108" s="128"/>
      <c r="H108" s="45"/>
      <c r="I108" s="129"/>
      <c r="J108" s="125"/>
      <c r="K108" s="121"/>
      <c r="L108" s="78"/>
      <c r="M108" s="72">
        <f ca="1">IF(INDIRECT(ADDRESS(ROW(),3))&lt;&gt;"",getIBANchecksum(INDIRECT(ADDRESS(ROW(),3))),98)</f>
        <v>98</v>
      </c>
    </row>
    <row r="109" spans="1:13">
      <c r="A109" s="96">
        <f t="shared" si="2"/>
        <v>90</v>
      </c>
      <c r="B109" s="9"/>
      <c r="C109" s="28"/>
      <c r="D109" s="23"/>
      <c r="E109" s="93"/>
      <c r="F109" s="22"/>
      <c r="G109" s="128"/>
      <c r="H109" s="45"/>
      <c r="I109" s="129"/>
      <c r="J109" s="125"/>
      <c r="K109" s="121"/>
      <c r="L109" s="78"/>
      <c r="M109" s="72">
        <f ca="1">IF(INDIRECT(ADDRESS(ROW(),3))&lt;&gt;"",getIBANchecksum(INDIRECT(ADDRESS(ROW(),3))),98)</f>
        <v>98</v>
      </c>
    </row>
    <row r="110" spans="1:13">
      <c r="A110" s="96">
        <f t="shared" si="2"/>
        <v>91</v>
      </c>
      <c r="B110" s="9"/>
      <c r="C110" s="28"/>
      <c r="D110" s="23"/>
      <c r="E110" s="93"/>
      <c r="F110" s="22"/>
      <c r="G110" s="128"/>
      <c r="H110" s="45"/>
      <c r="I110" s="129"/>
      <c r="J110" s="125"/>
      <c r="K110" s="121"/>
      <c r="L110" s="78"/>
      <c r="M110" s="72">
        <f ca="1">IF(INDIRECT(ADDRESS(ROW(),3))&lt;&gt;"",getIBANchecksum(INDIRECT(ADDRESS(ROW(),3))),98)</f>
        <v>98</v>
      </c>
    </row>
    <row r="111" spans="1:13">
      <c r="A111" s="96">
        <f t="shared" si="2"/>
        <v>92</v>
      </c>
      <c r="B111" s="9"/>
      <c r="C111" s="28"/>
      <c r="D111" s="23"/>
      <c r="E111" s="93"/>
      <c r="F111" s="22"/>
      <c r="G111" s="128"/>
      <c r="H111" s="45"/>
      <c r="I111" s="129"/>
      <c r="J111" s="125"/>
      <c r="K111" s="121"/>
      <c r="L111" s="78"/>
      <c r="M111" s="72">
        <f ca="1">IF(INDIRECT(ADDRESS(ROW(),3))&lt;&gt;"",getIBANchecksum(INDIRECT(ADDRESS(ROW(),3))),98)</f>
        <v>98</v>
      </c>
    </row>
    <row r="112" spans="1:13">
      <c r="A112" s="96">
        <f t="shared" si="2"/>
        <v>93</v>
      </c>
      <c r="B112" s="9"/>
      <c r="C112" s="28"/>
      <c r="D112" s="23"/>
      <c r="E112" s="93"/>
      <c r="F112" s="22"/>
      <c r="G112" s="128"/>
      <c r="H112" s="45"/>
      <c r="I112" s="129"/>
      <c r="J112" s="125"/>
      <c r="K112" s="121"/>
      <c r="L112" s="78"/>
      <c r="M112" s="72">
        <f ca="1">IF(INDIRECT(ADDRESS(ROW(),3))&lt;&gt;"",getIBANchecksum(INDIRECT(ADDRESS(ROW(),3))),98)</f>
        <v>98</v>
      </c>
    </row>
    <row r="113" spans="1:13">
      <c r="A113" s="96">
        <f t="shared" si="2"/>
        <v>94</v>
      </c>
      <c r="B113" s="9"/>
      <c r="C113" s="28"/>
      <c r="D113" s="23"/>
      <c r="E113" s="93"/>
      <c r="F113" s="22"/>
      <c r="G113" s="128"/>
      <c r="H113" s="45"/>
      <c r="I113" s="129"/>
      <c r="J113" s="125"/>
      <c r="K113" s="121"/>
      <c r="L113" s="78"/>
      <c r="M113" s="72">
        <f ca="1">IF(INDIRECT(ADDRESS(ROW(),3))&lt;&gt;"",getIBANchecksum(INDIRECT(ADDRESS(ROW(),3))),98)</f>
        <v>98</v>
      </c>
    </row>
    <row r="114" spans="1:13">
      <c r="A114" s="96">
        <f t="shared" si="2"/>
        <v>95</v>
      </c>
      <c r="B114" s="9"/>
      <c r="C114" s="28"/>
      <c r="D114" s="23"/>
      <c r="E114" s="93"/>
      <c r="F114" s="22"/>
      <c r="G114" s="128"/>
      <c r="H114" s="45"/>
      <c r="I114" s="129"/>
      <c r="J114" s="125"/>
      <c r="K114" s="121"/>
      <c r="L114" s="78"/>
      <c r="M114" s="72">
        <f ca="1">IF(INDIRECT(ADDRESS(ROW(),3))&lt;&gt;"",getIBANchecksum(INDIRECT(ADDRESS(ROW(),3))),98)</f>
        <v>98</v>
      </c>
    </row>
    <row r="115" spans="1:13">
      <c r="A115" s="96">
        <f t="shared" si="2"/>
        <v>96</v>
      </c>
      <c r="B115" s="9"/>
      <c r="C115" s="28"/>
      <c r="D115" s="23"/>
      <c r="E115" s="93"/>
      <c r="F115" s="22"/>
      <c r="G115" s="128"/>
      <c r="H115" s="45"/>
      <c r="I115" s="129"/>
      <c r="J115" s="125"/>
      <c r="K115" s="121"/>
      <c r="L115" s="78"/>
      <c r="M115" s="72">
        <f ca="1">IF(INDIRECT(ADDRESS(ROW(),3))&lt;&gt;"",getIBANchecksum(INDIRECT(ADDRESS(ROW(),3))),98)</f>
        <v>98</v>
      </c>
    </row>
    <row r="116" spans="1:13">
      <c r="A116" s="96">
        <f t="shared" si="2"/>
        <v>97</v>
      </c>
      <c r="B116" s="9"/>
      <c r="C116" s="28"/>
      <c r="D116" s="23"/>
      <c r="E116" s="93"/>
      <c r="F116" s="22"/>
      <c r="G116" s="128"/>
      <c r="H116" s="45"/>
      <c r="I116" s="129"/>
      <c r="J116" s="125"/>
      <c r="K116" s="121"/>
      <c r="L116" s="78"/>
      <c r="M116" s="72">
        <f ca="1">IF(INDIRECT(ADDRESS(ROW(),3))&lt;&gt;"",getIBANchecksum(INDIRECT(ADDRESS(ROW(),3))),98)</f>
        <v>98</v>
      </c>
    </row>
    <row r="117" spans="1:13">
      <c r="A117" s="96">
        <f t="shared" si="2"/>
        <v>98</v>
      </c>
      <c r="B117" s="9"/>
      <c r="C117" s="28"/>
      <c r="D117" s="23"/>
      <c r="E117" s="93"/>
      <c r="F117" s="22"/>
      <c r="G117" s="128"/>
      <c r="H117" s="45"/>
      <c r="I117" s="129"/>
      <c r="J117" s="125"/>
      <c r="K117" s="121"/>
      <c r="L117" s="78"/>
      <c r="M117" s="72">
        <f ca="1">IF(INDIRECT(ADDRESS(ROW(),3))&lt;&gt;"",getIBANchecksum(INDIRECT(ADDRESS(ROW(),3))),98)</f>
        <v>98</v>
      </c>
    </row>
    <row r="118" spans="1:13">
      <c r="A118" s="96">
        <f t="shared" si="2"/>
        <v>99</v>
      </c>
      <c r="B118" s="9"/>
      <c r="C118" s="28"/>
      <c r="D118" s="23"/>
      <c r="E118" s="93"/>
      <c r="F118" s="22"/>
      <c r="G118" s="128"/>
      <c r="H118" s="45"/>
      <c r="I118" s="129"/>
      <c r="J118" s="125"/>
      <c r="K118" s="121"/>
      <c r="L118" s="78"/>
      <c r="M118" s="72">
        <f ca="1">IF(INDIRECT(ADDRESS(ROW(),3))&lt;&gt;"",getIBANchecksum(INDIRECT(ADDRESS(ROW(),3))),98)</f>
        <v>98</v>
      </c>
    </row>
    <row r="119" spans="1:13">
      <c r="A119" s="96">
        <f t="shared" si="2"/>
        <v>100</v>
      </c>
      <c r="B119" s="9"/>
      <c r="C119" s="28"/>
      <c r="D119" s="23"/>
      <c r="E119" s="93"/>
      <c r="F119" s="22"/>
      <c r="G119" s="128"/>
      <c r="H119" s="45"/>
      <c r="I119" s="129"/>
      <c r="J119" s="125"/>
      <c r="K119" s="121"/>
      <c r="L119" s="78"/>
      <c r="M119" s="72">
        <f ca="1">IF(INDIRECT(ADDRESS(ROW(),3))&lt;&gt;"",getIBANchecksum(INDIRECT(ADDRESS(ROW(),3))),98)</f>
        <v>98</v>
      </c>
    </row>
    <row r="120" spans="1:13">
      <c r="A120" s="96">
        <f t="shared" si="2"/>
        <v>101</v>
      </c>
      <c r="B120" s="9"/>
      <c r="C120" s="28"/>
      <c r="D120" s="23"/>
      <c r="E120" s="93"/>
      <c r="F120" s="22"/>
      <c r="G120" s="128"/>
      <c r="H120" s="45"/>
      <c r="I120" s="129"/>
      <c r="J120" s="125"/>
      <c r="K120" s="121"/>
      <c r="L120" s="78"/>
      <c r="M120" s="72">
        <f ca="1">IF(INDIRECT(ADDRESS(ROW(),3))&lt;&gt;"",getIBANchecksum(INDIRECT(ADDRESS(ROW(),3))),98)</f>
        <v>98</v>
      </c>
    </row>
    <row r="121" spans="1:13">
      <c r="A121" s="96">
        <f t="shared" si="2"/>
        <v>102</v>
      </c>
      <c r="B121" s="9"/>
      <c r="C121" s="28"/>
      <c r="D121" s="23"/>
      <c r="E121" s="93"/>
      <c r="F121" s="22"/>
      <c r="G121" s="128"/>
      <c r="H121" s="45"/>
      <c r="I121" s="129"/>
      <c r="J121" s="125"/>
      <c r="K121" s="121"/>
      <c r="L121" s="78"/>
      <c r="M121" s="72">
        <f ca="1">IF(INDIRECT(ADDRESS(ROW(),3))&lt;&gt;"",getIBANchecksum(INDIRECT(ADDRESS(ROW(),3))),98)</f>
        <v>98</v>
      </c>
    </row>
    <row r="122" spans="1:13">
      <c r="A122" s="96">
        <f t="shared" si="2"/>
        <v>103</v>
      </c>
      <c r="B122" s="9"/>
      <c r="C122" s="28"/>
      <c r="D122" s="23"/>
      <c r="E122" s="93"/>
      <c r="F122" s="22"/>
      <c r="G122" s="128"/>
      <c r="H122" s="45"/>
      <c r="I122" s="129"/>
      <c r="J122" s="125"/>
      <c r="K122" s="121"/>
      <c r="L122" s="78"/>
      <c r="M122" s="72">
        <f ca="1">IF(INDIRECT(ADDRESS(ROW(),3))&lt;&gt;"",getIBANchecksum(INDIRECT(ADDRESS(ROW(),3))),98)</f>
        <v>98</v>
      </c>
    </row>
    <row r="123" spans="1:13">
      <c r="A123" s="96">
        <f t="shared" si="2"/>
        <v>104</v>
      </c>
      <c r="B123" s="9"/>
      <c r="C123" s="28"/>
      <c r="D123" s="23"/>
      <c r="E123" s="93"/>
      <c r="F123" s="22"/>
      <c r="G123" s="128"/>
      <c r="H123" s="45"/>
      <c r="I123" s="129"/>
      <c r="J123" s="125"/>
      <c r="K123" s="121"/>
      <c r="L123" s="78"/>
      <c r="M123" s="72">
        <f ca="1">IF(INDIRECT(ADDRESS(ROW(),3))&lt;&gt;"",getIBANchecksum(INDIRECT(ADDRESS(ROW(),3))),98)</f>
        <v>98</v>
      </c>
    </row>
    <row r="124" spans="1:13">
      <c r="A124" s="96">
        <f t="shared" si="2"/>
        <v>105</v>
      </c>
      <c r="B124" s="9"/>
      <c r="C124" s="28"/>
      <c r="D124" s="23"/>
      <c r="E124" s="93"/>
      <c r="F124" s="22"/>
      <c r="G124" s="128"/>
      <c r="H124" s="45"/>
      <c r="I124" s="129"/>
      <c r="J124" s="125"/>
      <c r="K124" s="121"/>
      <c r="L124" s="78"/>
      <c r="M124" s="72">
        <f ca="1">IF(INDIRECT(ADDRESS(ROW(),3))&lt;&gt;"",getIBANchecksum(INDIRECT(ADDRESS(ROW(),3))),98)</f>
        <v>98</v>
      </c>
    </row>
    <row r="125" spans="1:13">
      <c r="A125" s="96">
        <f t="shared" si="2"/>
        <v>106</v>
      </c>
      <c r="B125" s="9"/>
      <c r="C125" s="28"/>
      <c r="D125" s="23"/>
      <c r="E125" s="93"/>
      <c r="F125" s="22"/>
      <c r="G125" s="128"/>
      <c r="H125" s="45"/>
      <c r="I125" s="129"/>
      <c r="J125" s="125"/>
      <c r="K125" s="121"/>
      <c r="L125" s="78"/>
      <c r="M125" s="72">
        <f ca="1">IF(INDIRECT(ADDRESS(ROW(),3))&lt;&gt;"",getIBANchecksum(INDIRECT(ADDRESS(ROW(),3))),98)</f>
        <v>98</v>
      </c>
    </row>
    <row r="126" spans="1:13">
      <c r="A126" s="96">
        <f t="shared" si="2"/>
        <v>107</v>
      </c>
      <c r="B126" s="9"/>
      <c r="C126" s="28"/>
      <c r="D126" s="23"/>
      <c r="E126" s="93"/>
      <c r="F126" s="22"/>
      <c r="G126" s="128"/>
      <c r="H126" s="45"/>
      <c r="I126" s="129"/>
      <c r="J126" s="125"/>
      <c r="K126" s="121"/>
      <c r="L126" s="78"/>
      <c r="M126" s="72">
        <f ca="1">IF(INDIRECT(ADDRESS(ROW(),3))&lt;&gt;"",getIBANchecksum(INDIRECT(ADDRESS(ROW(),3))),98)</f>
        <v>98</v>
      </c>
    </row>
    <row r="127" spans="1:13">
      <c r="A127" s="96">
        <f t="shared" si="2"/>
        <v>108</v>
      </c>
      <c r="B127" s="9"/>
      <c r="C127" s="28"/>
      <c r="D127" s="23"/>
      <c r="E127" s="93"/>
      <c r="F127" s="22"/>
      <c r="G127" s="128"/>
      <c r="H127" s="45"/>
      <c r="I127" s="129"/>
      <c r="J127" s="125"/>
      <c r="K127" s="121"/>
      <c r="L127" s="78"/>
      <c r="M127" s="72">
        <f ca="1">IF(INDIRECT(ADDRESS(ROW(),3))&lt;&gt;"",getIBANchecksum(INDIRECT(ADDRESS(ROW(),3))),98)</f>
        <v>98</v>
      </c>
    </row>
    <row r="128" spans="1:13">
      <c r="A128" s="96">
        <f t="shared" si="2"/>
        <v>109</v>
      </c>
      <c r="B128" s="9"/>
      <c r="C128" s="28"/>
      <c r="D128" s="23"/>
      <c r="E128" s="93"/>
      <c r="F128" s="22"/>
      <c r="G128" s="128"/>
      <c r="H128" s="45"/>
      <c r="I128" s="129"/>
      <c r="J128" s="125"/>
      <c r="K128" s="121"/>
      <c r="L128" s="78"/>
      <c r="M128" s="72">
        <f ca="1">IF(INDIRECT(ADDRESS(ROW(),3))&lt;&gt;"",getIBANchecksum(INDIRECT(ADDRESS(ROW(),3))),98)</f>
        <v>98</v>
      </c>
    </row>
    <row r="129" spans="1:13">
      <c r="A129" s="96">
        <f t="shared" si="2"/>
        <v>110</v>
      </c>
      <c r="B129" s="9"/>
      <c r="C129" s="28"/>
      <c r="D129" s="23"/>
      <c r="E129" s="93"/>
      <c r="F129" s="22"/>
      <c r="G129" s="128"/>
      <c r="H129" s="45"/>
      <c r="I129" s="129"/>
      <c r="J129" s="125"/>
      <c r="K129" s="121"/>
      <c r="L129" s="78"/>
      <c r="M129" s="72">
        <f ca="1">IF(INDIRECT(ADDRESS(ROW(),3))&lt;&gt;"",getIBANchecksum(INDIRECT(ADDRESS(ROW(),3))),98)</f>
        <v>98</v>
      </c>
    </row>
    <row r="130" spans="1:13">
      <c r="A130" s="96">
        <f t="shared" si="2"/>
        <v>111</v>
      </c>
      <c r="B130" s="9"/>
      <c r="C130" s="28"/>
      <c r="D130" s="23"/>
      <c r="E130" s="93"/>
      <c r="F130" s="22"/>
      <c r="G130" s="128"/>
      <c r="H130" s="45"/>
      <c r="I130" s="129"/>
      <c r="J130" s="125"/>
      <c r="K130" s="121"/>
      <c r="L130" s="78"/>
      <c r="M130" s="72">
        <f ca="1">IF(INDIRECT(ADDRESS(ROW(),3))&lt;&gt;"",getIBANchecksum(INDIRECT(ADDRESS(ROW(),3))),98)</f>
        <v>98</v>
      </c>
    </row>
    <row r="131" spans="1:13">
      <c r="A131" s="96">
        <f t="shared" si="2"/>
        <v>112</v>
      </c>
      <c r="B131" s="9"/>
      <c r="C131" s="28"/>
      <c r="D131" s="23"/>
      <c r="E131" s="93"/>
      <c r="F131" s="22"/>
      <c r="G131" s="128"/>
      <c r="H131" s="45"/>
      <c r="I131" s="129"/>
      <c r="J131" s="125"/>
      <c r="K131" s="121"/>
      <c r="L131" s="78"/>
      <c r="M131" s="72">
        <f ca="1">IF(INDIRECT(ADDRESS(ROW(),3))&lt;&gt;"",getIBANchecksum(INDIRECT(ADDRESS(ROW(),3))),98)</f>
        <v>98</v>
      </c>
    </row>
    <row r="132" spans="1:13">
      <c r="A132" s="96">
        <f t="shared" si="2"/>
        <v>113</v>
      </c>
      <c r="B132" s="9"/>
      <c r="C132" s="28"/>
      <c r="D132" s="23"/>
      <c r="E132" s="93"/>
      <c r="F132" s="22"/>
      <c r="G132" s="128"/>
      <c r="H132" s="45"/>
      <c r="I132" s="129"/>
      <c r="J132" s="125"/>
      <c r="K132" s="121"/>
      <c r="L132" s="78"/>
      <c r="M132" s="72">
        <f ca="1">IF(INDIRECT(ADDRESS(ROW(),3))&lt;&gt;"",getIBANchecksum(INDIRECT(ADDRESS(ROW(),3))),98)</f>
        <v>98</v>
      </c>
    </row>
    <row r="133" spans="1:13">
      <c r="A133" s="96">
        <f t="shared" si="2"/>
        <v>114</v>
      </c>
      <c r="B133" s="9"/>
      <c r="C133" s="28"/>
      <c r="D133" s="23"/>
      <c r="E133" s="93"/>
      <c r="F133" s="22"/>
      <c r="G133" s="128"/>
      <c r="H133" s="45"/>
      <c r="I133" s="129"/>
      <c r="J133" s="125"/>
      <c r="K133" s="121"/>
      <c r="L133" s="78"/>
      <c r="M133" s="72">
        <f ca="1">IF(INDIRECT(ADDRESS(ROW(),3))&lt;&gt;"",getIBANchecksum(INDIRECT(ADDRESS(ROW(),3))),98)</f>
        <v>98</v>
      </c>
    </row>
    <row r="134" spans="1:13">
      <c r="A134" s="96">
        <f t="shared" si="2"/>
        <v>115</v>
      </c>
      <c r="B134" s="9"/>
      <c r="C134" s="28"/>
      <c r="D134" s="23"/>
      <c r="E134" s="93"/>
      <c r="F134" s="22"/>
      <c r="G134" s="128"/>
      <c r="H134" s="45"/>
      <c r="I134" s="129"/>
      <c r="J134" s="125"/>
      <c r="K134" s="121"/>
      <c r="L134" s="78"/>
      <c r="M134" s="72">
        <f ca="1">IF(INDIRECT(ADDRESS(ROW(),3))&lt;&gt;"",getIBANchecksum(INDIRECT(ADDRESS(ROW(),3))),98)</f>
        <v>98</v>
      </c>
    </row>
    <row r="135" spans="1:13">
      <c r="A135" s="96">
        <f t="shared" si="2"/>
        <v>116</v>
      </c>
      <c r="B135" s="9"/>
      <c r="C135" s="28"/>
      <c r="D135" s="23"/>
      <c r="E135" s="93"/>
      <c r="F135" s="22"/>
      <c r="G135" s="128"/>
      <c r="H135" s="45"/>
      <c r="I135" s="129"/>
      <c r="J135" s="125"/>
      <c r="K135" s="121"/>
      <c r="L135" s="78"/>
      <c r="M135" s="72">
        <f ca="1">IF(INDIRECT(ADDRESS(ROW(),3))&lt;&gt;"",getIBANchecksum(INDIRECT(ADDRESS(ROW(),3))),98)</f>
        <v>98</v>
      </c>
    </row>
    <row r="136" spans="1:13">
      <c r="A136" s="96">
        <f t="shared" si="2"/>
        <v>117</v>
      </c>
      <c r="B136" s="9"/>
      <c r="C136" s="28"/>
      <c r="D136" s="23"/>
      <c r="E136" s="93"/>
      <c r="F136" s="22"/>
      <c r="G136" s="128"/>
      <c r="H136" s="45"/>
      <c r="I136" s="129"/>
      <c r="J136" s="125"/>
      <c r="K136" s="121"/>
      <c r="L136" s="78"/>
      <c r="M136" s="72">
        <f ca="1">IF(INDIRECT(ADDRESS(ROW(),3))&lt;&gt;"",getIBANchecksum(INDIRECT(ADDRESS(ROW(),3))),98)</f>
        <v>98</v>
      </c>
    </row>
    <row r="137" spans="1:13">
      <c r="A137" s="96">
        <f t="shared" si="2"/>
        <v>118</v>
      </c>
      <c r="B137" s="9"/>
      <c r="C137" s="28"/>
      <c r="D137" s="23"/>
      <c r="E137" s="93"/>
      <c r="F137" s="22"/>
      <c r="G137" s="128"/>
      <c r="H137" s="45"/>
      <c r="I137" s="129"/>
      <c r="J137" s="125"/>
      <c r="K137" s="121"/>
      <c r="L137" s="78"/>
      <c r="M137" s="72">
        <f ca="1">IF(INDIRECT(ADDRESS(ROW(),3))&lt;&gt;"",getIBANchecksum(INDIRECT(ADDRESS(ROW(),3))),98)</f>
        <v>98</v>
      </c>
    </row>
    <row r="138" spans="1:13">
      <c r="A138" s="96">
        <f t="shared" si="2"/>
        <v>119</v>
      </c>
      <c r="B138" s="9"/>
      <c r="C138" s="28"/>
      <c r="D138" s="23"/>
      <c r="E138" s="93"/>
      <c r="F138" s="22"/>
      <c r="G138" s="128"/>
      <c r="H138" s="45"/>
      <c r="I138" s="129"/>
      <c r="J138" s="125"/>
      <c r="K138" s="121"/>
      <c r="L138" s="78"/>
      <c r="M138" s="72">
        <f ca="1">IF(INDIRECT(ADDRESS(ROW(),3))&lt;&gt;"",getIBANchecksum(INDIRECT(ADDRESS(ROW(),3))),98)</f>
        <v>98</v>
      </c>
    </row>
    <row r="139" spans="1:13">
      <c r="A139" s="96">
        <f t="shared" si="2"/>
        <v>120</v>
      </c>
      <c r="B139" s="9"/>
      <c r="C139" s="28"/>
      <c r="D139" s="23"/>
      <c r="E139" s="93"/>
      <c r="F139" s="22"/>
      <c r="G139" s="128"/>
      <c r="H139" s="45"/>
      <c r="I139" s="129"/>
      <c r="J139" s="125"/>
      <c r="K139" s="121"/>
      <c r="L139" s="78"/>
      <c r="M139" s="72">
        <f ca="1">IF(INDIRECT(ADDRESS(ROW(),3))&lt;&gt;"",getIBANchecksum(INDIRECT(ADDRESS(ROW(),3))),98)</f>
        <v>98</v>
      </c>
    </row>
    <row r="140" spans="1:13">
      <c r="A140" s="96">
        <f t="shared" si="2"/>
        <v>121</v>
      </c>
      <c r="B140" s="9"/>
      <c r="C140" s="28"/>
      <c r="D140" s="23"/>
      <c r="E140" s="93"/>
      <c r="F140" s="22"/>
      <c r="G140" s="128"/>
      <c r="H140" s="45"/>
      <c r="I140" s="129"/>
      <c r="J140" s="125"/>
      <c r="K140" s="121"/>
      <c r="L140" s="78"/>
      <c r="M140" s="72">
        <f ca="1">IF(INDIRECT(ADDRESS(ROW(),3))&lt;&gt;"",getIBANchecksum(INDIRECT(ADDRESS(ROW(),3))),98)</f>
        <v>98</v>
      </c>
    </row>
    <row r="141" spans="1:13">
      <c r="A141" s="96">
        <f t="shared" si="2"/>
        <v>122</v>
      </c>
      <c r="B141" s="9"/>
      <c r="C141" s="28"/>
      <c r="D141" s="23"/>
      <c r="E141" s="93"/>
      <c r="F141" s="22"/>
      <c r="G141" s="128"/>
      <c r="H141" s="45"/>
      <c r="I141" s="129"/>
      <c r="J141" s="125"/>
      <c r="K141" s="121"/>
      <c r="L141" s="78"/>
      <c r="M141" s="72">
        <f ca="1">IF(INDIRECT(ADDRESS(ROW(),3))&lt;&gt;"",getIBANchecksum(INDIRECT(ADDRESS(ROW(),3))),98)</f>
        <v>98</v>
      </c>
    </row>
    <row r="142" spans="1:13">
      <c r="A142" s="96">
        <f t="shared" si="2"/>
        <v>123</v>
      </c>
      <c r="B142" s="9"/>
      <c r="C142" s="28"/>
      <c r="D142" s="23"/>
      <c r="E142" s="93"/>
      <c r="F142" s="22"/>
      <c r="G142" s="128"/>
      <c r="H142" s="45"/>
      <c r="I142" s="129"/>
      <c r="J142" s="125"/>
      <c r="K142" s="121"/>
      <c r="L142" s="78"/>
      <c r="M142" s="72">
        <f ca="1">IF(INDIRECT(ADDRESS(ROW(),3))&lt;&gt;"",getIBANchecksum(INDIRECT(ADDRESS(ROW(),3))),98)</f>
        <v>98</v>
      </c>
    </row>
    <row r="143" spans="1:13">
      <c r="A143" s="96">
        <f t="shared" si="2"/>
        <v>124</v>
      </c>
      <c r="B143" s="9"/>
      <c r="C143" s="28"/>
      <c r="D143" s="23"/>
      <c r="E143" s="93"/>
      <c r="F143" s="22"/>
      <c r="G143" s="128"/>
      <c r="H143" s="45"/>
      <c r="I143" s="129"/>
      <c r="J143" s="125"/>
      <c r="K143" s="121"/>
      <c r="L143" s="78"/>
      <c r="M143" s="72">
        <f ca="1">IF(INDIRECT(ADDRESS(ROW(),3))&lt;&gt;"",getIBANchecksum(INDIRECT(ADDRESS(ROW(),3))),98)</f>
        <v>98</v>
      </c>
    </row>
    <row r="144" spans="1:13">
      <c r="A144" s="96">
        <f t="shared" si="2"/>
        <v>125</v>
      </c>
      <c r="B144" s="9"/>
      <c r="C144" s="28"/>
      <c r="D144" s="23"/>
      <c r="E144" s="93"/>
      <c r="F144" s="22"/>
      <c r="G144" s="128"/>
      <c r="H144" s="45"/>
      <c r="I144" s="129"/>
      <c r="J144" s="125"/>
      <c r="K144" s="121"/>
      <c r="L144" s="78"/>
      <c r="M144" s="72">
        <f ca="1">IF(INDIRECT(ADDRESS(ROW(),3))&lt;&gt;"",getIBANchecksum(INDIRECT(ADDRESS(ROW(),3))),98)</f>
        <v>98</v>
      </c>
    </row>
    <row r="145" spans="1:13">
      <c r="A145" s="96">
        <f t="shared" si="2"/>
        <v>126</v>
      </c>
      <c r="B145" s="9"/>
      <c r="C145" s="28"/>
      <c r="D145" s="23"/>
      <c r="E145" s="93"/>
      <c r="F145" s="22"/>
      <c r="G145" s="128"/>
      <c r="H145" s="45"/>
      <c r="I145" s="129"/>
      <c r="J145" s="125"/>
      <c r="K145" s="121"/>
      <c r="L145" s="78"/>
      <c r="M145" s="72">
        <f ca="1">IF(INDIRECT(ADDRESS(ROW(),3))&lt;&gt;"",getIBANchecksum(INDIRECT(ADDRESS(ROW(),3))),98)</f>
        <v>98</v>
      </c>
    </row>
    <row r="146" spans="1:13">
      <c r="A146" s="96">
        <f t="shared" si="2"/>
        <v>127</v>
      </c>
      <c r="B146" s="9"/>
      <c r="C146" s="28"/>
      <c r="D146" s="23"/>
      <c r="E146" s="93"/>
      <c r="F146" s="22"/>
      <c r="G146" s="128"/>
      <c r="H146" s="45"/>
      <c r="I146" s="129"/>
      <c r="J146" s="125"/>
      <c r="K146" s="121"/>
      <c r="L146" s="78"/>
      <c r="M146" s="72">
        <f ca="1">IF(INDIRECT(ADDRESS(ROW(),3))&lt;&gt;"",getIBANchecksum(INDIRECT(ADDRESS(ROW(),3))),98)</f>
        <v>98</v>
      </c>
    </row>
    <row r="147" spans="1:13">
      <c r="A147" s="96">
        <f t="shared" si="2"/>
        <v>128</v>
      </c>
      <c r="B147" s="9"/>
      <c r="C147" s="28"/>
      <c r="D147" s="23"/>
      <c r="E147" s="93"/>
      <c r="F147" s="22"/>
      <c r="G147" s="128"/>
      <c r="H147" s="45"/>
      <c r="I147" s="129"/>
      <c r="J147" s="125"/>
      <c r="K147" s="121"/>
      <c r="L147" s="78"/>
      <c r="M147" s="72">
        <f ca="1">IF(INDIRECT(ADDRESS(ROW(),3))&lt;&gt;"",getIBANchecksum(INDIRECT(ADDRESS(ROW(),3))),98)</f>
        <v>98</v>
      </c>
    </row>
    <row r="148" spans="1:13">
      <c r="A148" s="96">
        <f t="shared" si="2"/>
        <v>129</v>
      </c>
      <c r="B148" s="9"/>
      <c r="C148" s="28"/>
      <c r="D148" s="23"/>
      <c r="E148" s="93"/>
      <c r="F148" s="22"/>
      <c r="G148" s="128"/>
      <c r="H148" s="45"/>
      <c r="I148" s="129"/>
      <c r="J148" s="125"/>
      <c r="K148" s="121"/>
      <c r="L148" s="78"/>
      <c r="M148" s="72">
        <f ca="1">IF(INDIRECT(ADDRESS(ROW(),3))&lt;&gt;"",getIBANchecksum(INDIRECT(ADDRESS(ROW(),3))),98)</f>
        <v>98</v>
      </c>
    </row>
    <row r="149" spans="1:13">
      <c r="A149" s="96">
        <f t="shared" si="2"/>
        <v>130</v>
      </c>
      <c r="B149" s="9"/>
      <c r="C149" s="28"/>
      <c r="D149" s="23"/>
      <c r="E149" s="93"/>
      <c r="F149" s="22"/>
      <c r="G149" s="128"/>
      <c r="H149" s="45"/>
      <c r="I149" s="129"/>
      <c r="J149" s="125"/>
      <c r="K149" s="121"/>
      <c r="L149" s="78"/>
      <c r="M149" s="72">
        <f ca="1">IF(INDIRECT(ADDRESS(ROW(),3))&lt;&gt;"",getIBANchecksum(INDIRECT(ADDRESS(ROW(),3))),98)</f>
        <v>98</v>
      </c>
    </row>
    <row r="150" spans="1:13">
      <c r="A150" s="96">
        <f t="shared" ref="A150:A213" si="3">A149+1</f>
        <v>131</v>
      </c>
      <c r="B150" s="9"/>
      <c r="C150" s="28"/>
      <c r="D150" s="23"/>
      <c r="E150" s="93"/>
      <c r="F150" s="22"/>
      <c r="G150" s="128"/>
      <c r="H150" s="45"/>
      <c r="I150" s="129"/>
      <c r="J150" s="125"/>
      <c r="K150" s="121"/>
      <c r="L150" s="78"/>
      <c r="M150" s="72">
        <f ca="1">IF(INDIRECT(ADDRESS(ROW(),3))&lt;&gt;"",getIBANchecksum(INDIRECT(ADDRESS(ROW(),3))),98)</f>
        <v>98</v>
      </c>
    </row>
    <row r="151" spans="1:13">
      <c r="A151" s="96">
        <f t="shared" si="3"/>
        <v>132</v>
      </c>
      <c r="B151" s="9"/>
      <c r="C151" s="28"/>
      <c r="D151" s="23"/>
      <c r="E151" s="93"/>
      <c r="F151" s="22"/>
      <c r="G151" s="128"/>
      <c r="H151" s="45"/>
      <c r="I151" s="129"/>
      <c r="J151" s="125"/>
      <c r="K151" s="121"/>
      <c r="L151" s="78"/>
      <c r="M151" s="72">
        <f ca="1">IF(INDIRECT(ADDRESS(ROW(),3))&lt;&gt;"",getIBANchecksum(INDIRECT(ADDRESS(ROW(),3))),98)</f>
        <v>98</v>
      </c>
    </row>
    <row r="152" spans="1:13">
      <c r="A152" s="96">
        <f t="shared" si="3"/>
        <v>133</v>
      </c>
      <c r="B152" s="9"/>
      <c r="C152" s="28"/>
      <c r="D152" s="23"/>
      <c r="E152" s="93"/>
      <c r="F152" s="22"/>
      <c r="G152" s="128"/>
      <c r="H152" s="45"/>
      <c r="I152" s="129"/>
      <c r="J152" s="125"/>
      <c r="K152" s="121"/>
      <c r="L152" s="78"/>
      <c r="M152" s="72">
        <f ca="1">IF(INDIRECT(ADDRESS(ROW(),3))&lt;&gt;"",getIBANchecksum(INDIRECT(ADDRESS(ROW(),3))),98)</f>
        <v>98</v>
      </c>
    </row>
    <row r="153" spans="1:13">
      <c r="A153" s="96">
        <f t="shared" si="3"/>
        <v>134</v>
      </c>
      <c r="B153" s="9"/>
      <c r="C153" s="28"/>
      <c r="D153" s="23"/>
      <c r="E153" s="93"/>
      <c r="F153" s="22"/>
      <c r="G153" s="128"/>
      <c r="H153" s="45"/>
      <c r="I153" s="129"/>
      <c r="J153" s="125"/>
      <c r="K153" s="121"/>
      <c r="L153" s="78"/>
      <c r="M153" s="72">
        <f ca="1">IF(INDIRECT(ADDRESS(ROW(),3))&lt;&gt;"",getIBANchecksum(INDIRECT(ADDRESS(ROW(),3))),98)</f>
        <v>98</v>
      </c>
    </row>
    <row r="154" spans="1:13">
      <c r="A154" s="96">
        <f t="shared" si="3"/>
        <v>135</v>
      </c>
      <c r="B154" s="9"/>
      <c r="C154" s="28"/>
      <c r="D154" s="23"/>
      <c r="E154" s="93"/>
      <c r="F154" s="22"/>
      <c r="G154" s="128"/>
      <c r="H154" s="45"/>
      <c r="I154" s="129"/>
      <c r="J154" s="125"/>
      <c r="K154" s="121"/>
      <c r="L154" s="78"/>
      <c r="M154" s="72">
        <f ca="1">IF(INDIRECT(ADDRESS(ROW(),3))&lt;&gt;"",getIBANchecksum(INDIRECT(ADDRESS(ROW(),3))),98)</f>
        <v>98</v>
      </c>
    </row>
    <row r="155" spans="1:13">
      <c r="A155" s="96">
        <f t="shared" si="3"/>
        <v>136</v>
      </c>
      <c r="B155" s="9"/>
      <c r="C155" s="28"/>
      <c r="D155" s="23"/>
      <c r="E155" s="93"/>
      <c r="F155" s="22"/>
      <c r="G155" s="128"/>
      <c r="H155" s="45"/>
      <c r="I155" s="129"/>
      <c r="J155" s="125"/>
      <c r="K155" s="121"/>
      <c r="L155" s="78"/>
      <c r="M155" s="72">
        <f ca="1">IF(INDIRECT(ADDRESS(ROW(),3))&lt;&gt;"",getIBANchecksum(INDIRECT(ADDRESS(ROW(),3))),98)</f>
        <v>98</v>
      </c>
    </row>
    <row r="156" spans="1:13">
      <c r="A156" s="96">
        <f t="shared" si="3"/>
        <v>137</v>
      </c>
      <c r="B156" s="9"/>
      <c r="C156" s="28"/>
      <c r="D156" s="23"/>
      <c r="E156" s="93"/>
      <c r="F156" s="22"/>
      <c r="G156" s="128"/>
      <c r="H156" s="45"/>
      <c r="I156" s="129"/>
      <c r="J156" s="125"/>
      <c r="K156" s="121"/>
      <c r="L156" s="78"/>
      <c r="M156" s="72">
        <f ca="1">IF(INDIRECT(ADDRESS(ROW(),3))&lt;&gt;"",getIBANchecksum(INDIRECT(ADDRESS(ROW(),3))),98)</f>
        <v>98</v>
      </c>
    </row>
    <row r="157" spans="1:13">
      <c r="A157" s="96">
        <f t="shared" si="3"/>
        <v>138</v>
      </c>
      <c r="B157" s="9"/>
      <c r="C157" s="28"/>
      <c r="D157" s="23"/>
      <c r="E157" s="93"/>
      <c r="F157" s="22"/>
      <c r="G157" s="128"/>
      <c r="H157" s="45"/>
      <c r="I157" s="129"/>
      <c r="J157" s="125"/>
      <c r="K157" s="121"/>
      <c r="L157" s="78"/>
      <c r="M157" s="72">
        <f ca="1">IF(INDIRECT(ADDRESS(ROW(),3))&lt;&gt;"",getIBANchecksum(INDIRECT(ADDRESS(ROW(),3))),98)</f>
        <v>98</v>
      </c>
    </row>
    <row r="158" spans="1:13">
      <c r="A158" s="96">
        <f t="shared" si="3"/>
        <v>139</v>
      </c>
      <c r="B158" s="9"/>
      <c r="C158" s="28"/>
      <c r="D158" s="23"/>
      <c r="E158" s="93"/>
      <c r="F158" s="22"/>
      <c r="G158" s="128"/>
      <c r="H158" s="45"/>
      <c r="I158" s="129"/>
      <c r="J158" s="125"/>
      <c r="K158" s="121"/>
      <c r="L158" s="78"/>
      <c r="M158" s="72">
        <f ca="1">IF(INDIRECT(ADDRESS(ROW(),3))&lt;&gt;"",getIBANchecksum(INDIRECT(ADDRESS(ROW(),3))),98)</f>
        <v>98</v>
      </c>
    </row>
    <row r="159" spans="1:13">
      <c r="A159" s="96">
        <f t="shared" si="3"/>
        <v>140</v>
      </c>
      <c r="B159" s="9"/>
      <c r="C159" s="28"/>
      <c r="D159" s="23"/>
      <c r="E159" s="93"/>
      <c r="F159" s="22"/>
      <c r="G159" s="128"/>
      <c r="H159" s="45"/>
      <c r="I159" s="129"/>
      <c r="J159" s="125"/>
      <c r="K159" s="121"/>
      <c r="L159" s="78"/>
      <c r="M159" s="72">
        <f ca="1">IF(INDIRECT(ADDRESS(ROW(),3))&lt;&gt;"",getIBANchecksum(INDIRECT(ADDRESS(ROW(),3))),98)</f>
        <v>98</v>
      </c>
    </row>
    <row r="160" spans="1:13">
      <c r="A160" s="96">
        <f t="shared" si="3"/>
        <v>141</v>
      </c>
      <c r="B160" s="9"/>
      <c r="C160" s="28"/>
      <c r="D160" s="23"/>
      <c r="E160" s="93"/>
      <c r="F160" s="22"/>
      <c r="G160" s="128"/>
      <c r="H160" s="45"/>
      <c r="I160" s="129"/>
      <c r="J160" s="125"/>
      <c r="K160" s="121"/>
      <c r="L160" s="78"/>
      <c r="M160" s="72">
        <f ca="1">IF(INDIRECT(ADDRESS(ROW(),3))&lt;&gt;"",getIBANchecksum(INDIRECT(ADDRESS(ROW(),3))),98)</f>
        <v>98</v>
      </c>
    </row>
    <row r="161" spans="1:13">
      <c r="A161" s="96">
        <f t="shared" si="3"/>
        <v>142</v>
      </c>
      <c r="B161" s="9"/>
      <c r="C161" s="28"/>
      <c r="D161" s="23"/>
      <c r="E161" s="93"/>
      <c r="F161" s="22"/>
      <c r="G161" s="128"/>
      <c r="H161" s="45"/>
      <c r="I161" s="129"/>
      <c r="J161" s="125"/>
      <c r="K161" s="121"/>
      <c r="L161" s="78"/>
      <c r="M161" s="72">
        <f ca="1">IF(INDIRECT(ADDRESS(ROW(),3))&lt;&gt;"",getIBANchecksum(INDIRECT(ADDRESS(ROW(),3))),98)</f>
        <v>98</v>
      </c>
    </row>
    <row r="162" spans="1:13">
      <c r="A162" s="96">
        <f t="shared" si="3"/>
        <v>143</v>
      </c>
      <c r="B162" s="9"/>
      <c r="C162" s="28"/>
      <c r="D162" s="23"/>
      <c r="E162" s="93"/>
      <c r="F162" s="22"/>
      <c r="G162" s="128"/>
      <c r="H162" s="45"/>
      <c r="I162" s="129"/>
      <c r="J162" s="125"/>
      <c r="K162" s="121"/>
      <c r="L162" s="78"/>
      <c r="M162" s="72">
        <f ca="1">IF(INDIRECT(ADDRESS(ROW(),3))&lt;&gt;"",getIBANchecksum(INDIRECT(ADDRESS(ROW(),3))),98)</f>
        <v>98</v>
      </c>
    </row>
    <row r="163" spans="1:13">
      <c r="A163" s="96">
        <f t="shared" si="3"/>
        <v>144</v>
      </c>
      <c r="B163" s="9"/>
      <c r="C163" s="28"/>
      <c r="D163" s="23"/>
      <c r="E163" s="93"/>
      <c r="F163" s="22"/>
      <c r="G163" s="128"/>
      <c r="H163" s="45"/>
      <c r="I163" s="129"/>
      <c r="J163" s="125"/>
      <c r="K163" s="121"/>
      <c r="L163" s="78"/>
      <c r="M163" s="72">
        <f ca="1">IF(INDIRECT(ADDRESS(ROW(),3))&lt;&gt;"",getIBANchecksum(INDIRECT(ADDRESS(ROW(),3))),98)</f>
        <v>98</v>
      </c>
    </row>
    <row r="164" spans="1:13">
      <c r="A164" s="96">
        <f t="shared" si="3"/>
        <v>145</v>
      </c>
      <c r="B164" s="9"/>
      <c r="C164" s="28"/>
      <c r="D164" s="23"/>
      <c r="E164" s="93"/>
      <c r="F164" s="22"/>
      <c r="G164" s="128"/>
      <c r="H164" s="45"/>
      <c r="I164" s="129"/>
      <c r="J164" s="125"/>
      <c r="K164" s="121"/>
      <c r="L164" s="78"/>
      <c r="M164" s="72">
        <f ca="1">IF(INDIRECT(ADDRESS(ROW(),3))&lt;&gt;"",getIBANchecksum(INDIRECT(ADDRESS(ROW(),3))),98)</f>
        <v>98</v>
      </c>
    </row>
    <row r="165" spans="1:13">
      <c r="A165" s="96">
        <f t="shared" si="3"/>
        <v>146</v>
      </c>
      <c r="B165" s="9"/>
      <c r="C165" s="28"/>
      <c r="D165" s="23"/>
      <c r="E165" s="93"/>
      <c r="F165" s="22"/>
      <c r="G165" s="128"/>
      <c r="H165" s="45"/>
      <c r="I165" s="129"/>
      <c r="J165" s="125"/>
      <c r="K165" s="121"/>
      <c r="L165" s="78"/>
      <c r="M165" s="72">
        <f ca="1">IF(INDIRECT(ADDRESS(ROW(),3))&lt;&gt;"",getIBANchecksum(INDIRECT(ADDRESS(ROW(),3))),98)</f>
        <v>98</v>
      </c>
    </row>
    <row r="166" spans="1:13">
      <c r="A166" s="96">
        <f t="shared" si="3"/>
        <v>147</v>
      </c>
      <c r="B166" s="9"/>
      <c r="C166" s="28"/>
      <c r="D166" s="23"/>
      <c r="E166" s="93"/>
      <c r="F166" s="22"/>
      <c r="G166" s="128"/>
      <c r="H166" s="45"/>
      <c r="I166" s="129"/>
      <c r="J166" s="125"/>
      <c r="K166" s="121"/>
      <c r="L166" s="78"/>
      <c r="M166" s="72">
        <f ca="1">IF(INDIRECT(ADDRESS(ROW(),3))&lt;&gt;"",getIBANchecksum(INDIRECT(ADDRESS(ROW(),3))),98)</f>
        <v>98</v>
      </c>
    </row>
    <row r="167" spans="1:13">
      <c r="A167" s="96">
        <f t="shared" si="3"/>
        <v>148</v>
      </c>
      <c r="B167" s="9"/>
      <c r="C167" s="28"/>
      <c r="D167" s="23"/>
      <c r="E167" s="93"/>
      <c r="F167" s="22"/>
      <c r="G167" s="128"/>
      <c r="H167" s="45"/>
      <c r="I167" s="129"/>
      <c r="J167" s="125"/>
      <c r="K167" s="121"/>
      <c r="L167" s="78"/>
      <c r="M167" s="72">
        <f ca="1">IF(INDIRECT(ADDRESS(ROW(),3))&lt;&gt;"",getIBANchecksum(INDIRECT(ADDRESS(ROW(),3))),98)</f>
        <v>98</v>
      </c>
    </row>
    <row r="168" spans="1:13">
      <c r="A168" s="96">
        <f t="shared" si="3"/>
        <v>149</v>
      </c>
      <c r="B168" s="9"/>
      <c r="C168" s="28"/>
      <c r="D168" s="23"/>
      <c r="E168" s="93"/>
      <c r="F168" s="22"/>
      <c r="G168" s="128"/>
      <c r="H168" s="45"/>
      <c r="I168" s="129"/>
      <c r="J168" s="125"/>
      <c r="K168" s="121"/>
      <c r="L168" s="78"/>
      <c r="M168" s="72">
        <f ca="1">IF(INDIRECT(ADDRESS(ROW(),3))&lt;&gt;"",getIBANchecksum(INDIRECT(ADDRESS(ROW(),3))),98)</f>
        <v>98</v>
      </c>
    </row>
    <row r="169" spans="1:13">
      <c r="A169" s="96">
        <f t="shared" si="3"/>
        <v>150</v>
      </c>
      <c r="B169" s="9"/>
      <c r="C169" s="28"/>
      <c r="D169" s="23"/>
      <c r="E169" s="93"/>
      <c r="F169" s="22"/>
      <c r="G169" s="128"/>
      <c r="H169" s="45"/>
      <c r="I169" s="129"/>
      <c r="J169" s="125"/>
      <c r="K169" s="121"/>
      <c r="L169" s="78"/>
      <c r="M169" s="72">
        <f ca="1">IF(INDIRECT(ADDRESS(ROW(),3))&lt;&gt;"",getIBANchecksum(INDIRECT(ADDRESS(ROW(),3))),98)</f>
        <v>98</v>
      </c>
    </row>
    <row r="170" spans="1:13">
      <c r="A170" s="96">
        <f t="shared" si="3"/>
        <v>151</v>
      </c>
      <c r="B170" s="9"/>
      <c r="C170" s="28"/>
      <c r="D170" s="23"/>
      <c r="E170" s="93"/>
      <c r="F170" s="22"/>
      <c r="G170" s="128"/>
      <c r="H170" s="45"/>
      <c r="I170" s="129"/>
      <c r="J170" s="125"/>
      <c r="K170" s="121"/>
      <c r="L170" s="78"/>
      <c r="M170" s="72">
        <f ca="1">IF(INDIRECT(ADDRESS(ROW(),3))&lt;&gt;"",getIBANchecksum(INDIRECT(ADDRESS(ROW(),3))),98)</f>
        <v>98</v>
      </c>
    </row>
    <row r="171" spans="1:13">
      <c r="A171" s="96">
        <f t="shared" si="3"/>
        <v>152</v>
      </c>
      <c r="B171" s="9"/>
      <c r="C171" s="28"/>
      <c r="D171" s="23"/>
      <c r="E171" s="93"/>
      <c r="F171" s="22"/>
      <c r="G171" s="128"/>
      <c r="H171" s="45"/>
      <c r="I171" s="129"/>
      <c r="J171" s="125"/>
      <c r="K171" s="121"/>
      <c r="L171" s="78"/>
      <c r="M171" s="72">
        <f ca="1">IF(INDIRECT(ADDRESS(ROW(),3))&lt;&gt;"",getIBANchecksum(INDIRECT(ADDRESS(ROW(),3))),98)</f>
        <v>98</v>
      </c>
    </row>
    <row r="172" spans="1:13">
      <c r="A172" s="96">
        <f t="shared" si="3"/>
        <v>153</v>
      </c>
      <c r="B172" s="9"/>
      <c r="C172" s="28"/>
      <c r="D172" s="23"/>
      <c r="E172" s="93"/>
      <c r="F172" s="22"/>
      <c r="G172" s="128"/>
      <c r="H172" s="45"/>
      <c r="I172" s="129"/>
      <c r="J172" s="125"/>
      <c r="K172" s="121"/>
      <c r="L172" s="78"/>
      <c r="M172" s="72">
        <f ca="1">IF(INDIRECT(ADDRESS(ROW(),3))&lt;&gt;"",getIBANchecksum(INDIRECT(ADDRESS(ROW(),3))),98)</f>
        <v>98</v>
      </c>
    </row>
    <row r="173" spans="1:13">
      <c r="A173" s="96">
        <f t="shared" si="3"/>
        <v>154</v>
      </c>
      <c r="B173" s="9"/>
      <c r="C173" s="28"/>
      <c r="D173" s="23"/>
      <c r="E173" s="93"/>
      <c r="F173" s="22"/>
      <c r="G173" s="128"/>
      <c r="H173" s="45"/>
      <c r="I173" s="129"/>
      <c r="J173" s="125"/>
      <c r="K173" s="121"/>
      <c r="L173" s="78"/>
      <c r="M173" s="72">
        <f ca="1">IF(INDIRECT(ADDRESS(ROW(),3))&lt;&gt;"",getIBANchecksum(INDIRECT(ADDRESS(ROW(),3))),98)</f>
        <v>98</v>
      </c>
    </row>
    <row r="174" spans="1:13">
      <c r="A174" s="96">
        <f t="shared" si="3"/>
        <v>155</v>
      </c>
      <c r="B174" s="9"/>
      <c r="C174" s="28"/>
      <c r="D174" s="23"/>
      <c r="E174" s="93"/>
      <c r="F174" s="22"/>
      <c r="G174" s="128"/>
      <c r="H174" s="45"/>
      <c r="I174" s="129"/>
      <c r="J174" s="125"/>
      <c r="K174" s="121"/>
      <c r="L174" s="78"/>
      <c r="M174" s="72">
        <f ca="1">IF(INDIRECT(ADDRESS(ROW(),3))&lt;&gt;"",getIBANchecksum(INDIRECT(ADDRESS(ROW(),3))),98)</f>
        <v>98</v>
      </c>
    </row>
    <row r="175" spans="1:13">
      <c r="A175" s="96">
        <f t="shared" si="3"/>
        <v>156</v>
      </c>
      <c r="B175" s="9"/>
      <c r="C175" s="28"/>
      <c r="D175" s="23"/>
      <c r="E175" s="93"/>
      <c r="F175" s="22"/>
      <c r="G175" s="128"/>
      <c r="H175" s="45"/>
      <c r="I175" s="129"/>
      <c r="J175" s="125"/>
      <c r="K175" s="121"/>
      <c r="L175" s="78"/>
      <c r="M175" s="72">
        <f ca="1">IF(INDIRECT(ADDRESS(ROW(),3))&lt;&gt;"",getIBANchecksum(INDIRECT(ADDRESS(ROW(),3))),98)</f>
        <v>98</v>
      </c>
    </row>
    <row r="176" spans="1:13">
      <c r="A176" s="96">
        <f t="shared" si="3"/>
        <v>157</v>
      </c>
      <c r="B176" s="9"/>
      <c r="C176" s="28"/>
      <c r="D176" s="23"/>
      <c r="E176" s="93"/>
      <c r="F176" s="22"/>
      <c r="G176" s="128"/>
      <c r="H176" s="45"/>
      <c r="I176" s="129"/>
      <c r="J176" s="125"/>
      <c r="K176" s="121"/>
      <c r="L176" s="78"/>
      <c r="M176" s="72">
        <f ca="1">IF(INDIRECT(ADDRESS(ROW(),3))&lt;&gt;"",getIBANchecksum(INDIRECT(ADDRESS(ROW(),3))),98)</f>
        <v>98</v>
      </c>
    </row>
    <row r="177" spans="1:13">
      <c r="A177" s="96">
        <f t="shared" si="3"/>
        <v>158</v>
      </c>
      <c r="B177" s="9"/>
      <c r="C177" s="28"/>
      <c r="D177" s="23"/>
      <c r="E177" s="93"/>
      <c r="F177" s="22"/>
      <c r="G177" s="128"/>
      <c r="H177" s="45"/>
      <c r="I177" s="129"/>
      <c r="J177" s="125"/>
      <c r="K177" s="121"/>
      <c r="L177" s="78"/>
      <c r="M177" s="72">
        <f ca="1">IF(INDIRECT(ADDRESS(ROW(),3))&lt;&gt;"",getIBANchecksum(INDIRECT(ADDRESS(ROW(),3))),98)</f>
        <v>98</v>
      </c>
    </row>
    <row r="178" spans="1:13">
      <c r="A178" s="96">
        <f t="shared" si="3"/>
        <v>159</v>
      </c>
      <c r="B178" s="9"/>
      <c r="C178" s="28"/>
      <c r="D178" s="23"/>
      <c r="E178" s="93"/>
      <c r="F178" s="22"/>
      <c r="G178" s="128"/>
      <c r="H178" s="45"/>
      <c r="I178" s="129"/>
      <c r="J178" s="125"/>
      <c r="K178" s="121"/>
      <c r="L178" s="78"/>
      <c r="M178" s="72">
        <f ca="1">IF(INDIRECT(ADDRESS(ROW(),3))&lt;&gt;"",getIBANchecksum(INDIRECT(ADDRESS(ROW(),3))),98)</f>
        <v>98</v>
      </c>
    </row>
    <row r="179" spans="1:13">
      <c r="A179" s="96">
        <f t="shared" si="3"/>
        <v>160</v>
      </c>
      <c r="B179" s="9"/>
      <c r="C179" s="28"/>
      <c r="D179" s="23"/>
      <c r="E179" s="93"/>
      <c r="F179" s="22"/>
      <c r="G179" s="128"/>
      <c r="H179" s="45"/>
      <c r="I179" s="129"/>
      <c r="J179" s="125"/>
      <c r="K179" s="121"/>
      <c r="L179" s="78"/>
      <c r="M179" s="72">
        <f ca="1">IF(INDIRECT(ADDRESS(ROW(),3))&lt;&gt;"",getIBANchecksum(INDIRECT(ADDRESS(ROW(),3))),98)</f>
        <v>98</v>
      </c>
    </row>
    <row r="180" spans="1:13">
      <c r="A180" s="96">
        <f t="shared" si="3"/>
        <v>161</v>
      </c>
      <c r="B180" s="9"/>
      <c r="C180" s="28"/>
      <c r="D180" s="23"/>
      <c r="E180" s="93"/>
      <c r="F180" s="22"/>
      <c r="G180" s="128"/>
      <c r="H180" s="45"/>
      <c r="I180" s="129"/>
      <c r="J180" s="125"/>
      <c r="K180" s="121"/>
      <c r="L180" s="78"/>
      <c r="M180" s="72">
        <f ca="1">IF(INDIRECT(ADDRESS(ROW(),3))&lt;&gt;"",getIBANchecksum(INDIRECT(ADDRESS(ROW(),3))),98)</f>
        <v>98</v>
      </c>
    </row>
    <row r="181" spans="1:13">
      <c r="A181" s="96">
        <f t="shared" si="3"/>
        <v>162</v>
      </c>
      <c r="B181" s="9"/>
      <c r="C181" s="28"/>
      <c r="D181" s="23"/>
      <c r="E181" s="93"/>
      <c r="F181" s="22"/>
      <c r="G181" s="128"/>
      <c r="H181" s="45"/>
      <c r="I181" s="129"/>
      <c r="J181" s="125"/>
      <c r="K181" s="121"/>
      <c r="L181" s="78"/>
      <c r="M181" s="72">
        <f ca="1">IF(INDIRECT(ADDRESS(ROW(),3))&lt;&gt;"",getIBANchecksum(INDIRECT(ADDRESS(ROW(),3))),98)</f>
        <v>98</v>
      </c>
    </row>
    <row r="182" spans="1:13">
      <c r="A182" s="96">
        <f t="shared" si="3"/>
        <v>163</v>
      </c>
      <c r="B182" s="9"/>
      <c r="C182" s="28"/>
      <c r="D182" s="23"/>
      <c r="E182" s="93"/>
      <c r="F182" s="22"/>
      <c r="G182" s="128"/>
      <c r="H182" s="45"/>
      <c r="I182" s="129"/>
      <c r="J182" s="125"/>
      <c r="K182" s="121"/>
      <c r="L182" s="78"/>
      <c r="M182" s="72">
        <f ca="1">IF(INDIRECT(ADDRESS(ROW(),3))&lt;&gt;"",getIBANchecksum(INDIRECT(ADDRESS(ROW(),3))),98)</f>
        <v>98</v>
      </c>
    </row>
    <row r="183" spans="1:13">
      <c r="A183" s="96">
        <f t="shared" si="3"/>
        <v>164</v>
      </c>
      <c r="B183" s="9"/>
      <c r="C183" s="28"/>
      <c r="D183" s="23"/>
      <c r="E183" s="93"/>
      <c r="F183" s="22"/>
      <c r="G183" s="128"/>
      <c r="H183" s="45"/>
      <c r="I183" s="129"/>
      <c r="J183" s="125"/>
      <c r="K183" s="121"/>
      <c r="L183" s="78"/>
      <c r="M183" s="72">
        <f ca="1">IF(INDIRECT(ADDRESS(ROW(),3))&lt;&gt;"",getIBANchecksum(INDIRECT(ADDRESS(ROW(),3))),98)</f>
        <v>98</v>
      </c>
    </row>
    <row r="184" spans="1:13">
      <c r="A184" s="96">
        <f t="shared" si="3"/>
        <v>165</v>
      </c>
      <c r="B184" s="9"/>
      <c r="C184" s="28"/>
      <c r="D184" s="23"/>
      <c r="E184" s="93"/>
      <c r="F184" s="22"/>
      <c r="G184" s="128"/>
      <c r="H184" s="45"/>
      <c r="I184" s="129"/>
      <c r="J184" s="125"/>
      <c r="K184" s="121"/>
      <c r="L184" s="78"/>
      <c r="M184" s="72">
        <f ca="1">IF(INDIRECT(ADDRESS(ROW(),3))&lt;&gt;"",getIBANchecksum(INDIRECT(ADDRESS(ROW(),3))),98)</f>
        <v>98</v>
      </c>
    </row>
    <row r="185" spans="1:13">
      <c r="A185" s="96">
        <f t="shared" si="3"/>
        <v>166</v>
      </c>
      <c r="B185" s="9"/>
      <c r="C185" s="28"/>
      <c r="D185" s="23"/>
      <c r="E185" s="93"/>
      <c r="F185" s="22"/>
      <c r="G185" s="128"/>
      <c r="H185" s="45"/>
      <c r="I185" s="129"/>
      <c r="J185" s="125"/>
      <c r="K185" s="121"/>
      <c r="L185" s="78"/>
      <c r="M185" s="72">
        <f ca="1">IF(INDIRECT(ADDRESS(ROW(),3))&lt;&gt;"",getIBANchecksum(INDIRECT(ADDRESS(ROW(),3))),98)</f>
        <v>98</v>
      </c>
    </row>
    <row r="186" spans="1:13">
      <c r="A186" s="96">
        <f t="shared" si="3"/>
        <v>167</v>
      </c>
      <c r="B186" s="9"/>
      <c r="C186" s="28"/>
      <c r="D186" s="23"/>
      <c r="E186" s="93"/>
      <c r="F186" s="22"/>
      <c r="G186" s="128"/>
      <c r="H186" s="45"/>
      <c r="I186" s="129"/>
      <c r="J186" s="125"/>
      <c r="K186" s="121"/>
      <c r="L186" s="78"/>
      <c r="M186" s="72">
        <f ca="1">IF(INDIRECT(ADDRESS(ROW(),3))&lt;&gt;"",getIBANchecksum(INDIRECT(ADDRESS(ROW(),3))),98)</f>
        <v>98</v>
      </c>
    </row>
    <row r="187" spans="1:13">
      <c r="A187" s="96">
        <f t="shared" si="3"/>
        <v>168</v>
      </c>
      <c r="B187" s="9"/>
      <c r="C187" s="28"/>
      <c r="D187" s="23"/>
      <c r="E187" s="93"/>
      <c r="F187" s="22"/>
      <c r="G187" s="128"/>
      <c r="H187" s="45"/>
      <c r="I187" s="129"/>
      <c r="J187" s="125"/>
      <c r="K187" s="121"/>
      <c r="L187" s="78"/>
      <c r="M187" s="72">
        <f ca="1">IF(INDIRECT(ADDRESS(ROW(),3))&lt;&gt;"",getIBANchecksum(INDIRECT(ADDRESS(ROW(),3))),98)</f>
        <v>98</v>
      </c>
    </row>
    <row r="188" spans="1:13">
      <c r="A188" s="96">
        <f t="shared" si="3"/>
        <v>169</v>
      </c>
      <c r="B188" s="9"/>
      <c r="C188" s="28"/>
      <c r="D188" s="23"/>
      <c r="E188" s="93"/>
      <c r="F188" s="22"/>
      <c r="G188" s="128"/>
      <c r="H188" s="45"/>
      <c r="I188" s="129"/>
      <c r="J188" s="125"/>
      <c r="K188" s="121"/>
      <c r="L188" s="78"/>
      <c r="M188" s="72">
        <f ca="1">IF(INDIRECT(ADDRESS(ROW(),3))&lt;&gt;"",getIBANchecksum(INDIRECT(ADDRESS(ROW(),3))),98)</f>
        <v>98</v>
      </c>
    </row>
    <row r="189" spans="1:13">
      <c r="A189" s="96">
        <f t="shared" si="3"/>
        <v>170</v>
      </c>
      <c r="B189" s="9"/>
      <c r="C189" s="28"/>
      <c r="D189" s="23"/>
      <c r="E189" s="93"/>
      <c r="F189" s="22"/>
      <c r="G189" s="128"/>
      <c r="H189" s="45"/>
      <c r="I189" s="129"/>
      <c r="J189" s="125"/>
      <c r="K189" s="121"/>
      <c r="L189" s="78"/>
      <c r="M189" s="72">
        <f ca="1">IF(INDIRECT(ADDRESS(ROW(),3))&lt;&gt;"",getIBANchecksum(INDIRECT(ADDRESS(ROW(),3))),98)</f>
        <v>98</v>
      </c>
    </row>
    <row r="190" spans="1:13">
      <c r="A190" s="96">
        <f t="shared" si="3"/>
        <v>171</v>
      </c>
      <c r="B190" s="9"/>
      <c r="C190" s="28"/>
      <c r="D190" s="23"/>
      <c r="E190" s="93"/>
      <c r="F190" s="22"/>
      <c r="G190" s="128"/>
      <c r="H190" s="45"/>
      <c r="I190" s="129"/>
      <c r="J190" s="125"/>
      <c r="K190" s="121"/>
      <c r="L190" s="78"/>
      <c r="M190" s="72">
        <f ca="1">IF(INDIRECT(ADDRESS(ROW(),3))&lt;&gt;"",getIBANchecksum(INDIRECT(ADDRESS(ROW(),3))),98)</f>
        <v>98</v>
      </c>
    </row>
    <row r="191" spans="1:13">
      <c r="A191" s="96">
        <f t="shared" si="3"/>
        <v>172</v>
      </c>
      <c r="B191" s="9"/>
      <c r="C191" s="28"/>
      <c r="D191" s="23"/>
      <c r="E191" s="93"/>
      <c r="F191" s="22"/>
      <c r="G191" s="128"/>
      <c r="H191" s="45"/>
      <c r="I191" s="129"/>
      <c r="J191" s="125"/>
      <c r="K191" s="121"/>
      <c r="L191" s="78"/>
      <c r="M191" s="72">
        <f ca="1">IF(INDIRECT(ADDRESS(ROW(),3))&lt;&gt;"",getIBANchecksum(INDIRECT(ADDRESS(ROW(),3))),98)</f>
        <v>98</v>
      </c>
    </row>
    <row r="192" spans="1:13">
      <c r="A192" s="96">
        <f t="shared" si="3"/>
        <v>173</v>
      </c>
      <c r="B192" s="9"/>
      <c r="C192" s="28"/>
      <c r="D192" s="23"/>
      <c r="E192" s="93"/>
      <c r="F192" s="22"/>
      <c r="G192" s="128"/>
      <c r="H192" s="45"/>
      <c r="I192" s="129"/>
      <c r="J192" s="125"/>
      <c r="K192" s="121"/>
      <c r="L192" s="78"/>
      <c r="M192" s="72">
        <f ca="1">IF(INDIRECT(ADDRESS(ROW(),3))&lt;&gt;"",getIBANchecksum(INDIRECT(ADDRESS(ROW(),3))),98)</f>
        <v>98</v>
      </c>
    </row>
    <row r="193" spans="1:13">
      <c r="A193" s="96">
        <f t="shared" si="3"/>
        <v>174</v>
      </c>
      <c r="B193" s="9"/>
      <c r="C193" s="28"/>
      <c r="D193" s="23"/>
      <c r="E193" s="93"/>
      <c r="F193" s="22"/>
      <c r="G193" s="128"/>
      <c r="H193" s="45"/>
      <c r="I193" s="129"/>
      <c r="J193" s="125"/>
      <c r="K193" s="121"/>
      <c r="L193" s="78"/>
      <c r="M193" s="72">
        <f ca="1">IF(INDIRECT(ADDRESS(ROW(),3))&lt;&gt;"",getIBANchecksum(INDIRECT(ADDRESS(ROW(),3))),98)</f>
        <v>98</v>
      </c>
    </row>
    <row r="194" spans="1:13">
      <c r="A194" s="96">
        <f t="shared" si="3"/>
        <v>175</v>
      </c>
      <c r="B194" s="9"/>
      <c r="C194" s="28"/>
      <c r="D194" s="23"/>
      <c r="E194" s="93"/>
      <c r="F194" s="22"/>
      <c r="G194" s="128"/>
      <c r="H194" s="45"/>
      <c r="I194" s="129"/>
      <c r="J194" s="125"/>
      <c r="K194" s="121"/>
      <c r="L194" s="78"/>
      <c r="M194" s="72">
        <f ca="1">IF(INDIRECT(ADDRESS(ROW(),3))&lt;&gt;"",getIBANchecksum(INDIRECT(ADDRESS(ROW(),3))),98)</f>
        <v>98</v>
      </c>
    </row>
    <row r="195" spans="1:13">
      <c r="A195" s="96">
        <f t="shared" si="3"/>
        <v>176</v>
      </c>
      <c r="B195" s="9"/>
      <c r="C195" s="28"/>
      <c r="D195" s="23"/>
      <c r="E195" s="93"/>
      <c r="F195" s="22"/>
      <c r="G195" s="128"/>
      <c r="H195" s="45"/>
      <c r="I195" s="129"/>
      <c r="J195" s="125"/>
      <c r="K195" s="121"/>
      <c r="L195" s="78"/>
      <c r="M195" s="72">
        <f ca="1">IF(INDIRECT(ADDRESS(ROW(),3))&lt;&gt;"",getIBANchecksum(INDIRECT(ADDRESS(ROW(),3))),98)</f>
        <v>98</v>
      </c>
    </row>
    <row r="196" spans="1:13">
      <c r="A196" s="96">
        <f t="shared" si="3"/>
        <v>177</v>
      </c>
      <c r="B196" s="9"/>
      <c r="C196" s="28"/>
      <c r="D196" s="23"/>
      <c r="E196" s="93"/>
      <c r="F196" s="22"/>
      <c r="G196" s="128"/>
      <c r="H196" s="45"/>
      <c r="I196" s="129"/>
      <c r="J196" s="125"/>
      <c r="K196" s="121"/>
      <c r="L196" s="78"/>
      <c r="M196" s="72">
        <f ca="1">IF(INDIRECT(ADDRESS(ROW(),3))&lt;&gt;"",getIBANchecksum(INDIRECT(ADDRESS(ROW(),3))),98)</f>
        <v>98</v>
      </c>
    </row>
    <row r="197" spans="1:13">
      <c r="A197" s="96">
        <f t="shared" si="3"/>
        <v>178</v>
      </c>
      <c r="B197" s="9"/>
      <c r="C197" s="28"/>
      <c r="D197" s="23"/>
      <c r="E197" s="93"/>
      <c r="F197" s="22"/>
      <c r="G197" s="128"/>
      <c r="H197" s="45"/>
      <c r="I197" s="129"/>
      <c r="J197" s="125"/>
      <c r="K197" s="121"/>
      <c r="L197" s="78"/>
      <c r="M197" s="72">
        <f ca="1">IF(INDIRECT(ADDRESS(ROW(),3))&lt;&gt;"",getIBANchecksum(INDIRECT(ADDRESS(ROW(),3))),98)</f>
        <v>98</v>
      </c>
    </row>
    <row r="198" spans="1:13">
      <c r="A198" s="96">
        <f t="shared" si="3"/>
        <v>179</v>
      </c>
      <c r="B198" s="9"/>
      <c r="C198" s="28"/>
      <c r="D198" s="23"/>
      <c r="E198" s="93"/>
      <c r="F198" s="22"/>
      <c r="G198" s="128"/>
      <c r="H198" s="45"/>
      <c r="I198" s="129"/>
      <c r="J198" s="125"/>
      <c r="K198" s="121"/>
      <c r="L198" s="78"/>
      <c r="M198" s="72">
        <f ca="1">IF(INDIRECT(ADDRESS(ROW(),3))&lt;&gt;"",getIBANchecksum(INDIRECT(ADDRESS(ROW(),3))),98)</f>
        <v>98</v>
      </c>
    </row>
    <row r="199" spans="1:13">
      <c r="A199" s="96">
        <f t="shared" si="3"/>
        <v>180</v>
      </c>
      <c r="B199" s="9"/>
      <c r="C199" s="28"/>
      <c r="D199" s="23"/>
      <c r="E199" s="93"/>
      <c r="F199" s="22"/>
      <c r="G199" s="128"/>
      <c r="H199" s="45"/>
      <c r="I199" s="129"/>
      <c r="J199" s="125"/>
      <c r="K199" s="121"/>
      <c r="L199" s="78"/>
      <c r="M199" s="72">
        <f ca="1">IF(INDIRECT(ADDRESS(ROW(),3))&lt;&gt;"",getIBANchecksum(INDIRECT(ADDRESS(ROW(),3))),98)</f>
        <v>98</v>
      </c>
    </row>
    <row r="200" spans="1:13">
      <c r="A200" s="96">
        <f t="shared" si="3"/>
        <v>181</v>
      </c>
      <c r="B200" s="9"/>
      <c r="C200" s="28"/>
      <c r="D200" s="23"/>
      <c r="E200" s="93"/>
      <c r="F200" s="22"/>
      <c r="G200" s="128"/>
      <c r="H200" s="45"/>
      <c r="I200" s="129"/>
      <c r="J200" s="125"/>
      <c r="K200" s="121"/>
      <c r="L200" s="78"/>
      <c r="M200" s="72">
        <f ca="1">IF(INDIRECT(ADDRESS(ROW(),3))&lt;&gt;"",getIBANchecksum(INDIRECT(ADDRESS(ROW(),3))),98)</f>
        <v>98</v>
      </c>
    </row>
    <row r="201" spans="1:13">
      <c r="A201" s="96">
        <f t="shared" si="3"/>
        <v>182</v>
      </c>
      <c r="B201" s="9"/>
      <c r="C201" s="28"/>
      <c r="D201" s="23"/>
      <c r="E201" s="93"/>
      <c r="F201" s="22"/>
      <c r="G201" s="128"/>
      <c r="H201" s="45"/>
      <c r="I201" s="129"/>
      <c r="J201" s="125"/>
      <c r="K201" s="121"/>
      <c r="L201" s="78"/>
      <c r="M201" s="72">
        <f ca="1">IF(INDIRECT(ADDRESS(ROW(),3))&lt;&gt;"",getIBANchecksum(INDIRECT(ADDRESS(ROW(),3))),98)</f>
        <v>98</v>
      </c>
    </row>
    <row r="202" spans="1:13">
      <c r="A202" s="96">
        <f t="shared" si="3"/>
        <v>183</v>
      </c>
      <c r="B202" s="9"/>
      <c r="C202" s="28"/>
      <c r="D202" s="23"/>
      <c r="E202" s="93"/>
      <c r="F202" s="22"/>
      <c r="G202" s="128"/>
      <c r="H202" s="45"/>
      <c r="I202" s="129"/>
      <c r="J202" s="125"/>
      <c r="K202" s="121"/>
      <c r="L202" s="78"/>
      <c r="M202" s="72">
        <f ca="1">IF(INDIRECT(ADDRESS(ROW(),3))&lt;&gt;"",getIBANchecksum(INDIRECT(ADDRESS(ROW(),3))),98)</f>
        <v>98</v>
      </c>
    </row>
    <row r="203" spans="1:13">
      <c r="A203" s="96">
        <f t="shared" si="3"/>
        <v>184</v>
      </c>
      <c r="B203" s="9"/>
      <c r="C203" s="28"/>
      <c r="D203" s="23"/>
      <c r="E203" s="93"/>
      <c r="F203" s="22"/>
      <c r="G203" s="128"/>
      <c r="H203" s="45"/>
      <c r="I203" s="129"/>
      <c r="J203" s="125"/>
      <c r="K203" s="121"/>
      <c r="L203" s="78"/>
      <c r="M203" s="72">
        <f ca="1">IF(INDIRECT(ADDRESS(ROW(),3))&lt;&gt;"",getIBANchecksum(INDIRECT(ADDRESS(ROW(),3))),98)</f>
        <v>98</v>
      </c>
    </row>
    <row r="204" spans="1:13">
      <c r="A204" s="96">
        <f t="shared" si="3"/>
        <v>185</v>
      </c>
      <c r="B204" s="9"/>
      <c r="C204" s="28"/>
      <c r="D204" s="23"/>
      <c r="E204" s="93"/>
      <c r="F204" s="22"/>
      <c r="G204" s="128"/>
      <c r="H204" s="45"/>
      <c r="I204" s="129"/>
      <c r="J204" s="125"/>
      <c r="K204" s="121"/>
      <c r="L204" s="78"/>
      <c r="M204" s="72">
        <f ca="1">IF(INDIRECT(ADDRESS(ROW(),3))&lt;&gt;"",getIBANchecksum(INDIRECT(ADDRESS(ROW(),3))),98)</f>
        <v>98</v>
      </c>
    </row>
    <row r="205" spans="1:13">
      <c r="A205" s="96">
        <f t="shared" si="3"/>
        <v>186</v>
      </c>
      <c r="B205" s="9"/>
      <c r="C205" s="28"/>
      <c r="D205" s="23"/>
      <c r="E205" s="93"/>
      <c r="F205" s="22"/>
      <c r="G205" s="128"/>
      <c r="H205" s="45"/>
      <c r="I205" s="129"/>
      <c r="J205" s="125"/>
      <c r="K205" s="121"/>
      <c r="L205" s="78"/>
      <c r="M205" s="72">
        <f ca="1">IF(INDIRECT(ADDRESS(ROW(),3))&lt;&gt;"",getIBANchecksum(INDIRECT(ADDRESS(ROW(),3))),98)</f>
        <v>98</v>
      </c>
    </row>
    <row r="206" spans="1:13">
      <c r="A206" s="96">
        <f t="shared" si="3"/>
        <v>187</v>
      </c>
      <c r="B206" s="9"/>
      <c r="C206" s="28"/>
      <c r="D206" s="23"/>
      <c r="E206" s="93"/>
      <c r="F206" s="22"/>
      <c r="G206" s="128"/>
      <c r="H206" s="45"/>
      <c r="I206" s="129"/>
      <c r="J206" s="125"/>
      <c r="K206" s="121"/>
      <c r="L206" s="78"/>
      <c r="M206" s="72">
        <f ca="1">IF(INDIRECT(ADDRESS(ROW(),3))&lt;&gt;"",getIBANchecksum(INDIRECT(ADDRESS(ROW(),3))),98)</f>
        <v>98</v>
      </c>
    </row>
    <row r="207" spans="1:13">
      <c r="A207" s="96">
        <f t="shared" si="3"/>
        <v>188</v>
      </c>
      <c r="B207" s="9"/>
      <c r="C207" s="28"/>
      <c r="D207" s="23"/>
      <c r="E207" s="93"/>
      <c r="F207" s="22"/>
      <c r="G207" s="128"/>
      <c r="H207" s="45"/>
      <c r="I207" s="129"/>
      <c r="J207" s="125"/>
      <c r="K207" s="121"/>
      <c r="L207" s="78"/>
      <c r="M207" s="72">
        <f ca="1">IF(INDIRECT(ADDRESS(ROW(),3))&lt;&gt;"",getIBANchecksum(INDIRECT(ADDRESS(ROW(),3))),98)</f>
        <v>98</v>
      </c>
    </row>
    <row r="208" spans="1:13">
      <c r="A208" s="96">
        <f t="shared" si="3"/>
        <v>189</v>
      </c>
      <c r="B208" s="9"/>
      <c r="C208" s="28"/>
      <c r="D208" s="23"/>
      <c r="E208" s="93"/>
      <c r="F208" s="22"/>
      <c r="G208" s="128"/>
      <c r="H208" s="45"/>
      <c r="I208" s="129"/>
      <c r="J208" s="125"/>
      <c r="K208" s="121"/>
      <c r="L208" s="78"/>
      <c r="M208" s="72">
        <f ca="1">IF(INDIRECT(ADDRESS(ROW(),3))&lt;&gt;"",getIBANchecksum(INDIRECT(ADDRESS(ROW(),3))),98)</f>
        <v>98</v>
      </c>
    </row>
    <row r="209" spans="1:13">
      <c r="A209" s="96">
        <f t="shared" si="3"/>
        <v>190</v>
      </c>
      <c r="B209" s="9"/>
      <c r="C209" s="28"/>
      <c r="D209" s="23"/>
      <c r="E209" s="93"/>
      <c r="F209" s="22"/>
      <c r="G209" s="128"/>
      <c r="H209" s="45"/>
      <c r="I209" s="129"/>
      <c r="J209" s="125"/>
      <c r="K209" s="121"/>
      <c r="L209" s="78"/>
      <c r="M209" s="72">
        <f ca="1">IF(INDIRECT(ADDRESS(ROW(),3))&lt;&gt;"",getIBANchecksum(INDIRECT(ADDRESS(ROW(),3))),98)</f>
        <v>98</v>
      </c>
    </row>
    <row r="210" spans="1:13">
      <c r="A210" s="96">
        <f t="shared" si="3"/>
        <v>191</v>
      </c>
      <c r="B210" s="9"/>
      <c r="C210" s="28"/>
      <c r="D210" s="23"/>
      <c r="E210" s="93"/>
      <c r="F210" s="22"/>
      <c r="G210" s="128"/>
      <c r="H210" s="45"/>
      <c r="I210" s="129"/>
      <c r="J210" s="125"/>
      <c r="K210" s="121"/>
      <c r="L210" s="78"/>
      <c r="M210" s="72">
        <f ca="1">IF(INDIRECT(ADDRESS(ROW(),3))&lt;&gt;"",getIBANchecksum(INDIRECT(ADDRESS(ROW(),3))),98)</f>
        <v>98</v>
      </c>
    </row>
    <row r="211" spans="1:13">
      <c r="A211" s="96">
        <f t="shared" si="3"/>
        <v>192</v>
      </c>
      <c r="B211" s="9"/>
      <c r="C211" s="28"/>
      <c r="D211" s="23"/>
      <c r="E211" s="93"/>
      <c r="F211" s="22"/>
      <c r="G211" s="128"/>
      <c r="H211" s="45"/>
      <c r="I211" s="129"/>
      <c r="J211" s="125"/>
      <c r="K211" s="121"/>
      <c r="L211" s="78"/>
      <c r="M211" s="72">
        <f ca="1">IF(INDIRECT(ADDRESS(ROW(),3))&lt;&gt;"",getIBANchecksum(INDIRECT(ADDRESS(ROW(),3))),98)</f>
        <v>98</v>
      </c>
    </row>
    <row r="212" spans="1:13">
      <c r="A212" s="96">
        <f t="shared" si="3"/>
        <v>193</v>
      </c>
      <c r="B212" s="9"/>
      <c r="C212" s="28"/>
      <c r="D212" s="23"/>
      <c r="E212" s="93"/>
      <c r="F212" s="22"/>
      <c r="G212" s="128"/>
      <c r="H212" s="45"/>
      <c r="I212" s="129"/>
      <c r="J212" s="125"/>
      <c r="K212" s="121"/>
      <c r="L212" s="78"/>
      <c r="M212" s="72">
        <f ca="1">IF(INDIRECT(ADDRESS(ROW(),3))&lt;&gt;"",getIBANchecksum(INDIRECT(ADDRESS(ROW(),3))),98)</f>
        <v>98</v>
      </c>
    </row>
    <row r="213" spans="1:13">
      <c r="A213" s="96">
        <f t="shared" si="3"/>
        <v>194</v>
      </c>
      <c r="B213" s="9"/>
      <c r="C213" s="28"/>
      <c r="D213" s="23"/>
      <c r="E213" s="93"/>
      <c r="F213" s="22"/>
      <c r="G213" s="128"/>
      <c r="H213" s="45"/>
      <c r="I213" s="129"/>
      <c r="J213" s="125"/>
      <c r="K213" s="121"/>
      <c r="L213" s="78"/>
      <c r="M213" s="72">
        <f ca="1">IF(INDIRECT(ADDRESS(ROW(),3))&lt;&gt;"",getIBANchecksum(INDIRECT(ADDRESS(ROW(),3))),98)</f>
        <v>98</v>
      </c>
    </row>
    <row r="214" spans="1:13">
      <c r="A214" s="96">
        <f t="shared" ref="A214:A277" si="4">A213+1</f>
        <v>195</v>
      </c>
      <c r="B214" s="9"/>
      <c r="C214" s="28"/>
      <c r="D214" s="23"/>
      <c r="E214" s="93"/>
      <c r="F214" s="22"/>
      <c r="G214" s="128"/>
      <c r="H214" s="45"/>
      <c r="I214" s="129"/>
      <c r="J214" s="125"/>
      <c r="K214" s="121"/>
      <c r="L214" s="78"/>
      <c r="M214" s="72">
        <f ca="1">IF(INDIRECT(ADDRESS(ROW(),3))&lt;&gt;"",getIBANchecksum(INDIRECT(ADDRESS(ROW(),3))),98)</f>
        <v>98</v>
      </c>
    </row>
    <row r="215" spans="1:13">
      <c r="A215" s="96">
        <f t="shared" si="4"/>
        <v>196</v>
      </c>
      <c r="B215" s="9"/>
      <c r="C215" s="28"/>
      <c r="D215" s="23"/>
      <c r="E215" s="93"/>
      <c r="F215" s="22"/>
      <c r="G215" s="128"/>
      <c r="H215" s="45"/>
      <c r="I215" s="129"/>
      <c r="J215" s="125"/>
      <c r="K215" s="121"/>
      <c r="L215" s="78"/>
      <c r="M215" s="72">
        <f ca="1">IF(INDIRECT(ADDRESS(ROW(),3))&lt;&gt;"",getIBANchecksum(INDIRECT(ADDRESS(ROW(),3))),98)</f>
        <v>98</v>
      </c>
    </row>
    <row r="216" spans="1:13">
      <c r="A216" s="96">
        <f t="shared" si="4"/>
        <v>197</v>
      </c>
      <c r="B216" s="9"/>
      <c r="C216" s="28"/>
      <c r="D216" s="23"/>
      <c r="E216" s="93"/>
      <c r="F216" s="22"/>
      <c r="G216" s="128"/>
      <c r="H216" s="45"/>
      <c r="I216" s="129"/>
      <c r="J216" s="125"/>
      <c r="K216" s="121"/>
      <c r="L216" s="78"/>
      <c r="M216" s="72">
        <f ca="1">IF(INDIRECT(ADDRESS(ROW(),3))&lt;&gt;"",getIBANchecksum(INDIRECT(ADDRESS(ROW(),3))),98)</f>
        <v>98</v>
      </c>
    </row>
    <row r="217" spans="1:13">
      <c r="A217" s="96">
        <f t="shared" si="4"/>
        <v>198</v>
      </c>
      <c r="B217" s="9"/>
      <c r="C217" s="28"/>
      <c r="D217" s="23"/>
      <c r="E217" s="93"/>
      <c r="F217" s="22"/>
      <c r="G217" s="128"/>
      <c r="H217" s="45"/>
      <c r="I217" s="129"/>
      <c r="J217" s="125"/>
      <c r="K217" s="121"/>
      <c r="L217" s="78"/>
      <c r="M217" s="72">
        <f ca="1">IF(INDIRECT(ADDRESS(ROW(),3))&lt;&gt;"",getIBANchecksum(INDIRECT(ADDRESS(ROW(),3))),98)</f>
        <v>98</v>
      </c>
    </row>
    <row r="218" spans="1:13">
      <c r="A218" s="96">
        <f t="shared" si="4"/>
        <v>199</v>
      </c>
      <c r="B218" s="9"/>
      <c r="C218" s="28"/>
      <c r="D218" s="23"/>
      <c r="E218" s="93"/>
      <c r="F218" s="22"/>
      <c r="G218" s="128"/>
      <c r="H218" s="45"/>
      <c r="I218" s="129"/>
      <c r="J218" s="125"/>
      <c r="K218" s="121"/>
      <c r="L218" s="78"/>
      <c r="M218" s="72">
        <f ca="1">IF(INDIRECT(ADDRESS(ROW(),3))&lt;&gt;"",getIBANchecksum(INDIRECT(ADDRESS(ROW(),3))),98)</f>
        <v>98</v>
      </c>
    </row>
    <row r="219" spans="1:13">
      <c r="A219" s="96">
        <f t="shared" si="4"/>
        <v>200</v>
      </c>
      <c r="B219" s="9"/>
      <c r="C219" s="28"/>
      <c r="D219" s="23"/>
      <c r="E219" s="93"/>
      <c r="F219" s="22"/>
      <c r="G219" s="128"/>
      <c r="H219" s="45"/>
      <c r="I219" s="129"/>
      <c r="J219" s="125"/>
      <c r="K219" s="121"/>
      <c r="L219" s="78"/>
      <c r="M219" s="72">
        <f ca="1">IF(INDIRECT(ADDRESS(ROW(),3))&lt;&gt;"",getIBANchecksum(INDIRECT(ADDRESS(ROW(),3))),98)</f>
        <v>98</v>
      </c>
    </row>
    <row r="220" spans="1:13">
      <c r="A220" s="96">
        <f t="shared" si="4"/>
        <v>201</v>
      </c>
      <c r="B220" s="9"/>
      <c r="C220" s="28"/>
      <c r="D220" s="23"/>
      <c r="E220" s="93"/>
      <c r="F220" s="22"/>
      <c r="G220" s="128"/>
      <c r="H220" s="45"/>
      <c r="I220" s="129"/>
      <c r="J220" s="125"/>
      <c r="K220" s="121"/>
      <c r="L220" s="78"/>
      <c r="M220" s="72">
        <f ca="1">IF(INDIRECT(ADDRESS(ROW(),3))&lt;&gt;"",getIBANchecksum(INDIRECT(ADDRESS(ROW(),3))),98)</f>
        <v>98</v>
      </c>
    </row>
    <row r="221" spans="1:13">
      <c r="A221" s="96">
        <f t="shared" si="4"/>
        <v>202</v>
      </c>
      <c r="B221" s="9"/>
      <c r="C221" s="28"/>
      <c r="D221" s="23"/>
      <c r="E221" s="93"/>
      <c r="F221" s="22"/>
      <c r="G221" s="128"/>
      <c r="H221" s="45"/>
      <c r="I221" s="129"/>
      <c r="J221" s="125"/>
      <c r="K221" s="121"/>
      <c r="L221" s="78"/>
      <c r="M221" s="72">
        <f ca="1">IF(INDIRECT(ADDRESS(ROW(),3))&lt;&gt;"",getIBANchecksum(INDIRECT(ADDRESS(ROW(),3))),98)</f>
        <v>98</v>
      </c>
    </row>
    <row r="222" spans="1:13">
      <c r="A222" s="96">
        <f t="shared" si="4"/>
        <v>203</v>
      </c>
      <c r="B222" s="9"/>
      <c r="C222" s="28"/>
      <c r="D222" s="23"/>
      <c r="E222" s="93"/>
      <c r="F222" s="22"/>
      <c r="G222" s="128"/>
      <c r="H222" s="45"/>
      <c r="I222" s="129"/>
      <c r="J222" s="125"/>
      <c r="K222" s="121"/>
      <c r="L222" s="78"/>
      <c r="M222" s="72">
        <f ca="1">IF(INDIRECT(ADDRESS(ROW(),3))&lt;&gt;"",getIBANchecksum(INDIRECT(ADDRESS(ROW(),3))),98)</f>
        <v>98</v>
      </c>
    </row>
    <row r="223" spans="1:13">
      <c r="A223" s="96">
        <f t="shared" si="4"/>
        <v>204</v>
      </c>
      <c r="B223" s="9"/>
      <c r="C223" s="28"/>
      <c r="D223" s="23"/>
      <c r="E223" s="93"/>
      <c r="F223" s="22"/>
      <c r="G223" s="128"/>
      <c r="H223" s="45"/>
      <c r="I223" s="129"/>
      <c r="J223" s="125"/>
      <c r="K223" s="121"/>
      <c r="L223" s="78"/>
      <c r="M223" s="72">
        <f ca="1">IF(INDIRECT(ADDRESS(ROW(),3))&lt;&gt;"",getIBANchecksum(INDIRECT(ADDRESS(ROW(),3))),98)</f>
        <v>98</v>
      </c>
    </row>
    <row r="224" spans="1:13">
      <c r="A224" s="96">
        <f t="shared" si="4"/>
        <v>205</v>
      </c>
      <c r="B224" s="9"/>
      <c r="C224" s="28"/>
      <c r="D224" s="23"/>
      <c r="E224" s="93"/>
      <c r="F224" s="22"/>
      <c r="G224" s="128"/>
      <c r="H224" s="45"/>
      <c r="I224" s="129"/>
      <c r="J224" s="125"/>
      <c r="K224" s="121"/>
      <c r="L224" s="78"/>
      <c r="M224" s="72">
        <f ca="1">IF(INDIRECT(ADDRESS(ROW(),3))&lt;&gt;"",getIBANchecksum(INDIRECT(ADDRESS(ROW(),3))),98)</f>
        <v>98</v>
      </c>
    </row>
    <row r="225" spans="1:13">
      <c r="A225" s="96">
        <f t="shared" si="4"/>
        <v>206</v>
      </c>
      <c r="B225" s="9"/>
      <c r="C225" s="28"/>
      <c r="D225" s="23"/>
      <c r="E225" s="93"/>
      <c r="F225" s="22"/>
      <c r="G225" s="128"/>
      <c r="H225" s="45"/>
      <c r="I225" s="129"/>
      <c r="J225" s="125"/>
      <c r="K225" s="121"/>
      <c r="L225" s="78"/>
      <c r="M225" s="72">
        <f ca="1">IF(INDIRECT(ADDRESS(ROW(),3))&lt;&gt;"",getIBANchecksum(INDIRECT(ADDRESS(ROW(),3))),98)</f>
        <v>98</v>
      </c>
    </row>
    <row r="226" spans="1:13">
      <c r="A226" s="96">
        <f t="shared" si="4"/>
        <v>207</v>
      </c>
      <c r="B226" s="9"/>
      <c r="C226" s="28"/>
      <c r="D226" s="23"/>
      <c r="E226" s="93"/>
      <c r="F226" s="22"/>
      <c r="G226" s="128"/>
      <c r="H226" s="45"/>
      <c r="I226" s="129"/>
      <c r="J226" s="125"/>
      <c r="K226" s="121"/>
      <c r="L226" s="78"/>
      <c r="M226" s="72">
        <f ca="1">IF(INDIRECT(ADDRESS(ROW(),3))&lt;&gt;"",getIBANchecksum(INDIRECT(ADDRESS(ROW(),3))),98)</f>
        <v>98</v>
      </c>
    </row>
    <row r="227" spans="1:13">
      <c r="A227" s="96">
        <f t="shared" si="4"/>
        <v>208</v>
      </c>
      <c r="B227" s="9"/>
      <c r="C227" s="28"/>
      <c r="D227" s="23"/>
      <c r="E227" s="93"/>
      <c r="F227" s="22"/>
      <c r="G227" s="128"/>
      <c r="H227" s="45"/>
      <c r="I227" s="129"/>
      <c r="J227" s="125"/>
      <c r="K227" s="121"/>
      <c r="L227" s="78"/>
      <c r="M227" s="72">
        <f ca="1">IF(INDIRECT(ADDRESS(ROW(),3))&lt;&gt;"",getIBANchecksum(INDIRECT(ADDRESS(ROW(),3))),98)</f>
        <v>98</v>
      </c>
    </row>
    <row r="228" spans="1:13">
      <c r="A228" s="96">
        <f t="shared" si="4"/>
        <v>209</v>
      </c>
      <c r="B228" s="9"/>
      <c r="C228" s="28"/>
      <c r="D228" s="23"/>
      <c r="E228" s="93"/>
      <c r="F228" s="22"/>
      <c r="G228" s="128"/>
      <c r="H228" s="45"/>
      <c r="I228" s="129"/>
      <c r="J228" s="125"/>
      <c r="K228" s="121"/>
      <c r="L228" s="78"/>
      <c r="M228" s="72">
        <f ca="1">IF(INDIRECT(ADDRESS(ROW(),3))&lt;&gt;"",getIBANchecksum(INDIRECT(ADDRESS(ROW(),3))),98)</f>
        <v>98</v>
      </c>
    </row>
    <row r="229" spans="1:13">
      <c r="A229" s="96">
        <f t="shared" si="4"/>
        <v>210</v>
      </c>
      <c r="B229" s="9"/>
      <c r="C229" s="28"/>
      <c r="D229" s="23"/>
      <c r="E229" s="93"/>
      <c r="F229" s="22"/>
      <c r="G229" s="128"/>
      <c r="H229" s="45"/>
      <c r="I229" s="129"/>
      <c r="J229" s="125"/>
      <c r="K229" s="121"/>
      <c r="L229" s="78"/>
      <c r="M229" s="72">
        <f ca="1">IF(INDIRECT(ADDRESS(ROW(),3))&lt;&gt;"",getIBANchecksum(INDIRECT(ADDRESS(ROW(),3))),98)</f>
        <v>98</v>
      </c>
    </row>
    <row r="230" spans="1:13">
      <c r="A230" s="96">
        <f t="shared" si="4"/>
        <v>211</v>
      </c>
      <c r="B230" s="9"/>
      <c r="C230" s="28"/>
      <c r="D230" s="23"/>
      <c r="E230" s="93"/>
      <c r="F230" s="22"/>
      <c r="G230" s="128"/>
      <c r="H230" s="45"/>
      <c r="I230" s="129"/>
      <c r="J230" s="125"/>
      <c r="K230" s="121"/>
      <c r="L230" s="78"/>
      <c r="M230" s="72">
        <f ca="1">IF(INDIRECT(ADDRESS(ROW(),3))&lt;&gt;"",getIBANchecksum(INDIRECT(ADDRESS(ROW(),3))),98)</f>
        <v>98</v>
      </c>
    </row>
    <row r="231" spans="1:13">
      <c r="A231" s="96">
        <f t="shared" si="4"/>
        <v>212</v>
      </c>
      <c r="B231" s="9"/>
      <c r="C231" s="28"/>
      <c r="D231" s="23"/>
      <c r="E231" s="93"/>
      <c r="F231" s="22"/>
      <c r="G231" s="128"/>
      <c r="H231" s="45"/>
      <c r="I231" s="129"/>
      <c r="J231" s="125"/>
      <c r="K231" s="121"/>
      <c r="L231" s="78"/>
      <c r="M231" s="72">
        <f ca="1">IF(INDIRECT(ADDRESS(ROW(),3))&lt;&gt;"",getIBANchecksum(INDIRECT(ADDRESS(ROW(),3))),98)</f>
        <v>98</v>
      </c>
    </row>
    <row r="232" spans="1:13">
      <c r="A232" s="96">
        <f t="shared" si="4"/>
        <v>213</v>
      </c>
      <c r="B232" s="9"/>
      <c r="C232" s="28"/>
      <c r="D232" s="23"/>
      <c r="E232" s="93"/>
      <c r="F232" s="22"/>
      <c r="G232" s="128"/>
      <c r="H232" s="45"/>
      <c r="I232" s="129"/>
      <c r="J232" s="125"/>
      <c r="K232" s="121"/>
      <c r="L232" s="78"/>
      <c r="M232" s="72">
        <f ca="1">IF(INDIRECT(ADDRESS(ROW(),3))&lt;&gt;"",getIBANchecksum(INDIRECT(ADDRESS(ROW(),3))),98)</f>
        <v>98</v>
      </c>
    </row>
    <row r="233" spans="1:13">
      <c r="A233" s="96">
        <f t="shared" si="4"/>
        <v>214</v>
      </c>
      <c r="B233" s="9"/>
      <c r="C233" s="28"/>
      <c r="D233" s="23"/>
      <c r="E233" s="93"/>
      <c r="F233" s="22"/>
      <c r="G233" s="128"/>
      <c r="H233" s="45"/>
      <c r="I233" s="129"/>
      <c r="J233" s="125"/>
      <c r="K233" s="121"/>
      <c r="L233" s="78"/>
      <c r="M233" s="72">
        <f ca="1">IF(INDIRECT(ADDRESS(ROW(),3))&lt;&gt;"",getIBANchecksum(INDIRECT(ADDRESS(ROW(),3))),98)</f>
        <v>98</v>
      </c>
    </row>
    <row r="234" spans="1:13">
      <c r="A234" s="96">
        <f t="shared" si="4"/>
        <v>215</v>
      </c>
      <c r="B234" s="9"/>
      <c r="C234" s="28"/>
      <c r="D234" s="23"/>
      <c r="E234" s="93"/>
      <c r="F234" s="22"/>
      <c r="G234" s="128"/>
      <c r="H234" s="45"/>
      <c r="I234" s="129"/>
      <c r="J234" s="125"/>
      <c r="K234" s="121"/>
      <c r="L234" s="78"/>
      <c r="M234" s="72">
        <f ca="1">IF(INDIRECT(ADDRESS(ROW(),3))&lt;&gt;"",getIBANchecksum(INDIRECT(ADDRESS(ROW(),3))),98)</f>
        <v>98</v>
      </c>
    </row>
    <row r="235" spans="1:13">
      <c r="A235" s="96">
        <f t="shared" si="4"/>
        <v>216</v>
      </c>
      <c r="B235" s="9"/>
      <c r="C235" s="28"/>
      <c r="D235" s="23"/>
      <c r="E235" s="93"/>
      <c r="F235" s="22"/>
      <c r="G235" s="128"/>
      <c r="H235" s="45"/>
      <c r="I235" s="129"/>
      <c r="J235" s="125"/>
      <c r="K235" s="121"/>
      <c r="L235" s="78"/>
      <c r="M235" s="72">
        <f ca="1">IF(INDIRECT(ADDRESS(ROW(),3))&lt;&gt;"",getIBANchecksum(INDIRECT(ADDRESS(ROW(),3))),98)</f>
        <v>98</v>
      </c>
    </row>
    <row r="236" spans="1:13">
      <c r="A236" s="96">
        <f t="shared" si="4"/>
        <v>217</v>
      </c>
      <c r="B236" s="9"/>
      <c r="C236" s="28"/>
      <c r="D236" s="23"/>
      <c r="E236" s="93"/>
      <c r="F236" s="22"/>
      <c r="G236" s="128"/>
      <c r="H236" s="45"/>
      <c r="I236" s="129"/>
      <c r="J236" s="125"/>
      <c r="K236" s="121"/>
      <c r="L236" s="78"/>
      <c r="M236" s="72">
        <f ca="1">IF(INDIRECT(ADDRESS(ROW(),3))&lt;&gt;"",getIBANchecksum(INDIRECT(ADDRESS(ROW(),3))),98)</f>
        <v>98</v>
      </c>
    </row>
    <row r="237" spans="1:13">
      <c r="A237" s="96">
        <f t="shared" si="4"/>
        <v>218</v>
      </c>
      <c r="B237" s="9"/>
      <c r="C237" s="28"/>
      <c r="D237" s="23"/>
      <c r="E237" s="93"/>
      <c r="F237" s="22"/>
      <c r="G237" s="128"/>
      <c r="H237" s="45"/>
      <c r="I237" s="129"/>
      <c r="J237" s="125"/>
      <c r="K237" s="121"/>
      <c r="L237" s="78"/>
      <c r="M237" s="72">
        <f ca="1">IF(INDIRECT(ADDRESS(ROW(),3))&lt;&gt;"",getIBANchecksum(INDIRECT(ADDRESS(ROW(),3))),98)</f>
        <v>98</v>
      </c>
    </row>
    <row r="238" spans="1:13">
      <c r="A238" s="96">
        <f t="shared" si="4"/>
        <v>219</v>
      </c>
      <c r="B238" s="9"/>
      <c r="C238" s="28"/>
      <c r="D238" s="23"/>
      <c r="E238" s="93"/>
      <c r="F238" s="22"/>
      <c r="G238" s="128"/>
      <c r="H238" s="45"/>
      <c r="I238" s="129"/>
      <c r="J238" s="125"/>
      <c r="K238" s="121"/>
      <c r="L238" s="78"/>
      <c r="M238" s="72">
        <f ca="1">IF(INDIRECT(ADDRESS(ROW(),3))&lt;&gt;"",getIBANchecksum(INDIRECT(ADDRESS(ROW(),3))),98)</f>
        <v>98</v>
      </c>
    </row>
    <row r="239" spans="1:13">
      <c r="A239" s="96">
        <f t="shared" si="4"/>
        <v>220</v>
      </c>
      <c r="B239" s="9"/>
      <c r="C239" s="28"/>
      <c r="D239" s="23"/>
      <c r="E239" s="93"/>
      <c r="F239" s="22"/>
      <c r="G239" s="128"/>
      <c r="H239" s="45"/>
      <c r="I239" s="129"/>
      <c r="J239" s="125"/>
      <c r="K239" s="121"/>
      <c r="L239" s="78"/>
      <c r="M239" s="72">
        <f ca="1">IF(INDIRECT(ADDRESS(ROW(),3))&lt;&gt;"",getIBANchecksum(INDIRECT(ADDRESS(ROW(),3))),98)</f>
        <v>98</v>
      </c>
    </row>
    <row r="240" spans="1:13">
      <c r="A240" s="96">
        <f t="shared" si="4"/>
        <v>221</v>
      </c>
      <c r="B240" s="9"/>
      <c r="C240" s="28"/>
      <c r="D240" s="23"/>
      <c r="E240" s="93"/>
      <c r="F240" s="22"/>
      <c r="G240" s="128"/>
      <c r="H240" s="45"/>
      <c r="I240" s="129"/>
      <c r="J240" s="125"/>
      <c r="K240" s="121"/>
      <c r="L240" s="78"/>
      <c r="M240" s="72">
        <f ca="1">IF(INDIRECT(ADDRESS(ROW(),3))&lt;&gt;"",getIBANchecksum(INDIRECT(ADDRESS(ROW(),3))),98)</f>
        <v>98</v>
      </c>
    </row>
    <row r="241" spans="1:13">
      <c r="A241" s="96">
        <f t="shared" si="4"/>
        <v>222</v>
      </c>
      <c r="B241" s="9"/>
      <c r="C241" s="28"/>
      <c r="D241" s="23"/>
      <c r="E241" s="93"/>
      <c r="F241" s="22"/>
      <c r="G241" s="128"/>
      <c r="H241" s="45"/>
      <c r="I241" s="129"/>
      <c r="J241" s="125"/>
      <c r="K241" s="121"/>
      <c r="L241" s="78"/>
      <c r="M241" s="72">
        <f ca="1">IF(INDIRECT(ADDRESS(ROW(),3))&lt;&gt;"",getIBANchecksum(INDIRECT(ADDRESS(ROW(),3))),98)</f>
        <v>98</v>
      </c>
    </row>
    <row r="242" spans="1:13">
      <c r="A242" s="96">
        <f t="shared" si="4"/>
        <v>223</v>
      </c>
      <c r="B242" s="9"/>
      <c r="C242" s="28"/>
      <c r="D242" s="23"/>
      <c r="E242" s="93"/>
      <c r="F242" s="22"/>
      <c r="G242" s="128"/>
      <c r="H242" s="45"/>
      <c r="I242" s="129"/>
      <c r="J242" s="125"/>
      <c r="K242" s="121"/>
      <c r="L242" s="78"/>
      <c r="M242" s="72">
        <f ca="1">IF(INDIRECT(ADDRESS(ROW(),3))&lt;&gt;"",getIBANchecksum(INDIRECT(ADDRESS(ROW(),3))),98)</f>
        <v>98</v>
      </c>
    </row>
    <row r="243" spans="1:13">
      <c r="A243" s="96">
        <f t="shared" si="4"/>
        <v>224</v>
      </c>
      <c r="B243" s="9"/>
      <c r="C243" s="28"/>
      <c r="D243" s="23"/>
      <c r="E243" s="93"/>
      <c r="F243" s="22"/>
      <c r="G243" s="128"/>
      <c r="H243" s="45"/>
      <c r="I243" s="129"/>
      <c r="J243" s="125"/>
      <c r="K243" s="121"/>
      <c r="L243" s="78"/>
      <c r="M243" s="72">
        <f ca="1">IF(INDIRECT(ADDRESS(ROW(),3))&lt;&gt;"",getIBANchecksum(INDIRECT(ADDRESS(ROW(),3))),98)</f>
        <v>98</v>
      </c>
    </row>
    <row r="244" spans="1:13">
      <c r="A244" s="96">
        <f t="shared" si="4"/>
        <v>225</v>
      </c>
      <c r="B244" s="9"/>
      <c r="C244" s="28"/>
      <c r="D244" s="23"/>
      <c r="E244" s="93"/>
      <c r="F244" s="22"/>
      <c r="G244" s="128"/>
      <c r="H244" s="45"/>
      <c r="I244" s="129"/>
      <c r="J244" s="125"/>
      <c r="K244" s="121"/>
      <c r="L244" s="78"/>
      <c r="M244" s="72">
        <f ca="1">IF(INDIRECT(ADDRESS(ROW(),3))&lt;&gt;"",getIBANchecksum(INDIRECT(ADDRESS(ROW(),3))),98)</f>
        <v>98</v>
      </c>
    </row>
    <row r="245" spans="1:13">
      <c r="A245" s="96">
        <f t="shared" si="4"/>
        <v>226</v>
      </c>
      <c r="B245" s="9"/>
      <c r="C245" s="28"/>
      <c r="D245" s="23"/>
      <c r="E245" s="93"/>
      <c r="F245" s="22"/>
      <c r="G245" s="128"/>
      <c r="H245" s="45"/>
      <c r="I245" s="129"/>
      <c r="J245" s="125"/>
      <c r="K245" s="121"/>
      <c r="L245" s="78"/>
      <c r="M245" s="72">
        <f ca="1">IF(INDIRECT(ADDRESS(ROW(),3))&lt;&gt;"",getIBANchecksum(INDIRECT(ADDRESS(ROW(),3))),98)</f>
        <v>98</v>
      </c>
    </row>
    <row r="246" spans="1:13">
      <c r="A246" s="96">
        <f t="shared" si="4"/>
        <v>227</v>
      </c>
      <c r="B246" s="9"/>
      <c r="C246" s="28"/>
      <c r="D246" s="23"/>
      <c r="E246" s="93"/>
      <c r="F246" s="22"/>
      <c r="G246" s="128"/>
      <c r="H246" s="45"/>
      <c r="I246" s="129"/>
      <c r="J246" s="125"/>
      <c r="K246" s="121"/>
      <c r="L246" s="78"/>
      <c r="M246" s="72">
        <f ca="1">IF(INDIRECT(ADDRESS(ROW(),3))&lt;&gt;"",getIBANchecksum(INDIRECT(ADDRESS(ROW(),3))),98)</f>
        <v>98</v>
      </c>
    </row>
    <row r="247" spans="1:13">
      <c r="A247" s="96">
        <f t="shared" si="4"/>
        <v>228</v>
      </c>
      <c r="B247" s="9"/>
      <c r="C247" s="28"/>
      <c r="D247" s="23"/>
      <c r="E247" s="93"/>
      <c r="F247" s="22"/>
      <c r="G247" s="128"/>
      <c r="H247" s="45"/>
      <c r="I247" s="129"/>
      <c r="J247" s="125"/>
      <c r="K247" s="121"/>
      <c r="L247" s="78"/>
      <c r="M247" s="72">
        <f ca="1">IF(INDIRECT(ADDRESS(ROW(),3))&lt;&gt;"",getIBANchecksum(INDIRECT(ADDRESS(ROW(),3))),98)</f>
        <v>98</v>
      </c>
    </row>
    <row r="248" spans="1:13">
      <c r="A248" s="96">
        <f t="shared" si="4"/>
        <v>229</v>
      </c>
      <c r="B248" s="9"/>
      <c r="C248" s="28"/>
      <c r="D248" s="23"/>
      <c r="E248" s="93"/>
      <c r="F248" s="22"/>
      <c r="G248" s="128"/>
      <c r="H248" s="45"/>
      <c r="I248" s="129"/>
      <c r="J248" s="125"/>
      <c r="K248" s="121"/>
      <c r="L248" s="78"/>
      <c r="M248" s="72">
        <f ca="1">IF(INDIRECT(ADDRESS(ROW(),3))&lt;&gt;"",getIBANchecksum(INDIRECT(ADDRESS(ROW(),3))),98)</f>
        <v>98</v>
      </c>
    </row>
    <row r="249" spans="1:13">
      <c r="A249" s="96">
        <f t="shared" si="4"/>
        <v>230</v>
      </c>
      <c r="B249" s="9"/>
      <c r="C249" s="28"/>
      <c r="D249" s="23"/>
      <c r="E249" s="93"/>
      <c r="F249" s="22"/>
      <c r="G249" s="128"/>
      <c r="H249" s="45"/>
      <c r="I249" s="129"/>
      <c r="J249" s="125"/>
      <c r="K249" s="121"/>
      <c r="L249" s="78"/>
      <c r="M249" s="72">
        <f ca="1">IF(INDIRECT(ADDRESS(ROW(),3))&lt;&gt;"",getIBANchecksum(INDIRECT(ADDRESS(ROW(),3))),98)</f>
        <v>98</v>
      </c>
    </row>
    <row r="250" spans="1:13">
      <c r="A250" s="96">
        <f t="shared" si="4"/>
        <v>231</v>
      </c>
      <c r="B250" s="9"/>
      <c r="C250" s="28"/>
      <c r="D250" s="23"/>
      <c r="E250" s="93"/>
      <c r="F250" s="22"/>
      <c r="G250" s="128"/>
      <c r="H250" s="45"/>
      <c r="I250" s="129"/>
      <c r="J250" s="125"/>
      <c r="K250" s="121"/>
      <c r="L250" s="78"/>
      <c r="M250" s="72">
        <f ca="1">IF(INDIRECT(ADDRESS(ROW(),3))&lt;&gt;"",getIBANchecksum(INDIRECT(ADDRESS(ROW(),3))),98)</f>
        <v>98</v>
      </c>
    </row>
    <row r="251" spans="1:13">
      <c r="A251" s="96">
        <f t="shared" si="4"/>
        <v>232</v>
      </c>
      <c r="B251" s="9"/>
      <c r="C251" s="28"/>
      <c r="D251" s="23"/>
      <c r="E251" s="93"/>
      <c r="F251" s="22"/>
      <c r="G251" s="128"/>
      <c r="H251" s="45"/>
      <c r="I251" s="129"/>
      <c r="J251" s="125"/>
      <c r="K251" s="121"/>
      <c r="L251" s="78"/>
      <c r="M251" s="72">
        <f ca="1">IF(INDIRECT(ADDRESS(ROW(),3))&lt;&gt;"",getIBANchecksum(INDIRECT(ADDRESS(ROW(),3))),98)</f>
        <v>98</v>
      </c>
    </row>
    <row r="252" spans="1:13">
      <c r="A252" s="96">
        <f t="shared" si="4"/>
        <v>233</v>
      </c>
      <c r="B252" s="9"/>
      <c r="C252" s="28"/>
      <c r="D252" s="23"/>
      <c r="E252" s="93"/>
      <c r="F252" s="22"/>
      <c r="G252" s="128"/>
      <c r="H252" s="45"/>
      <c r="I252" s="129"/>
      <c r="J252" s="125"/>
      <c r="K252" s="121"/>
      <c r="L252" s="78"/>
      <c r="M252" s="72">
        <f ca="1">IF(INDIRECT(ADDRESS(ROW(),3))&lt;&gt;"",getIBANchecksum(INDIRECT(ADDRESS(ROW(),3))),98)</f>
        <v>98</v>
      </c>
    </row>
    <row r="253" spans="1:13">
      <c r="A253" s="96">
        <f t="shared" si="4"/>
        <v>234</v>
      </c>
      <c r="B253" s="9"/>
      <c r="C253" s="28"/>
      <c r="D253" s="23"/>
      <c r="E253" s="93"/>
      <c r="F253" s="22"/>
      <c r="G253" s="128"/>
      <c r="H253" s="45"/>
      <c r="I253" s="129"/>
      <c r="J253" s="125"/>
      <c r="K253" s="121"/>
      <c r="L253" s="78"/>
      <c r="M253" s="72">
        <f ca="1">IF(INDIRECT(ADDRESS(ROW(),3))&lt;&gt;"",getIBANchecksum(INDIRECT(ADDRESS(ROW(),3))),98)</f>
        <v>98</v>
      </c>
    </row>
    <row r="254" spans="1:13">
      <c r="A254" s="96">
        <f t="shared" si="4"/>
        <v>235</v>
      </c>
      <c r="B254" s="9"/>
      <c r="C254" s="28"/>
      <c r="D254" s="23"/>
      <c r="E254" s="93"/>
      <c r="F254" s="24"/>
      <c r="G254" s="130"/>
      <c r="H254" s="46"/>
      <c r="I254" s="131"/>
      <c r="J254" s="126"/>
      <c r="K254" s="121"/>
      <c r="L254" s="78"/>
      <c r="M254" s="72">
        <f ca="1">IF(INDIRECT(ADDRESS(ROW(),3))&lt;&gt;"",getIBANchecksum(INDIRECT(ADDRESS(ROW(),3))),98)</f>
        <v>98</v>
      </c>
    </row>
    <row r="255" spans="1:13">
      <c r="A255" s="96">
        <f t="shared" si="4"/>
        <v>236</v>
      </c>
      <c r="B255" s="9"/>
      <c r="C255" s="28"/>
      <c r="D255" s="23"/>
      <c r="E255" s="93"/>
      <c r="F255" s="24"/>
      <c r="G255" s="130"/>
      <c r="H255" s="46"/>
      <c r="I255" s="131"/>
      <c r="J255" s="126"/>
      <c r="K255" s="121"/>
      <c r="L255" s="78"/>
      <c r="M255" s="72">
        <f ca="1">IF(INDIRECT(ADDRESS(ROW(),3))&lt;&gt;"",getIBANchecksum(INDIRECT(ADDRESS(ROW(),3))),98)</f>
        <v>98</v>
      </c>
    </row>
    <row r="256" spans="1:13">
      <c r="A256" s="96">
        <f t="shared" si="4"/>
        <v>237</v>
      </c>
      <c r="B256" s="9"/>
      <c r="C256" s="28"/>
      <c r="D256" s="23"/>
      <c r="E256" s="93"/>
      <c r="F256" s="24"/>
      <c r="G256" s="130"/>
      <c r="H256" s="46"/>
      <c r="I256" s="131"/>
      <c r="J256" s="126"/>
      <c r="K256" s="121"/>
      <c r="L256" s="78"/>
      <c r="M256" s="72">
        <f ca="1">IF(INDIRECT(ADDRESS(ROW(),3))&lt;&gt;"",getIBANchecksum(INDIRECT(ADDRESS(ROW(),3))),98)</f>
        <v>98</v>
      </c>
    </row>
    <row r="257" spans="1:13">
      <c r="A257" s="96">
        <f t="shared" si="4"/>
        <v>238</v>
      </c>
      <c r="B257" s="9"/>
      <c r="C257" s="28"/>
      <c r="D257" s="23"/>
      <c r="E257" s="93"/>
      <c r="F257" s="24"/>
      <c r="G257" s="130"/>
      <c r="H257" s="46"/>
      <c r="I257" s="131"/>
      <c r="J257" s="126"/>
      <c r="K257" s="121"/>
      <c r="L257" s="78"/>
      <c r="M257" s="72">
        <f ca="1">IF(INDIRECT(ADDRESS(ROW(),3))&lt;&gt;"",getIBANchecksum(INDIRECT(ADDRESS(ROW(),3))),98)</f>
        <v>98</v>
      </c>
    </row>
    <row r="258" spans="1:13">
      <c r="A258" s="96">
        <f t="shared" si="4"/>
        <v>239</v>
      </c>
      <c r="B258" s="9"/>
      <c r="C258" s="28"/>
      <c r="D258" s="23"/>
      <c r="E258" s="93"/>
      <c r="F258" s="24"/>
      <c r="G258" s="130"/>
      <c r="H258" s="46"/>
      <c r="I258" s="131"/>
      <c r="J258" s="126"/>
      <c r="K258" s="121"/>
      <c r="L258" s="78"/>
      <c r="M258" s="72">
        <f ca="1">IF(INDIRECT(ADDRESS(ROW(),3))&lt;&gt;"",getIBANchecksum(INDIRECT(ADDRESS(ROW(),3))),98)</f>
        <v>98</v>
      </c>
    </row>
    <row r="259" spans="1:13">
      <c r="A259" s="96">
        <f t="shared" si="4"/>
        <v>240</v>
      </c>
      <c r="B259" s="9"/>
      <c r="C259" s="28"/>
      <c r="D259" s="23"/>
      <c r="E259" s="93"/>
      <c r="F259" s="24"/>
      <c r="G259" s="130"/>
      <c r="H259" s="46"/>
      <c r="I259" s="131"/>
      <c r="J259" s="126"/>
      <c r="K259" s="121"/>
      <c r="L259" s="78"/>
      <c r="M259" s="72">
        <f ca="1">IF(INDIRECT(ADDRESS(ROW(),3))&lt;&gt;"",getIBANchecksum(INDIRECT(ADDRESS(ROW(),3))),98)</f>
        <v>98</v>
      </c>
    </row>
    <row r="260" spans="1:13">
      <c r="A260" s="96">
        <f t="shared" si="4"/>
        <v>241</v>
      </c>
      <c r="B260" s="9"/>
      <c r="C260" s="28"/>
      <c r="D260" s="23"/>
      <c r="E260" s="93"/>
      <c r="F260" s="24"/>
      <c r="G260" s="130"/>
      <c r="H260" s="46"/>
      <c r="I260" s="131"/>
      <c r="J260" s="126"/>
      <c r="K260" s="121"/>
      <c r="L260" s="78"/>
      <c r="M260" s="72">
        <f ca="1">IF(INDIRECT(ADDRESS(ROW(),3))&lt;&gt;"",getIBANchecksum(INDIRECT(ADDRESS(ROW(),3))),98)</f>
        <v>98</v>
      </c>
    </row>
    <row r="261" spans="1:13">
      <c r="A261" s="96">
        <f t="shared" si="4"/>
        <v>242</v>
      </c>
      <c r="B261" s="9"/>
      <c r="C261" s="28"/>
      <c r="D261" s="23"/>
      <c r="E261" s="93"/>
      <c r="F261" s="24"/>
      <c r="G261" s="130"/>
      <c r="H261" s="46"/>
      <c r="I261" s="131"/>
      <c r="J261" s="126"/>
      <c r="K261" s="121"/>
      <c r="L261" s="78"/>
      <c r="M261" s="72">
        <f ca="1">IF(INDIRECT(ADDRESS(ROW(),3))&lt;&gt;"",getIBANchecksum(INDIRECT(ADDRESS(ROW(),3))),98)</f>
        <v>98</v>
      </c>
    </row>
    <row r="262" spans="1:13">
      <c r="A262" s="96">
        <f t="shared" si="4"/>
        <v>243</v>
      </c>
      <c r="B262" s="9"/>
      <c r="C262" s="28"/>
      <c r="D262" s="23"/>
      <c r="E262" s="93"/>
      <c r="F262" s="24"/>
      <c r="G262" s="130"/>
      <c r="H262" s="46"/>
      <c r="I262" s="131"/>
      <c r="J262" s="126"/>
      <c r="K262" s="121"/>
      <c r="L262" s="78"/>
      <c r="M262" s="72">
        <f ca="1">IF(INDIRECT(ADDRESS(ROW(),3))&lt;&gt;"",getIBANchecksum(INDIRECT(ADDRESS(ROW(),3))),98)</f>
        <v>98</v>
      </c>
    </row>
    <row r="263" spans="1:13">
      <c r="A263" s="96">
        <f t="shared" si="4"/>
        <v>244</v>
      </c>
      <c r="B263" s="9"/>
      <c r="C263" s="28"/>
      <c r="D263" s="23"/>
      <c r="E263" s="93"/>
      <c r="F263" s="24"/>
      <c r="G263" s="130"/>
      <c r="H263" s="46"/>
      <c r="I263" s="131"/>
      <c r="J263" s="126"/>
      <c r="K263" s="121"/>
      <c r="L263" s="78"/>
      <c r="M263" s="72">
        <f ca="1">IF(INDIRECT(ADDRESS(ROW(),3))&lt;&gt;"",getIBANchecksum(INDIRECT(ADDRESS(ROW(),3))),98)</f>
        <v>98</v>
      </c>
    </row>
    <row r="264" spans="1:13">
      <c r="A264" s="96">
        <f t="shared" si="4"/>
        <v>245</v>
      </c>
      <c r="B264" s="9"/>
      <c r="C264" s="28"/>
      <c r="D264" s="23"/>
      <c r="E264" s="93"/>
      <c r="F264" s="24"/>
      <c r="G264" s="130"/>
      <c r="H264" s="46"/>
      <c r="I264" s="131"/>
      <c r="J264" s="126"/>
      <c r="K264" s="121"/>
      <c r="L264" s="78"/>
      <c r="M264" s="72">
        <f ca="1">IF(INDIRECT(ADDRESS(ROW(),3))&lt;&gt;"",getIBANchecksum(INDIRECT(ADDRESS(ROW(),3))),98)</f>
        <v>98</v>
      </c>
    </row>
    <row r="265" spans="1:13">
      <c r="A265" s="96">
        <f t="shared" si="4"/>
        <v>246</v>
      </c>
      <c r="B265" s="9"/>
      <c r="C265" s="28"/>
      <c r="D265" s="23"/>
      <c r="E265" s="93"/>
      <c r="F265" s="24"/>
      <c r="G265" s="130"/>
      <c r="H265" s="46"/>
      <c r="I265" s="131"/>
      <c r="J265" s="126"/>
      <c r="K265" s="121"/>
      <c r="L265" s="78"/>
      <c r="M265" s="72">
        <f ca="1">IF(INDIRECT(ADDRESS(ROW(),3))&lt;&gt;"",getIBANchecksum(INDIRECT(ADDRESS(ROW(),3))),98)</f>
        <v>98</v>
      </c>
    </row>
    <row r="266" spans="1:13">
      <c r="A266" s="96">
        <f t="shared" si="4"/>
        <v>247</v>
      </c>
      <c r="B266" s="9"/>
      <c r="C266" s="28"/>
      <c r="D266" s="23"/>
      <c r="E266" s="93"/>
      <c r="F266" s="24"/>
      <c r="G266" s="130"/>
      <c r="H266" s="46"/>
      <c r="I266" s="131"/>
      <c r="J266" s="126"/>
      <c r="K266" s="121"/>
      <c r="L266" s="78"/>
      <c r="M266" s="72">
        <f ca="1">IF(INDIRECT(ADDRESS(ROW(),3))&lt;&gt;"",getIBANchecksum(INDIRECT(ADDRESS(ROW(),3))),98)</f>
        <v>98</v>
      </c>
    </row>
    <row r="267" spans="1:13">
      <c r="A267" s="96">
        <f t="shared" si="4"/>
        <v>248</v>
      </c>
      <c r="B267" s="9"/>
      <c r="C267" s="28"/>
      <c r="D267" s="23"/>
      <c r="E267" s="93"/>
      <c r="F267" s="24"/>
      <c r="G267" s="130"/>
      <c r="H267" s="46"/>
      <c r="I267" s="131"/>
      <c r="J267" s="126"/>
      <c r="K267" s="121"/>
      <c r="L267" s="78"/>
      <c r="M267" s="72">
        <f ca="1">IF(INDIRECT(ADDRESS(ROW(),3))&lt;&gt;"",getIBANchecksum(INDIRECT(ADDRESS(ROW(),3))),98)</f>
        <v>98</v>
      </c>
    </row>
    <row r="268" spans="1:13">
      <c r="A268" s="96">
        <f t="shared" si="4"/>
        <v>249</v>
      </c>
      <c r="B268" s="9"/>
      <c r="C268" s="28"/>
      <c r="D268" s="23"/>
      <c r="E268" s="93"/>
      <c r="F268" s="24"/>
      <c r="G268" s="130"/>
      <c r="H268" s="46"/>
      <c r="I268" s="131"/>
      <c r="J268" s="126"/>
      <c r="K268" s="121"/>
      <c r="L268" s="78"/>
      <c r="M268" s="72">
        <f ca="1">IF(INDIRECT(ADDRESS(ROW(),3))&lt;&gt;"",getIBANchecksum(INDIRECT(ADDRESS(ROW(),3))),98)</f>
        <v>98</v>
      </c>
    </row>
    <row r="269" spans="1:13">
      <c r="A269" s="96">
        <f t="shared" si="4"/>
        <v>250</v>
      </c>
      <c r="B269" s="9"/>
      <c r="C269" s="28"/>
      <c r="D269" s="23"/>
      <c r="E269" s="93"/>
      <c r="F269" s="24"/>
      <c r="G269" s="130"/>
      <c r="H269" s="46"/>
      <c r="I269" s="131"/>
      <c r="J269" s="126"/>
      <c r="K269" s="121"/>
      <c r="L269" s="78"/>
      <c r="M269" s="72">
        <f ca="1">IF(INDIRECT(ADDRESS(ROW(),3))&lt;&gt;"",getIBANchecksum(INDIRECT(ADDRESS(ROW(),3))),98)</f>
        <v>98</v>
      </c>
    </row>
    <row r="270" spans="1:13">
      <c r="A270" s="96">
        <f t="shared" si="4"/>
        <v>251</v>
      </c>
      <c r="B270" s="9"/>
      <c r="C270" s="28"/>
      <c r="D270" s="23"/>
      <c r="E270" s="93"/>
      <c r="F270" s="24"/>
      <c r="G270" s="130"/>
      <c r="H270" s="46"/>
      <c r="I270" s="131"/>
      <c r="J270" s="126"/>
      <c r="K270" s="121"/>
      <c r="L270" s="78"/>
      <c r="M270" s="72">
        <f ca="1">IF(INDIRECT(ADDRESS(ROW(),3))&lt;&gt;"",getIBANchecksum(INDIRECT(ADDRESS(ROW(),3))),98)</f>
        <v>98</v>
      </c>
    </row>
    <row r="271" spans="1:13">
      <c r="A271" s="96">
        <f t="shared" si="4"/>
        <v>252</v>
      </c>
      <c r="B271" s="9"/>
      <c r="C271" s="28"/>
      <c r="D271" s="23"/>
      <c r="E271" s="93"/>
      <c r="F271" s="24"/>
      <c r="G271" s="130"/>
      <c r="H271" s="46"/>
      <c r="I271" s="131"/>
      <c r="J271" s="126"/>
      <c r="K271" s="121"/>
      <c r="L271" s="78"/>
      <c r="M271" s="72">
        <f ca="1">IF(INDIRECT(ADDRESS(ROW(),3))&lt;&gt;"",getIBANchecksum(INDIRECT(ADDRESS(ROW(),3))),98)</f>
        <v>98</v>
      </c>
    </row>
    <row r="272" spans="1:13">
      <c r="A272" s="96">
        <f t="shared" si="4"/>
        <v>253</v>
      </c>
      <c r="B272" s="9"/>
      <c r="C272" s="28"/>
      <c r="D272" s="23"/>
      <c r="E272" s="93"/>
      <c r="F272" s="24"/>
      <c r="G272" s="130"/>
      <c r="H272" s="46"/>
      <c r="I272" s="131"/>
      <c r="J272" s="126"/>
      <c r="K272" s="121"/>
      <c r="L272" s="78"/>
      <c r="M272" s="72">
        <f ca="1">IF(INDIRECT(ADDRESS(ROW(),3))&lt;&gt;"",getIBANchecksum(INDIRECT(ADDRESS(ROW(),3))),98)</f>
        <v>98</v>
      </c>
    </row>
    <row r="273" spans="1:13">
      <c r="A273" s="96">
        <f t="shared" si="4"/>
        <v>254</v>
      </c>
      <c r="B273" s="9"/>
      <c r="C273" s="28"/>
      <c r="D273" s="23"/>
      <c r="E273" s="93"/>
      <c r="F273" s="24"/>
      <c r="G273" s="130"/>
      <c r="H273" s="46"/>
      <c r="I273" s="131"/>
      <c r="J273" s="126"/>
      <c r="K273" s="121"/>
      <c r="L273" s="78"/>
      <c r="M273" s="72">
        <f ca="1">IF(INDIRECT(ADDRESS(ROW(),3))&lt;&gt;"",getIBANchecksum(INDIRECT(ADDRESS(ROW(),3))),98)</f>
        <v>98</v>
      </c>
    </row>
    <row r="274" spans="1:13">
      <c r="A274" s="96">
        <f t="shared" si="4"/>
        <v>255</v>
      </c>
      <c r="B274" s="9"/>
      <c r="C274" s="28"/>
      <c r="D274" s="23"/>
      <c r="E274" s="93"/>
      <c r="F274" s="24"/>
      <c r="G274" s="130"/>
      <c r="H274" s="46"/>
      <c r="I274" s="131"/>
      <c r="J274" s="126"/>
      <c r="K274" s="121"/>
      <c r="L274" s="78"/>
      <c r="M274" s="72">
        <f ca="1">IF(INDIRECT(ADDRESS(ROW(),3))&lt;&gt;"",getIBANchecksum(INDIRECT(ADDRESS(ROW(),3))),98)</f>
        <v>98</v>
      </c>
    </row>
    <row r="275" spans="1:13">
      <c r="A275" s="96">
        <f t="shared" si="4"/>
        <v>256</v>
      </c>
      <c r="B275" s="9"/>
      <c r="C275" s="28"/>
      <c r="D275" s="23"/>
      <c r="E275" s="93"/>
      <c r="F275" s="24"/>
      <c r="G275" s="130"/>
      <c r="H275" s="46"/>
      <c r="I275" s="131"/>
      <c r="J275" s="126"/>
      <c r="K275" s="121"/>
      <c r="L275" s="78"/>
      <c r="M275" s="72">
        <f ca="1">IF(INDIRECT(ADDRESS(ROW(),3))&lt;&gt;"",getIBANchecksum(INDIRECT(ADDRESS(ROW(),3))),98)</f>
        <v>98</v>
      </c>
    </row>
    <row r="276" spans="1:13">
      <c r="A276" s="96">
        <f t="shared" si="4"/>
        <v>257</v>
      </c>
      <c r="B276" s="9"/>
      <c r="C276" s="28"/>
      <c r="D276" s="23"/>
      <c r="E276" s="93"/>
      <c r="F276" s="24"/>
      <c r="G276" s="130"/>
      <c r="H276" s="46"/>
      <c r="I276" s="131"/>
      <c r="J276" s="126"/>
      <c r="K276" s="121"/>
      <c r="L276" s="78"/>
      <c r="M276" s="72">
        <f ca="1">IF(INDIRECT(ADDRESS(ROW(),3))&lt;&gt;"",getIBANchecksum(INDIRECT(ADDRESS(ROW(),3))),98)</f>
        <v>98</v>
      </c>
    </row>
    <row r="277" spans="1:13">
      <c r="A277" s="96">
        <f t="shared" si="4"/>
        <v>258</v>
      </c>
      <c r="B277" s="9"/>
      <c r="C277" s="28"/>
      <c r="D277" s="23"/>
      <c r="E277" s="93"/>
      <c r="F277" s="24"/>
      <c r="G277" s="130"/>
      <c r="H277" s="46"/>
      <c r="I277" s="131"/>
      <c r="J277" s="126"/>
      <c r="K277" s="121"/>
      <c r="L277" s="78"/>
      <c r="M277" s="72">
        <f ca="1">IF(INDIRECT(ADDRESS(ROW(),3))&lt;&gt;"",getIBANchecksum(INDIRECT(ADDRESS(ROW(),3))),98)</f>
        <v>98</v>
      </c>
    </row>
    <row r="278" spans="1:13">
      <c r="A278" s="96">
        <f t="shared" ref="A278:A341" si="5">A277+1</f>
        <v>259</v>
      </c>
      <c r="B278" s="9"/>
      <c r="C278" s="28"/>
      <c r="D278" s="23"/>
      <c r="E278" s="93"/>
      <c r="F278" s="24"/>
      <c r="G278" s="130"/>
      <c r="H278" s="46"/>
      <c r="I278" s="131"/>
      <c r="J278" s="126"/>
      <c r="K278" s="121"/>
      <c r="L278" s="78"/>
      <c r="M278" s="72">
        <f ca="1">IF(INDIRECT(ADDRESS(ROW(),3))&lt;&gt;"",getIBANchecksum(INDIRECT(ADDRESS(ROW(),3))),98)</f>
        <v>98</v>
      </c>
    </row>
    <row r="279" spans="1:13">
      <c r="A279" s="96">
        <f t="shared" si="5"/>
        <v>260</v>
      </c>
      <c r="B279" s="9"/>
      <c r="C279" s="28"/>
      <c r="D279" s="23"/>
      <c r="E279" s="93"/>
      <c r="F279" s="24"/>
      <c r="G279" s="130"/>
      <c r="H279" s="46"/>
      <c r="I279" s="131"/>
      <c r="J279" s="126"/>
      <c r="K279" s="121"/>
      <c r="L279" s="78"/>
      <c r="M279" s="72">
        <f ca="1">IF(INDIRECT(ADDRESS(ROW(),3))&lt;&gt;"",getIBANchecksum(INDIRECT(ADDRESS(ROW(),3))),98)</f>
        <v>98</v>
      </c>
    </row>
    <row r="280" spans="1:13">
      <c r="A280" s="96">
        <f t="shared" si="5"/>
        <v>261</v>
      </c>
      <c r="B280" s="9"/>
      <c r="C280" s="28"/>
      <c r="D280" s="23"/>
      <c r="E280" s="93"/>
      <c r="F280" s="24"/>
      <c r="G280" s="130"/>
      <c r="H280" s="46"/>
      <c r="I280" s="131"/>
      <c r="J280" s="126"/>
      <c r="K280" s="121"/>
      <c r="L280" s="78"/>
      <c r="M280" s="72">
        <f ca="1">IF(INDIRECT(ADDRESS(ROW(),3))&lt;&gt;"",getIBANchecksum(INDIRECT(ADDRESS(ROW(),3))),98)</f>
        <v>98</v>
      </c>
    </row>
    <row r="281" spans="1:13">
      <c r="A281" s="96">
        <f t="shared" si="5"/>
        <v>262</v>
      </c>
      <c r="B281" s="9"/>
      <c r="C281" s="28"/>
      <c r="D281" s="23"/>
      <c r="E281" s="93"/>
      <c r="F281" s="24"/>
      <c r="G281" s="130"/>
      <c r="H281" s="46"/>
      <c r="I281" s="131"/>
      <c r="J281" s="126"/>
      <c r="K281" s="121"/>
      <c r="L281" s="78"/>
      <c r="M281" s="72">
        <f ca="1">IF(INDIRECT(ADDRESS(ROW(),3))&lt;&gt;"",getIBANchecksum(INDIRECT(ADDRESS(ROW(),3))),98)</f>
        <v>98</v>
      </c>
    </row>
    <row r="282" spans="1:13">
      <c r="A282" s="96">
        <f t="shared" si="5"/>
        <v>263</v>
      </c>
      <c r="B282" s="9"/>
      <c r="C282" s="28"/>
      <c r="D282" s="23"/>
      <c r="E282" s="93"/>
      <c r="F282" s="24"/>
      <c r="G282" s="130"/>
      <c r="H282" s="46"/>
      <c r="I282" s="131"/>
      <c r="J282" s="126"/>
      <c r="K282" s="121"/>
      <c r="L282" s="78"/>
      <c r="M282" s="72">
        <f ca="1">IF(INDIRECT(ADDRESS(ROW(),3))&lt;&gt;"",getIBANchecksum(INDIRECT(ADDRESS(ROW(),3))),98)</f>
        <v>98</v>
      </c>
    </row>
    <row r="283" spans="1:13">
      <c r="A283" s="96">
        <f t="shared" si="5"/>
        <v>264</v>
      </c>
      <c r="B283" s="9"/>
      <c r="C283" s="28"/>
      <c r="D283" s="23"/>
      <c r="E283" s="93"/>
      <c r="F283" s="24"/>
      <c r="G283" s="130"/>
      <c r="H283" s="46"/>
      <c r="I283" s="131"/>
      <c r="J283" s="126"/>
      <c r="K283" s="121"/>
      <c r="L283" s="78"/>
      <c r="M283" s="72">
        <f ca="1">IF(INDIRECT(ADDRESS(ROW(),3))&lt;&gt;"",getIBANchecksum(INDIRECT(ADDRESS(ROW(),3))),98)</f>
        <v>98</v>
      </c>
    </row>
    <row r="284" spans="1:13">
      <c r="A284" s="96">
        <f t="shared" si="5"/>
        <v>265</v>
      </c>
      <c r="B284" s="9"/>
      <c r="C284" s="28"/>
      <c r="D284" s="23"/>
      <c r="E284" s="93"/>
      <c r="F284" s="24"/>
      <c r="G284" s="130"/>
      <c r="H284" s="46"/>
      <c r="I284" s="131"/>
      <c r="J284" s="126"/>
      <c r="K284" s="121"/>
      <c r="L284" s="78"/>
      <c r="M284" s="72">
        <f ca="1">IF(INDIRECT(ADDRESS(ROW(),3))&lt;&gt;"",getIBANchecksum(INDIRECT(ADDRESS(ROW(),3))),98)</f>
        <v>98</v>
      </c>
    </row>
    <row r="285" spans="1:13">
      <c r="A285" s="96">
        <f t="shared" si="5"/>
        <v>266</v>
      </c>
      <c r="B285" s="9"/>
      <c r="C285" s="28"/>
      <c r="D285" s="23"/>
      <c r="E285" s="93"/>
      <c r="F285" s="24"/>
      <c r="G285" s="130"/>
      <c r="H285" s="46"/>
      <c r="I285" s="131"/>
      <c r="J285" s="126"/>
      <c r="K285" s="121"/>
      <c r="L285" s="78"/>
      <c r="M285" s="72">
        <f ca="1">IF(INDIRECT(ADDRESS(ROW(),3))&lt;&gt;"",getIBANchecksum(INDIRECT(ADDRESS(ROW(),3))),98)</f>
        <v>98</v>
      </c>
    </row>
    <row r="286" spans="1:13">
      <c r="A286" s="96">
        <f t="shared" si="5"/>
        <v>267</v>
      </c>
      <c r="B286" s="9"/>
      <c r="C286" s="28"/>
      <c r="D286" s="23"/>
      <c r="E286" s="93"/>
      <c r="F286" s="24"/>
      <c r="G286" s="130"/>
      <c r="H286" s="46"/>
      <c r="I286" s="131"/>
      <c r="J286" s="126"/>
      <c r="K286" s="121"/>
      <c r="L286" s="78"/>
      <c r="M286" s="72">
        <f ca="1">IF(INDIRECT(ADDRESS(ROW(),3))&lt;&gt;"",getIBANchecksum(INDIRECT(ADDRESS(ROW(),3))),98)</f>
        <v>98</v>
      </c>
    </row>
    <row r="287" spans="1:13">
      <c r="A287" s="96">
        <f t="shared" si="5"/>
        <v>268</v>
      </c>
      <c r="B287" s="9"/>
      <c r="C287" s="28"/>
      <c r="D287" s="23"/>
      <c r="E287" s="93"/>
      <c r="F287" s="24"/>
      <c r="G287" s="130"/>
      <c r="H287" s="46"/>
      <c r="I287" s="131"/>
      <c r="J287" s="126"/>
      <c r="K287" s="121"/>
      <c r="L287" s="78"/>
      <c r="M287" s="72">
        <f ca="1">IF(INDIRECT(ADDRESS(ROW(),3))&lt;&gt;"",getIBANchecksum(INDIRECT(ADDRESS(ROW(),3))),98)</f>
        <v>98</v>
      </c>
    </row>
    <row r="288" spans="1:13">
      <c r="A288" s="96">
        <f t="shared" si="5"/>
        <v>269</v>
      </c>
      <c r="B288" s="9"/>
      <c r="C288" s="28"/>
      <c r="D288" s="23"/>
      <c r="E288" s="93"/>
      <c r="F288" s="24"/>
      <c r="G288" s="130"/>
      <c r="H288" s="46"/>
      <c r="I288" s="131"/>
      <c r="J288" s="126"/>
      <c r="K288" s="121"/>
      <c r="L288" s="78"/>
      <c r="M288" s="72">
        <f ca="1">IF(INDIRECT(ADDRESS(ROW(),3))&lt;&gt;"",getIBANchecksum(INDIRECT(ADDRESS(ROW(),3))),98)</f>
        <v>98</v>
      </c>
    </row>
    <row r="289" spans="1:13">
      <c r="A289" s="96">
        <f t="shared" si="5"/>
        <v>270</v>
      </c>
      <c r="B289" s="9"/>
      <c r="C289" s="28"/>
      <c r="D289" s="23"/>
      <c r="E289" s="93"/>
      <c r="F289" s="24"/>
      <c r="G289" s="130"/>
      <c r="H289" s="46"/>
      <c r="I289" s="131"/>
      <c r="J289" s="126"/>
      <c r="K289" s="121"/>
      <c r="L289" s="78"/>
      <c r="M289" s="72">
        <f ca="1">IF(INDIRECT(ADDRESS(ROW(),3))&lt;&gt;"",getIBANchecksum(INDIRECT(ADDRESS(ROW(),3))),98)</f>
        <v>98</v>
      </c>
    </row>
    <row r="290" spans="1:13">
      <c r="A290" s="96">
        <f t="shared" si="5"/>
        <v>271</v>
      </c>
      <c r="B290" s="9"/>
      <c r="C290" s="28"/>
      <c r="D290" s="23"/>
      <c r="E290" s="93"/>
      <c r="F290" s="24"/>
      <c r="G290" s="130"/>
      <c r="H290" s="46"/>
      <c r="I290" s="131"/>
      <c r="J290" s="126"/>
      <c r="K290" s="121"/>
      <c r="L290" s="78"/>
      <c r="M290" s="72">
        <f ca="1">IF(INDIRECT(ADDRESS(ROW(),3))&lt;&gt;"",getIBANchecksum(INDIRECT(ADDRESS(ROW(),3))),98)</f>
        <v>98</v>
      </c>
    </row>
    <row r="291" spans="1:13">
      <c r="A291" s="96">
        <f t="shared" si="5"/>
        <v>272</v>
      </c>
      <c r="B291" s="9"/>
      <c r="C291" s="28"/>
      <c r="D291" s="23"/>
      <c r="E291" s="93"/>
      <c r="F291" s="24"/>
      <c r="G291" s="130"/>
      <c r="H291" s="46"/>
      <c r="I291" s="131"/>
      <c r="J291" s="126"/>
      <c r="K291" s="121"/>
      <c r="L291" s="78"/>
      <c r="M291" s="72">
        <f ca="1">IF(INDIRECT(ADDRESS(ROW(),3))&lt;&gt;"",getIBANchecksum(INDIRECT(ADDRESS(ROW(),3))),98)</f>
        <v>98</v>
      </c>
    </row>
    <row r="292" spans="1:13">
      <c r="A292" s="96">
        <f t="shared" si="5"/>
        <v>273</v>
      </c>
      <c r="B292" s="9"/>
      <c r="C292" s="28"/>
      <c r="D292" s="23"/>
      <c r="E292" s="93"/>
      <c r="F292" s="24"/>
      <c r="G292" s="130"/>
      <c r="H292" s="46"/>
      <c r="I292" s="131"/>
      <c r="J292" s="126"/>
      <c r="K292" s="121"/>
      <c r="L292" s="78"/>
      <c r="M292" s="72">
        <f ca="1">IF(INDIRECT(ADDRESS(ROW(),3))&lt;&gt;"",getIBANchecksum(INDIRECT(ADDRESS(ROW(),3))),98)</f>
        <v>98</v>
      </c>
    </row>
    <row r="293" spans="1:13">
      <c r="A293" s="96">
        <f t="shared" si="5"/>
        <v>274</v>
      </c>
      <c r="B293" s="9"/>
      <c r="C293" s="28"/>
      <c r="D293" s="23"/>
      <c r="E293" s="93"/>
      <c r="F293" s="24"/>
      <c r="G293" s="130"/>
      <c r="H293" s="46"/>
      <c r="I293" s="131"/>
      <c r="J293" s="126"/>
      <c r="K293" s="121"/>
      <c r="L293" s="78"/>
      <c r="M293" s="72">
        <f ca="1">IF(INDIRECT(ADDRESS(ROW(),3))&lt;&gt;"",getIBANchecksum(INDIRECT(ADDRESS(ROW(),3))),98)</f>
        <v>98</v>
      </c>
    </row>
    <row r="294" spans="1:13">
      <c r="A294" s="96">
        <f t="shared" si="5"/>
        <v>275</v>
      </c>
      <c r="B294" s="9"/>
      <c r="C294" s="28"/>
      <c r="D294" s="23"/>
      <c r="E294" s="93"/>
      <c r="F294" s="24"/>
      <c r="G294" s="130"/>
      <c r="H294" s="46"/>
      <c r="I294" s="131"/>
      <c r="J294" s="126"/>
      <c r="K294" s="121"/>
      <c r="L294" s="78"/>
      <c r="M294" s="72">
        <f ca="1">IF(INDIRECT(ADDRESS(ROW(),3))&lt;&gt;"",getIBANchecksum(INDIRECT(ADDRESS(ROW(),3))),98)</f>
        <v>98</v>
      </c>
    </row>
    <row r="295" spans="1:13">
      <c r="A295" s="96">
        <f t="shared" si="5"/>
        <v>276</v>
      </c>
      <c r="B295" s="9"/>
      <c r="C295" s="28"/>
      <c r="D295" s="23"/>
      <c r="E295" s="93"/>
      <c r="F295" s="24"/>
      <c r="G295" s="130"/>
      <c r="H295" s="46"/>
      <c r="I295" s="131"/>
      <c r="J295" s="126"/>
      <c r="K295" s="121"/>
      <c r="L295" s="78"/>
      <c r="M295" s="72">
        <f ca="1">IF(INDIRECT(ADDRESS(ROW(),3))&lt;&gt;"",getIBANchecksum(INDIRECT(ADDRESS(ROW(),3))),98)</f>
        <v>98</v>
      </c>
    </row>
    <row r="296" spans="1:13">
      <c r="A296" s="96">
        <f t="shared" si="5"/>
        <v>277</v>
      </c>
      <c r="B296" s="9"/>
      <c r="C296" s="28"/>
      <c r="D296" s="23"/>
      <c r="E296" s="93"/>
      <c r="F296" s="24"/>
      <c r="G296" s="130"/>
      <c r="H296" s="46"/>
      <c r="I296" s="131"/>
      <c r="J296" s="126"/>
      <c r="K296" s="121"/>
      <c r="L296" s="78"/>
      <c r="M296" s="72">
        <f ca="1">IF(INDIRECT(ADDRESS(ROW(),3))&lt;&gt;"",getIBANchecksum(INDIRECT(ADDRESS(ROW(),3))),98)</f>
        <v>98</v>
      </c>
    </row>
    <row r="297" spans="1:13">
      <c r="A297" s="96">
        <f t="shared" si="5"/>
        <v>278</v>
      </c>
      <c r="B297" s="9"/>
      <c r="C297" s="28"/>
      <c r="D297" s="23"/>
      <c r="E297" s="93"/>
      <c r="F297" s="24"/>
      <c r="G297" s="130"/>
      <c r="H297" s="46"/>
      <c r="I297" s="131"/>
      <c r="J297" s="126"/>
      <c r="K297" s="121"/>
      <c r="L297" s="78"/>
      <c r="M297" s="72">
        <f ca="1">IF(INDIRECT(ADDRESS(ROW(),3))&lt;&gt;"",getIBANchecksum(INDIRECT(ADDRESS(ROW(),3))),98)</f>
        <v>98</v>
      </c>
    </row>
    <row r="298" spans="1:13">
      <c r="A298" s="96">
        <f t="shared" si="5"/>
        <v>279</v>
      </c>
      <c r="B298" s="9"/>
      <c r="C298" s="28"/>
      <c r="D298" s="23"/>
      <c r="E298" s="93"/>
      <c r="F298" s="24"/>
      <c r="G298" s="130"/>
      <c r="H298" s="46"/>
      <c r="I298" s="131"/>
      <c r="J298" s="126"/>
      <c r="K298" s="121"/>
      <c r="L298" s="78"/>
      <c r="M298" s="72">
        <f ca="1">IF(INDIRECT(ADDRESS(ROW(),3))&lt;&gt;"",getIBANchecksum(INDIRECT(ADDRESS(ROW(),3))),98)</f>
        <v>98</v>
      </c>
    </row>
    <row r="299" spans="1:13">
      <c r="A299" s="96">
        <f t="shared" si="5"/>
        <v>280</v>
      </c>
      <c r="B299" s="9"/>
      <c r="C299" s="28"/>
      <c r="D299" s="23"/>
      <c r="E299" s="93"/>
      <c r="F299" s="24"/>
      <c r="G299" s="130"/>
      <c r="H299" s="46"/>
      <c r="I299" s="131"/>
      <c r="J299" s="126"/>
      <c r="K299" s="121"/>
      <c r="L299" s="78"/>
      <c r="M299" s="72">
        <f ca="1">IF(INDIRECT(ADDRESS(ROW(),3))&lt;&gt;"",getIBANchecksum(INDIRECT(ADDRESS(ROW(),3))),98)</f>
        <v>98</v>
      </c>
    </row>
    <row r="300" spans="1:13">
      <c r="A300" s="96">
        <f t="shared" si="5"/>
        <v>281</v>
      </c>
      <c r="B300" s="9"/>
      <c r="C300" s="28"/>
      <c r="D300" s="23"/>
      <c r="E300" s="93"/>
      <c r="F300" s="24"/>
      <c r="G300" s="130"/>
      <c r="H300" s="46"/>
      <c r="I300" s="131"/>
      <c r="J300" s="126"/>
      <c r="K300" s="121"/>
      <c r="L300" s="78"/>
      <c r="M300" s="72">
        <f ca="1">IF(INDIRECT(ADDRESS(ROW(),3))&lt;&gt;"",getIBANchecksum(INDIRECT(ADDRESS(ROW(),3))),98)</f>
        <v>98</v>
      </c>
    </row>
    <row r="301" spans="1:13">
      <c r="A301" s="96">
        <f t="shared" si="5"/>
        <v>282</v>
      </c>
      <c r="B301" s="9"/>
      <c r="C301" s="28"/>
      <c r="D301" s="23"/>
      <c r="E301" s="93"/>
      <c r="F301" s="24"/>
      <c r="G301" s="130"/>
      <c r="H301" s="46"/>
      <c r="I301" s="131"/>
      <c r="J301" s="126"/>
      <c r="K301" s="121"/>
      <c r="L301" s="78"/>
      <c r="M301" s="72">
        <f ca="1">IF(INDIRECT(ADDRESS(ROW(),3))&lt;&gt;"",getIBANchecksum(INDIRECT(ADDRESS(ROW(),3))),98)</f>
        <v>98</v>
      </c>
    </row>
    <row r="302" spans="1:13">
      <c r="A302" s="96">
        <f t="shared" si="5"/>
        <v>283</v>
      </c>
      <c r="B302" s="9"/>
      <c r="C302" s="28"/>
      <c r="D302" s="23"/>
      <c r="E302" s="93"/>
      <c r="F302" s="24"/>
      <c r="G302" s="130"/>
      <c r="H302" s="46"/>
      <c r="I302" s="131"/>
      <c r="J302" s="126"/>
      <c r="K302" s="121"/>
      <c r="L302" s="78"/>
      <c r="M302" s="72">
        <f ca="1">IF(INDIRECT(ADDRESS(ROW(),3))&lt;&gt;"",getIBANchecksum(INDIRECT(ADDRESS(ROW(),3))),98)</f>
        <v>98</v>
      </c>
    </row>
    <row r="303" spans="1:13">
      <c r="A303" s="96">
        <f t="shared" si="5"/>
        <v>284</v>
      </c>
      <c r="B303" s="9"/>
      <c r="C303" s="28"/>
      <c r="D303" s="23"/>
      <c r="E303" s="93"/>
      <c r="F303" s="24"/>
      <c r="G303" s="130"/>
      <c r="H303" s="46"/>
      <c r="I303" s="131"/>
      <c r="J303" s="126"/>
      <c r="K303" s="121"/>
      <c r="L303" s="78"/>
      <c r="M303" s="72">
        <f ca="1">IF(INDIRECT(ADDRESS(ROW(),3))&lt;&gt;"",getIBANchecksum(INDIRECT(ADDRESS(ROW(),3))),98)</f>
        <v>98</v>
      </c>
    </row>
    <row r="304" spans="1:13">
      <c r="A304" s="96">
        <f t="shared" si="5"/>
        <v>285</v>
      </c>
      <c r="B304" s="9"/>
      <c r="C304" s="28"/>
      <c r="D304" s="23"/>
      <c r="E304" s="93"/>
      <c r="F304" s="24"/>
      <c r="G304" s="130"/>
      <c r="H304" s="46"/>
      <c r="I304" s="131"/>
      <c r="J304" s="126"/>
      <c r="K304" s="121"/>
      <c r="L304" s="78"/>
      <c r="M304" s="72">
        <f ca="1">IF(INDIRECT(ADDRESS(ROW(),3))&lt;&gt;"",getIBANchecksum(INDIRECT(ADDRESS(ROW(),3))),98)</f>
        <v>98</v>
      </c>
    </row>
    <row r="305" spans="1:13">
      <c r="A305" s="96">
        <f t="shared" si="5"/>
        <v>286</v>
      </c>
      <c r="B305" s="9"/>
      <c r="C305" s="28"/>
      <c r="D305" s="23"/>
      <c r="E305" s="93"/>
      <c r="F305" s="24"/>
      <c r="G305" s="130"/>
      <c r="H305" s="46"/>
      <c r="I305" s="131"/>
      <c r="J305" s="126"/>
      <c r="K305" s="121"/>
      <c r="L305" s="78"/>
      <c r="M305" s="72">
        <f ca="1">IF(INDIRECT(ADDRESS(ROW(),3))&lt;&gt;"",getIBANchecksum(INDIRECT(ADDRESS(ROW(),3))),98)</f>
        <v>98</v>
      </c>
    </row>
    <row r="306" spans="1:13">
      <c r="A306" s="96">
        <f t="shared" si="5"/>
        <v>287</v>
      </c>
      <c r="B306" s="9"/>
      <c r="C306" s="28"/>
      <c r="D306" s="23"/>
      <c r="E306" s="93"/>
      <c r="F306" s="24"/>
      <c r="G306" s="130"/>
      <c r="H306" s="46"/>
      <c r="I306" s="131"/>
      <c r="J306" s="126"/>
      <c r="K306" s="121"/>
      <c r="L306" s="78"/>
      <c r="M306" s="72">
        <f ca="1">IF(INDIRECT(ADDRESS(ROW(),3))&lt;&gt;"",getIBANchecksum(INDIRECT(ADDRESS(ROW(),3))),98)</f>
        <v>98</v>
      </c>
    </row>
    <row r="307" spans="1:13">
      <c r="A307" s="96">
        <f t="shared" si="5"/>
        <v>288</v>
      </c>
      <c r="B307" s="9"/>
      <c r="C307" s="28"/>
      <c r="D307" s="23"/>
      <c r="E307" s="93"/>
      <c r="F307" s="24"/>
      <c r="G307" s="130"/>
      <c r="H307" s="46"/>
      <c r="I307" s="131"/>
      <c r="J307" s="126"/>
      <c r="K307" s="121"/>
      <c r="L307" s="78"/>
      <c r="M307" s="72">
        <f ca="1">IF(INDIRECT(ADDRESS(ROW(),3))&lt;&gt;"",getIBANchecksum(INDIRECT(ADDRESS(ROW(),3))),98)</f>
        <v>98</v>
      </c>
    </row>
    <row r="308" spans="1:13">
      <c r="A308" s="96">
        <f t="shared" si="5"/>
        <v>289</v>
      </c>
      <c r="B308" s="9"/>
      <c r="C308" s="28"/>
      <c r="D308" s="23"/>
      <c r="E308" s="93"/>
      <c r="F308" s="24"/>
      <c r="G308" s="130"/>
      <c r="H308" s="46"/>
      <c r="I308" s="131"/>
      <c r="J308" s="126"/>
      <c r="K308" s="121"/>
      <c r="L308" s="78"/>
      <c r="M308" s="72">
        <f ca="1">IF(INDIRECT(ADDRESS(ROW(),3))&lt;&gt;"",getIBANchecksum(INDIRECT(ADDRESS(ROW(),3))),98)</f>
        <v>98</v>
      </c>
    </row>
    <row r="309" spans="1:13">
      <c r="A309" s="96">
        <f t="shared" si="5"/>
        <v>290</v>
      </c>
      <c r="B309" s="9"/>
      <c r="C309" s="28"/>
      <c r="D309" s="23"/>
      <c r="E309" s="93"/>
      <c r="F309" s="24"/>
      <c r="G309" s="130"/>
      <c r="H309" s="46"/>
      <c r="I309" s="131"/>
      <c r="J309" s="126"/>
      <c r="K309" s="121"/>
      <c r="L309" s="78"/>
      <c r="M309" s="72">
        <f ca="1">IF(INDIRECT(ADDRESS(ROW(),3))&lt;&gt;"",getIBANchecksum(INDIRECT(ADDRESS(ROW(),3))),98)</f>
        <v>98</v>
      </c>
    </row>
    <row r="310" spans="1:13">
      <c r="A310" s="96">
        <f t="shared" si="5"/>
        <v>291</v>
      </c>
      <c r="B310" s="9"/>
      <c r="C310" s="28"/>
      <c r="D310" s="23"/>
      <c r="E310" s="93"/>
      <c r="F310" s="24"/>
      <c r="G310" s="130"/>
      <c r="H310" s="46"/>
      <c r="I310" s="131"/>
      <c r="J310" s="126"/>
      <c r="K310" s="121"/>
      <c r="L310" s="78"/>
      <c r="M310" s="72">
        <f ca="1">IF(INDIRECT(ADDRESS(ROW(),3))&lt;&gt;"",getIBANchecksum(INDIRECT(ADDRESS(ROW(),3))),98)</f>
        <v>98</v>
      </c>
    </row>
    <row r="311" spans="1:13">
      <c r="A311" s="96">
        <f t="shared" si="5"/>
        <v>292</v>
      </c>
      <c r="B311" s="9"/>
      <c r="C311" s="28"/>
      <c r="D311" s="23"/>
      <c r="E311" s="93"/>
      <c r="F311" s="24"/>
      <c r="G311" s="130"/>
      <c r="H311" s="46"/>
      <c r="I311" s="131"/>
      <c r="J311" s="126"/>
      <c r="K311" s="121"/>
      <c r="L311" s="78"/>
      <c r="M311" s="72">
        <f ca="1">IF(INDIRECT(ADDRESS(ROW(),3))&lt;&gt;"",getIBANchecksum(INDIRECT(ADDRESS(ROW(),3))),98)</f>
        <v>98</v>
      </c>
    </row>
    <row r="312" spans="1:13">
      <c r="A312" s="96">
        <f t="shared" si="5"/>
        <v>293</v>
      </c>
      <c r="B312" s="9"/>
      <c r="C312" s="28"/>
      <c r="D312" s="23"/>
      <c r="E312" s="93"/>
      <c r="F312" s="24"/>
      <c r="G312" s="130"/>
      <c r="H312" s="46"/>
      <c r="I312" s="131"/>
      <c r="J312" s="126"/>
      <c r="K312" s="121"/>
      <c r="L312" s="78"/>
      <c r="M312" s="72">
        <f ca="1">IF(INDIRECT(ADDRESS(ROW(),3))&lt;&gt;"",getIBANchecksum(INDIRECT(ADDRESS(ROW(),3))),98)</f>
        <v>98</v>
      </c>
    </row>
    <row r="313" spans="1:13">
      <c r="A313" s="96">
        <f t="shared" si="5"/>
        <v>294</v>
      </c>
      <c r="B313" s="9"/>
      <c r="C313" s="28"/>
      <c r="D313" s="23"/>
      <c r="E313" s="93"/>
      <c r="F313" s="24"/>
      <c r="G313" s="130"/>
      <c r="H313" s="46"/>
      <c r="I313" s="131"/>
      <c r="J313" s="126"/>
      <c r="K313" s="121"/>
      <c r="L313" s="78"/>
      <c r="M313" s="72">
        <f ca="1">IF(INDIRECT(ADDRESS(ROW(),3))&lt;&gt;"",getIBANchecksum(INDIRECT(ADDRESS(ROW(),3))),98)</f>
        <v>98</v>
      </c>
    </row>
    <row r="314" spans="1:13">
      <c r="A314" s="96">
        <f t="shared" si="5"/>
        <v>295</v>
      </c>
      <c r="B314" s="9"/>
      <c r="C314" s="28"/>
      <c r="D314" s="23"/>
      <c r="E314" s="93"/>
      <c r="F314" s="24"/>
      <c r="G314" s="130"/>
      <c r="H314" s="46"/>
      <c r="I314" s="131"/>
      <c r="J314" s="126"/>
      <c r="K314" s="121"/>
      <c r="L314" s="78"/>
      <c r="M314" s="72">
        <f ca="1">IF(INDIRECT(ADDRESS(ROW(),3))&lt;&gt;"",getIBANchecksum(INDIRECT(ADDRESS(ROW(),3))),98)</f>
        <v>98</v>
      </c>
    </row>
    <row r="315" spans="1:13">
      <c r="A315" s="96">
        <f t="shared" si="5"/>
        <v>296</v>
      </c>
      <c r="B315" s="9"/>
      <c r="C315" s="28"/>
      <c r="D315" s="23"/>
      <c r="E315" s="93"/>
      <c r="F315" s="24"/>
      <c r="G315" s="130"/>
      <c r="H315" s="46"/>
      <c r="I315" s="131"/>
      <c r="J315" s="126"/>
      <c r="K315" s="121"/>
      <c r="L315" s="78"/>
      <c r="M315" s="72">
        <f ca="1">IF(INDIRECT(ADDRESS(ROW(),3))&lt;&gt;"",getIBANchecksum(INDIRECT(ADDRESS(ROW(),3))),98)</f>
        <v>98</v>
      </c>
    </row>
    <row r="316" spans="1:13">
      <c r="A316" s="96">
        <f t="shared" si="5"/>
        <v>297</v>
      </c>
      <c r="B316" s="9"/>
      <c r="C316" s="28"/>
      <c r="D316" s="23"/>
      <c r="E316" s="93"/>
      <c r="F316" s="24"/>
      <c r="G316" s="130"/>
      <c r="H316" s="46"/>
      <c r="I316" s="131"/>
      <c r="J316" s="126"/>
      <c r="K316" s="121"/>
      <c r="L316" s="78"/>
      <c r="M316" s="72">
        <f ca="1">IF(INDIRECT(ADDRESS(ROW(),3))&lt;&gt;"",getIBANchecksum(INDIRECT(ADDRESS(ROW(),3))),98)</f>
        <v>98</v>
      </c>
    </row>
    <row r="317" spans="1:13">
      <c r="A317" s="96">
        <f t="shared" si="5"/>
        <v>298</v>
      </c>
      <c r="B317" s="9"/>
      <c r="C317" s="28"/>
      <c r="D317" s="23"/>
      <c r="E317" s="93"/>
      <c r="F317" s="24"/>
      <c r="G317" s="130"/>
      <c r="H317" s="46"/>
      <c r="I317" s="131"/>
      <c r="J317" s="126"/>
      <c r="K317" s="121"/>
      <c r="L317" s="78"/>
      <c r="M317" s="72">
        <f ca="1">IF(INDIRECT(ADDRESS(ROW(),3))&lt;&gt;"",getIBANchecksum(INDIRECT(ADDRESS(ROW(),3))),98)</f>
        <v>98</v>
      </c>
    </row>
    <row r="318" spans="1:13">
      <c r="A318" s="96">
        <f t="shared" si="5"/>
        <v>299</v>
      </c>
      <c r="B318" s="9"/>
      <c r="C318" s="28"/>
      <c r="D318" s="23"/>
      <c r="E318" s="93"/>
      <c r="F318" s="24"/>
      <c r="G318" s="130"/>
      <c r="H318" s="46"/>
      <c r="I318" s="131"/>
      <c r="J318" s="126"/>
      <c r="K318" s="121"/>
      <c r="L318" s="78"/>
      <c r="M318" s="72">
        <f ca="1">IF(INDIRECT(ADDRESS(ROW(),3))&lt;&gt;"",getIBANchecksum(INDIRECT(ADDRESS(ROW(),3))),98)</f>
        <v>98</v>
      </c>
    </row>
    <row r="319" spans="1:13">
      <c r="A319" s="96">
        <f t="shared" si="5"/>
        <v>300</v>
      </c>
      <c r="B319" s="9"/>
      <c r="C319" s="28"/>
      <c r="D319" s="23"/>
      <c r="E319" s="93"/>
      <c r="F319" s="24"/>
      <c r="G319" s="130"/>
      <c r="H319" s="46"/>
      <c r="I319" s="131"/>
      <c r="J319" s="126"/>
      <c r="K319" s="121"/>
      <c r="L319" s="78"/>
      <c r="M319" s="72">
        <f ca="1">IF(INDIRECT(ADDRESS(ROW(),3))&lt;&gt;"",getIBANchecksum(INDIRECT(ADDRESS(ROW(),3))),98)</f>
        <v>98</v>
      </c>
    </row>
    <row r="320" spans="1:13">
      <c r="A320" s="96">
        <f t="shared" si="5"/>
        <v>301</v>
      </c>
      <c r="B320" s="9"/>
      <c r="C320" s="28"/>
      <c r="D320" s="23"/>
      <c r="E320" s="93"/>
      <c r="F320" s="24"/>
      <c r="G320" s="130"/>
      <c r="H320" s="46"/>
      <c r="I320" s="131"/>
      <c r="J320" s="126"/>
      <c r="K320" s="121"/>
      <c r="L320" s="78"/>
      <c r="M320" s="72">
        <f ca="1">IF(INDIRECT(ADDRESS(ROW(),3))&lt;&gt;"",getIBANchecksum(INDIRECT(ADDRESS(ROW(),3))),98)</f>
        <v>98</v>
      </c>
    </row>
    <row r="321" spans="1:13">
      <c r="A321" s="96">
        <f t="shared" si="5"/>
        <v>302</v>
      </c>
      <c r="B321" s="9"/>
      <c r="C321" s="28"/>
      <c r="D321" s="23"/>
      <c r="E321" s="93"/>
      <c r="F321" s="24"/>
      <c r="G321" s="130"/>
      <c r="H321" s="46"/>
      <c r="I321" s="131"/>
      <c r="J321" s="126"/>
      <c r="K321" s="121"/>
      <c r="L321" s="78"/>
      <c r="M321" s="72">
        <f ca="1">IF(INDIRECT(ADDRESS(ROW(),3))&lt;&gt;"",getIBANchecksum(INDIRECT(ADDRESS(ROW(),3))),98)</f>
        <v>98</v>
      </c>
    </row>
    <row r="322" spans="1:13">
      <c r="A322" s="96">
        <f t="shared" si="5"/>
        <v>303</v>
      </c>
      <c r="B322" s="9"/>
      <c r="C322" s="28"/>
      <c r="D322" s="23"/>
      <c r="E322" s="93"/>
      <c r="F322" s="24"/>
      <c r="G322" s="130"/>
      <c r="H322" s="46"/>
      <c r="I322" s="131"/>
      <c r="J322" s="126"/>
      <c r="K322" s="121"/>
      <c r="L322" s="78"/>
      <c r="M322" s="72">
        <f ca="1">IF(INDIRECT(ADDRESS(ROW(),3))&lt;&gt;"",getIBANchecksum(INDIRECT(ADDRESS(ROW(),3))),98)</f>
        <v>98</v>
      </c>
    </row>
    <row r="323" spans="1:13">
      <c r="A323" s="96">
        <f t="shared" si="5"/>
        <v>304</v>
      </c>
      <c r="B323" s="9"/>
      <c r="C323" s="28"/>
      <c r="D323" s="23"/>
      <c r="E323" s="93"/>
      <c r="F323" s="24"/>
      <c r="G323" s="130"/>
      <c r="H323" s="46"/>
      <c r="I323" s="131"/>
      <c r="J323" s="126"/>
      <c r="K323" s="121"/>
      <c r="L323" s="78"/>
      <c r="M323" s="72">
        <f ca="1">IF(INDIRECT(ADDRESS(ROW(),3))&lt;&gt;"",getIBANchecksum(INDIRECT(ADDRESS(ROW(),3))),98)</f>
        <v>98</v>
      </c>
    </row>
    <row r="324" spans="1:13">
      <c r="A324" s="96">
        <f t="shared" si="5"/>
        <v>305</v>
      </c>
      <c r="B324" s="9"/>
      <c r="C324" s="28"/>
      <c r="D324" s="23"/>
      <c r="E324" s="93"/>
      <c r="F324" s="24"/>
      <c r="G324" s="130"/>
      <c r="H324" s="46"/>
      <c r="I324" s="131"/>
      <c r="J324" s="126"/>
      <c r="K324" s="121"/>
      <c r="L324" s="78"/>
      <c r="M324" s="72">
        <f ca="1">IF(INDIRECT(ADDRESS(ROW(),3))&lt;&gt;"",getIBANchecksum(INDIRECT(ADDRESS(ROW(),3))),98)</f>
        <v>98</v>
      </c>
    </row>
    <row r="325" spans="1:13">
      <c r="A325" s="96">
        <f t="shared" si="5"/>
        <v>306</v>
      </c>
      <c r="B325" s="9"/>
      <c r="C325" s="28"/>
      <c r="D325" s="23"/>
      <c r="E325" s="93"/>
      <c r="F325" s="24"/>
      <c r="G325" s="130"/>
      <c r="H325" s="46"/>
      <c r="I325" s="131"/>
      <c r="J325" s="126"/>
      <c r="K325" s="121"/>
      <c r="L325" s="78"/>
      <c r="M325" s="72">
        <f ca="1">IF(INDIRECT(ADDRESS(ROW(),3))&lt;&gt;"",getIBANchecksum(INDIRECT(ADDRESS(ROW(),3))),98)</f>
        <v>98</v>
      </c>
    </row>
    <row r="326" spans="1:13">
      <c r="A326" s="96">
        <f t="shared" si="5"/>
        <v>307</v>
      </c>
      <c r="B326" s="9"/>
      <c r="C326" s="28"/>
      <c r="D326" s="23"/>
      <c r="E326" s="93"/>
      <c r="F326" s="24"/>
      <c r="G326" s="130"/>
      <c r="H326" s="46"/>
      <c r="I326" s="131"/>
      <c r="J326" s="126"/>
      <c r="K326" s="121"/>
      <c r="L326" s="78"/>
      <c r="M326" s="72">
        <f ca="1">IF(INDIRECT(ADDRESS(ROW(),3))&lt;&gt;"",getIBANchecksum(INDIRECT(ADDRESS(ROW(),3))),98)</f>
        <v>98</v>
      </c>
    </row>
    <row r="327" spans="1:13">
      <c r="A327" s="96">
        <f t="shared" si="5"/>
        <v>308</v>
      </c>
      <c r="B327" s="9"/>
      <c r="C327" s="28"/>
      <c r="D327" s="23"/>
      <c r="E327" s="93"/>
      <c r="F327" s="24"/>
      <c r="G327" s="130"/>
      <c r="H327" s="46"/>
      <c r="I327" s="131"/>
      <c r="J327" s="126"/>
      <c r="K327" s="121"/>
      <c r="L327" s="78"/>
      <c r="M327" s="72">
        <f ca="1">IF(INDIRECT(ADDRESS(ROW(),3))&lt;&gt;"",getIBANchecksum(INDIRECT(ADDRESS(ROW(),3))),98)</f>
        <v>98</v>
      </c>
    </row>
    <row r="328" spans="1:13">
      <c r="A328" s="96">
        <f t="shared" si="5"/>
        <v>309</v>
      </c>
      <c r="B328" s="9"/>
      <c r="C328" s="28"/>
      <c r="D328" s="23"/>
      <c r="E328" s="93"/>
      <c r="F328" s="24"/>
      <c r="G328" s="130"/>
      <c r="H328" s="46"/>
      <c r="I328" s="131"/>
      <c r="J328" s="126"/>
      <c r="K328" s="121"/>
      <c r="L328" s="78"/>
      <c r="M328" s="72">
        <f ca="1">IF(INDIRECT(ADDRESS(ROW(),3))&lt;&gt;"",getIBANchecksum(INDIRECT(ADDRESS(ROW(),3))),98)</f>
        <v>98</v>
      </c>
    </row>
    <row r="329" spans="1:13">
      <c r="A329" s="96">
        <f t="shared" si="5"/>
        <v>310</v>
      </c>
      <c r="B329" s="9"/>
      <c r="C329" s="28"/>
      <c r="D329" s="23"/>
      <c r="E329" s="93"/>
      <c r="F329" s="24"/>
      <c r="G329" s="130"/>
      <c r="H329" s="46"/>
      <c r="I329" s="131"/>
      <c r="J329" s="126"/>
      <c r="K329" s="121"/>
      <c r="L329" s="78"/>
      <c r="M329" s="72">
        <f ca="1">IF(INDIRECT(ADDRESS(ROW(),3))&lt;&gt;"",getIBANchecksum(INDIRECT(ADDRESS(ROW(),3))),98)</f>
        <v>98</v>
      </c>
    </row>
    <row r="330" spans="1:13">
      <c r="A330" s="96">
        <f t="shared" si="5"/>
        <v>311</v>
      </c>
      <c r="B330" s="9"/>
      <c r="C330" s="28"/>
      <c r="D330" s="23"/>
      <c r="E330" s="93"/>
      <c r="F330" s="24"/>
      <c r="G330" s="130"/>
      <c r="H330" s="46"/>
      <c r="I330" s="131"/>
      <c r="J330" s="126"/>
      <c r="K330" s="121"/>
      <c r="L330" s="78"/>
      <c r="M330" s="72">
        <f ca="1">IF(INDIRECT(ADDRESS(ROW(),3))&lt;&gt;"",getIBANchecksum(INDIRECT(ADDRESS(ROW(),3))),98)</f>
        <v>98</v>
      </c>
    </row>
    <row r="331" spans="1:13">
      <c r="A331" s="96">
        <f t="shared" si="5"/>
        <v>312</v>
      </c>
      <c r="B331" s="9"/>
      <c r="C331" s="28"/>
      <c r="D331" s="23"/>
      <c r="E331" s="93"/>
      <c r="F331" s="24"/>
      <c r="G331" s="130"/>
      <c r="H331" s="46"/>
      <c r="I331" s="131"/>
      <c r="J331" s="126"/>
      <c r="K331" s="121"/>
      <c r="L331" s="78"/>
      <c r="M331" s="72">
        <f ca="1">IF(INDIRECT(ADDRESS(ROW(),3))&lt;&gt;"",getIBANchecksum(INDIRECT(ADDRESS(ROW(),3))),98)</f>
        <v>98</v>
      </c>
    </row>
    <row r="332" spans="1:13">
      <c r="A332" s="96">
        <f t="shared" si="5"/>
        <v>313</v>
      </c>
      <c r="B332" s="9"/>
      <c r="C332" s="28"/>
      <c r="D332" s="23"/>
      <c r="E332" s="93"/>
      <c r="F332" s="24"/>
      <c r="G332" s="130"/>
      <c r="H332" s="46"/>
      <c r="I332" s="131"/>
      <c r="J332" s="126"/>
      <c r="K332" s="121"/>
      <c r="L332" s="78"/>
      <c r="M332" s="72">
        <f ca="1">IF(INDIRECT(ADDRESS(ROW(),3))&lt;&gt;"",getIBANchecksum(INDIRECT(ADDRESS(ROW(),3))),98)</f>
        <v>98</v>
      </c>
    </row>
    <row r="333" spans="1:13">
      <c r="A333" s="96">
        <f t="shared" si="5"/>
        <v>314</v>
      </c>
      <c r="B333" s="9"/>
      <c r="C333" s="28"/>
      <c r="D333" s="23"/>
      <c r="E333" s="93"/>
      <c r="F333" s="24"/>
      <c r="G333" s="130"/>
      <c r="H333" s="46"/>
      <c r="I333" s="131"/>
      <c r="J333" s="126"/>
      <c r="K333" s="121"/>
      <c r="L333" s="78"/>
      <c r="M333" s="72">
        <f ca="1">IF(INDIRECT(ADDRESS(ROW(),3))&lt;&gt;"",getIBANchecksum(INDIRECT(ADDRESS(ROW(),3))),98)</f>
        <v>98</v>
      </c>
    </row>
    <row r="334" spans="1:13">
      <c r="A334" s="96">
        <f t="shared" si="5"/>
        <v>315</v>
      </c>
      <c r="B334" s="9"/>
      <c r="C334" s="28"/>
      <c r="D334" s="23"/>
      <c r="E334" s="93"/>
      <c r="F334" s="24"/>
      <c r="G334" s="130"/>
      <c r="H334" s="46"/>
      <c r="I334" s="131"/>
      <c r="J334" s="126"/>
      <c r="K334" s="121"/>
      <c r="L334" s="78"/>
      <c r="M334" s="72">
        <f ca="1">IF(INDIRECT(ADDRESS(ROW(),3))&lt;&gt;"",getIBANchecksum(INDIRECT(ADDRESS(ROW(),3))),98)</f>
        <v>98</v>
      </c>
    </row>
    <row r="335" spans="1:13">
      <c r="A335" s="96">
        <f t="shared" si="5"/>
        <v>316</v>
      </c>
      <c r="B335" s="9"/>
      <c r="C335" s="28"/>
      <c r="D335" s="23"/>
      <c r="E335" s="93"/>
      <c r="F335" s="24"/>
      <c r="G335" s="130"/>
      <c r="H335" s="46"/>
      <c r="I335" s="131"/>
      <c r="J335" s="126"/>
      <c r="K335" s="121"/>
      <c r="L335" s="78"/>
      <c r="M335" s="72">
        <f ca="1">IF(INDIRECT(ADDRESS(ROW(),3))&lt;&gt;"",getIBANchecksum(INDIRECT(ADDRESS(ROW(),3))),98)</f>
        <v>98</v>
      </c>
    </row>
    <row r="336" spans="1:13">
      <c r="A336" s="96">
        <f t="shared" si="5"/>
        <v>317</v>
      </c>
      <c r="B336" s="9"/>
      <c r="C336" s="28"/>
      <c r="D336" s="23"/>
      <c r="E336" s="93"/>
      <c r="F336" s="24"/>
      <c r="G336" s="130"/>
      <c r="H336" s="46"/>
      <c r="I336" s="131"/>
      <c r="J336" s="126"/>
      <c r="K336" s="121"/>
      <c r="L336" s="78"/>
      <c r="M336" s="72">
        <f ca="1">IF(INDIRECT(ADDRESS(ROW(),3))&lt;&gt;"",getIBANchecksum(INDIRECT(ADDRESS(ROW(),3))),98)</f>
        <v>98</v>
      </c>
    </row>
    <row r="337" spans="1:13">
      <c r="A337" s="96">
        <f t="shared" si="5"/>
        <v>318</v>
      </c>
      <c r="B337" s="9"/>
      <c r="C337" s="28"/>
      <c r="D337" s="23"/>
      <c r="E337" s="93"/>
      <c r="F337" s="24"/>
      <c r="G337" s="130"/>
      <c r="H337" s="46"/>
      <c r="I337" s="131"/>
      <c r="J337" s="126"/>
      <c r="K337" s="121"/>
      <c r="L337" s="78"/>
      <c r="M337" s="72">
        <f ca="1">IF(INDIRECT(ADDRESS(ROW(),3))&lt;&gt;"",getIBANchecksum(INDIRECT(ADDRESS(ROW(),3))),98)</f>
        <v>98</v>
      </c>
    </row>
    <row r="338" spans="1:13">
      <c r="A338" s="96">
        <f t="shared" si="5"/>
        <v>319</v>
      </c>
      <c r="B338" s="9"/>
      <c r="C338" s="28"/>
      <c r="D338" s="23"/>
      <c r="E338" s="93"/>
      <c r="F338" s="24"/>
      <c r="G338" s="130"/>
      <c r="H338" s="46"/>
      <c r="I338" s="131"/>
      <c r="J338" s="126"/>
      <c r="K338" s="121"/>
      <c r="L338" s="78"/>
      <c r="M338" s="72">
        <f ca="1">IF(INDIRECT(ADDRESS(ROW(),3))&lt;&gt;"",getIBANchecksum(INDIRECT(ADDRESS(ROW(),3))),98)</f>
        <v>98</v>
      </c>
    </row>
    <row r="339" spans="1:13">
      <c r="A339" s="96">
        <f t="shared" si="5"/>
        <v>320</v>
      </c>
      <c r="B339" s="9"/>
      <c r="C339" s="28"/>
      <c r="D339" s="23"/>
      <c r="E339" s="93"/>
      <c r="F339" s="24"/>
      <c r="G339" s="130"/>
      <c r="H339" s="46"/>
      <c r="I339" s="131"/>
      <c r="J339" s="126"/>
      <c r="K339" s="121"/>
      <c r="L339" s="78"/>
      <c r="M339" s="72">
        <f ca="1">IF(INDIRECT(ADDRESS(ROW(),3))&lt;&gt;"",getIBANchecksum(INDIRECT(ADDRESS(ROW(),3))),98)</f>
        <v>98</v>
      </c>
    </row>
    <row r="340" spans="1:13">
      <c r="A340" s="96">
        <f t="shared" si="5"/>
        <v>321</v>
      </c>
      <c r="B340" s="9"/>
      <c r="C340" s="28"/>
      <c r="D340" s="23"/>
      <c r="E340" s="93"/>
      <c r="F340" s="24"/>
      <c r="G340" s="130"/>
      <c r="H340" s="46"/>
      <c r="I340" s="131"/>
      <c r="J340" s="126"/>
      <c r="K340" s="121"/>
      <c r="L340" s="78"/>
      <c r="M340" s="72">
        <f ca="1">IF(INDIRECT(ADDRESS(ROW(),3))&lt;&gt;"",getIBANchecksum(INDIRECT(ADDRESS(ROW(),3))),98)</f>
        <v>98</v>
      </c>
    </row>
    <row r="341" spans="1:13">
      <c r="A341" s="96">
        <f t="shared" si="5"/>
        <v>322</v>
      </c>
      <c r="B341" s="9"/>
      <c r="C341" s="28"/>
      <c r="D341" s="23"/>
      <c r="E341" s="93"/>
      <c r="F341" s="24"/>
      <c r="G341" s="130"/>
      <c r="H341" s="46"/>
      <c r="I341" s="131"/>
      <c r="J341" s="126"/>
      <c r="K341" s="121"/>
      <c r="L341" s="78"/>
      <c r="M341" s="72">
        <f ca="1">IF(INDIRECT(ADDRESS(ROW(),3))&lt;&gt;"",getIBANchecksum(INDIRECT(ADDRESS(ROW(),3))),98)</f>
        <v>98</v>
      </c>
    </row>
    <row r="342" spans="1:13">
      <c r="A342" s="96">
        <f t="shared" ref="A342:A405" si="6">A341+1</f>
        <v>323</v>
      </c>
      <c r="B342" s="9"/>
      <c r="C342" s="28"/>
      <c r="D342" s="23"/>
      <c r="E342" s="93"/>
      <c r="F342" s="24"/>
      <c r="G342" s="130"/>
      <c r="H342" s="46"/>
      <c r="I342" s="131"/>
      <c r="J342" s="126"/>
      <c r="K342" s="121"/>
      <c r="L342" s="78"/>
      <c r="M342" s="72">
        <f ca="1">IF(INDIRECT(ADDRESS(ROW(),3))&lt;&gt;"",getIBANchecksum(INDIRECT(ADDRESS(ROW(),3))),98)</f>
        <v>98</v>
      </c>
    </row>
    <row r="343" spans="1:13">
      <c r="A343" s="96">
        <f t="shared" si="6"/>
        <v>324</v>
      </c>
      <c r="B343" s="9"/>
      <c r="C343" s="28"/>
      <c r="D343" s="23"/>
      <c r="E343" s="93"/>
      <c r="F343" s="24"/>
      <c r="G343" s="130"/>
      <c r="H343" s="46"/>
      <c r="I343" s="131"/>
      <c r="J343" s="126"/>
      <c r="K343" s="121"/>
      <c r="L343" s="78"/>
      <c r="M343" s="72">
        <f ca="1">IF(INDIRECT(ADDRESS(ROW(),3))&lt;&gt;"",getIBANchecksum(INDIRECT(ADDRESS(ROW(),3))),98)</f>
        <v>98</v>
      </c>
    </row>
    <row r="344" spans="1:13">
      <c r="A344" s="96">
        <f t="shared" si="6"/>
        <v>325</v>
      </c>
      <c r="B344" s="9"/>
      <c r="C344" s="28"/>
      <c r="D344" s="23"/>
      <c r="E344" s="93"/>
      <c r="F344" s="24"/>
      <c r="G344" s="130"/>
      <c r="H344" s="46"/>
      <c r="I344" s="131"/>
      <c r="J344" s="126"/>
      <c r="K344" s="121"/>
      <c r="L344" s="78"/>
      <c r="M344" s="72">
        <f ca="1">IF(INDIRECT(ADDRESS(ROW(),3))&lt;&gt;"",getIBANchecksum(INDIRECT(ADDRESS(ROW(),3))),98)</f>
        <v>98</v>
      </c>
    </row>
    <row r="345" spans="1:13">
      <c r="A345" s="96">
        <f t="shared" si="6"/>
        <v>326</v>
      </c>
      <c r="B345" s="9"/>
      <c r="C345" s="28"/>
      <c r="D345" s="23"/>
      <c r="E345" s="93"/>
      <c r="F345" s="24"/>
      <c r="G345" s="130"/>
      <c r="H345" s="46"/>
      <c r="I345" s="131"/>
      <c r="J345" s="126"/>
      <c r="K345" s="121"/>
      <c r="L345" s="78"/>
      <c r="M345" s="72">
        <f ca="1">IF(INDIRECT(ADDRESS(ROW(),3))&lt;&gt;"",getIBANchecksum(INDIRECT(ADDRESS(ROW(),3))),98)</f>
        <v>98</v>
      </c>
    </row>
    <row r="346" spans="1:13">
      <c r="A346" s="96">
        <f t="shared" si="6"/>
        <v>327</v>
      </c>
      <c r="B346" s="9"/>
      <c r="C346" s="28"/>
      <c r="D346" s="23"/>
      <c r="E346" s="93"/>
      <c r="F346" s="24"/>
      <c r="G346" s="130"/>
      <c r="H346" s="46"/>
      <c r="I346" s="131"/>
      <c r="J346" s="126"/>
      <c r="K346" s="121"/>
      <c r="L346" s="78"/>
      <c r="M346" s="72">
        <f ca="1">IF(INDIRECT(ADDRESS(ROW(),3))&lt;&gt;"",getIBANchecksum(INDIRECT(ADDRESS(ROW(),3))),98)</f>
        <v>98</v>
      </c>
    </row>
    <row r="347" spans="1:13">
      <c r="A347" s="96">
        <f t="shared" si="6"/>
        <v>328</v>
      </c>
      <c r="B347" s="9"/>
      <c r="C347" s="28"/>
      <c r="D347" s="23"/>
      <c r="E347" s="93"/>
      <c r="F347" s="24"/>
      <c r="G347" s="130"/>
      <c r="H347" s="46"/>
      <c r="I347" s="131"/>
      <c r="J347" s="126"/>
      <c r="K347" s="121"/>
      <c r="L347" s="78"/>
      <c r="M347" s="72">
        <f ca="1">IF(INDIRECT(ADDRESS(ROW(),3))&lt;&gt;"",getIBANchecksum(INDIRECT(ADDRESS(ROW(),3))),98)</f>
        <v>98</v>
      </c>
    </row>
    <row r="348" spans="1:13">
      <c r="A348" s="96">
        <f t="shared" si="6"/>
        <v>329</v>
      </c>
      <c r="B348" s="9"/>
      <c r="C348" s="28"/>
      <c r="D348" s="23"/>
      <c r="E348" s="93"/>
      <c r="F348" s="24"/>
      <c r="G348" s="130"/>
      <c r="H348" s="46"/>
      <c r="I348" s="131"/>
      <c r="J348" s="126"/>
      <c r="K348" s="121"/>
      <c r="L348" s="78"/>
      <c r="M348" s="72">
        <f ca="1">IF(INDIRECT(ADDRESS(ROW(),3))&lt;&gt;"",getIBANchecksum(INDIRECT(ADDRESS(ROW(),3))),98)</f>
        <v>98</v>
      </c>
    </row>
    <row r="349" spans="1:13">
      <c r="A349" s="96">
        <f t="shared" si="6"/>
        <v>330</v>
      </c>
      <c r="B349" s="9"/>
      <c r="C349" s="28"/>
      <c r="D349" s="23"/>
      <c r="E349" s="93"/>
      <c r="F349" s="24"/>
      <c r="G349" s="130"/>
      <c r="H349" s="46"/>
      <c r="I349" s="131"/>
      <c r="J349" s="126"/>
      <c r="K349" s="121"/>
      <c r="L349" s="78"/>
      <c r="M349" s="72">
        <f ca="1">IF(INDIRECT(ADDRESS(ROW(),3))&lt;&gt;"",getIBANchecksum(INDIRECT(ADDRESS(ROW(),3))),98)</f>
        <v>98</v>
      </c>
    </row>
    <row r="350" spans="1:13">
      <c r="A350" s="96">
        <f t="shared" si="6"/>
        <v>331</v>
      </c>
      <c r="B350" s="9"/>
      <c r="C350" s="28"/>
      <c r="D350" s="23"/>
      <c r="E350" s="93"/>
      <c r="F350" s="24"/>
      <c r="G350" s="130"/>
      <c r="H350" s="46"/>
      <c r="I350" s="131"/>
      <c r="J350" s="126"/>
      <c r="K350" s="121"/>
      <c r="L350" s="78"/>
      <c r="M350" s="72">
        <f ca="1">IF(INDIRECT(ADDRESS(ROW(),3))&lt;&gt;"",getIBANchecksum(INDIRECT(ADDRESS(ROW(),3))),98)</f>
        <v>98</v>
      </c>
    </row>
    <row r="351" spans="1:13">
      <c r="A351" s="96">
        <f t="shared" si="6"/>
        <v>332</v>
      </c>
      <c r="B351" s="9"/>
      <c r="C351" s="28"/>
      <c r="D351" s="23"/>
      <c r="E351" s="93"/>
      <c r="F351" s="24"/>
      <c r="G351" s="130"/>
      <c r="H351" s="46"/>
      <c r="I351" s="131"/>
      <c r="J351" s="126"/>
      <c r="K351" s="121"/>
      <c r="L351" s="78"/>
      <c r="M351" s="72">
        <f ca="1">IF(INDIRECT(ADDRESS(ROW(),3))&lt;&gt;"",getIBANchecksum(INDIRECT(ADDRESS(ROW(),3))),98)</f>
        <v>98</v>
      </c>
    </row>
    <row r="352" spans="1:13">
      <c r="A352" s="96">
        <f t="shared" si="6"/>
        <v>333</v>
      </c>
      <c r="B352" s="9"/>
      <c r="C352" s="28"/>
      <c r="D352" s="23"/>
      <c r="E352" s="93"/>
      <c r="F352" s="24"/>
      <c r="G352" s="130"/>
      <c r="H352" s="46"/>
      <c r="I352" s="131"/>
      <c r="J352" s="126"/>
      <c r="K352" s="121"/>
      <c r="L352" s="78"/>
      <c r="M352" s="72">
        <f ca="1">IF(INDIRECT(ADDRESS(ROW(),3))&lt;&gt;"",getIBANchecksum(INDIRECT(ADDRESS(ROW(),3))),98)</f>
        <v>98</v>
      </c>
    </row>
    <row r="353" spans="1:13">
      <c r="A353" s="96">
        <f t="shared" si="6"/>
        <v>334</v>
      </c>
      <c r="B353" s="9"/>
      <c r="C353" s="28"/>
      <c r="D353" s="23"/>
      <c r="E353" s="93"/>
      <c r="F353" s="24"/>
      <c r="G353" s="130"/>
      <c r="H353" s="46"/>
      <c r="I353" s="131"/>
      <c r="J353" s="126"/>
      <c r="K353" s="121"/>
      <c r="L353" s="78"/>
      <c r="M353" s="72">
        <f ca="1">IF(INDIRECT(ADDRESS(ROW(),3))&lt;&gt;"",getIBANchecksum(INDIRECT(ADDRESS(ROW(),3))),98)</f>
        <v>98</v>
      </c>
    </row>
    <row r="354" spans="1:13">
      <c r="A354" s="96">
        <f t="shared" si="6"/>
        <v>335</v>
      </c>
      <c r="B354" s="9"/>
      <c r="C354" s="28"/>
      <c r="D354" s="23"/>
      <c r="E354" s="93"/>
      <c r="F354" s="24"/>
      <c r="G354" s="130"/>
      <c r="H354" s="46"/>
      <c r="I354" s="131"/>
      <c r="J354" s="126"/>
      <c r="K354" s="121"/>
      <c r="L354" s="78"/>
      <c r="M354" s="72">
        <f ca="1">IF(INDIRECT(ADDRESS(ROW(),3))&lt;&gt;"",getIBANchecksum(INDIRECT(ADDRESS(ROW(),3))),98)</f>
        <v>98</v>
      </c>
    </row>
    <row r="355" spans="1:13">
      <c r="A355" s="96">
        <f t="shared" si="6"/>
        <v>336</v>
      </c>
      <c r="B355" s="9"/>
      <c r="C355" s="28"/>
      <c r="D355" s="23"/>
      <c r="E355" s="93"/>
      <c r="F355" s="24"/>
      <c r="G355" s="130"/>
      <c r="H355" s="46"/>
      <c r="I355" s="131"/>
      <c r="J355" s="126"/>
      <c r="K355" s="121"/>
      <c r="L355" s="78"/>
      <c r="M355" s="72">
        <f ca="1">IF(INDIRECT(ADDRESS(ROW(),3))&lt;&gt;"",getIBANchecksum(INDIRECT(ADDRESS(ROW(),3))),98)</f>
        <v>98</v>
      </c>
    </row>
    <row r="356" spans="1:13">
      <c r="A356" s="96">
        <f t="shared" si="6"/>
        <v>337</v>
      </c>
      <c r="B356" s="9"/>
      <c r="C356" s="28"/>
      <c r="D356" s="23"/>
      <c r="E356" s="93"/>
      <c r="F356" s="24"/>
      <c r="G356" s="130"/>
      <c r="H356" s="46"/>
      <c r="I356" s="131"/>
      <c r="J356" s="126"/>
      <c r="K356" s="121"/>
      <c r="L356" s="78"/>
      <c r="M356" s="72">
        <f ca="1">IF(INDIRECT(ADDRESS(ROW(),3))&lt;&gt;"",getIBANchecksum(INDIRECT(ADDRESS(ROW(),3))),98)</f>
        <v>98</v>
      </c>
    </row>
    <row r="357" spans="1:13">
      <c r="A357" s="96">
        <f t="shared" si="6"/>
        <v>338</v>
      </c>
      <c r="B357" s="9"/>
      <c r="C357" s="28"/>
      <c r="D357" s="23"/>
      <c r="E357" s="93"/>
      <c r="F357" s="24"/>
      <c r="G357" s="130"/>
      <c r="H357" s="46"/>
      <c r="I357" s="131"/>
      <c r="J357" s="126"/>
      <c r="K357" s="121"/>
      <c r="L357" s="78"/>
      <c r="M357" s="72">
        <f ca="1">IF(INDIRECT(ADDRESS(ROW(),3))&lt;&gt;"",getIBANchecksum(INDIRECT(ADDRESS(ROW(),3))),98)</f>
        <v>98</v>
      </c>
    </row>
    <row r="358" spans="1:13">
      <c r="A358" s="96">
        <f t="shared" si="6"/>
        <v>339</v>
      </c>
      <c r="B358" s="9"/>
      <c r="C358" s="28"/>
      <c r="D358" s="23"/>
      <c r="E358" s="93"/>
      <c r="F358" s="24"/>
      <c r="G358" s="130"/>
      <c r="H358" s="46"/>
      <c r="I358" s="131"/>
      <c r="J358" s="126"/>
      <c r="K358" s="121"/>
      <c r="L358" s="78"/>
      <c r="M358" s="72">
        <f ca="1">IF(INDIRECT(ADDRESS(ROW(),3))&lt;&gt;"",getIBANchecksum(INDIRECT(ADDRESS(ROW(),3))),98)</f>
        <v>98</v>
      </c>
    </row>
    <row r="359" spans="1:13">
      <c r="A359" s="96">
        <f t="shared" si="6"/>
        <v>340</v>
      </c>
      <c r="B359" s="9"/>
      <c r="C359" s="28"/>
      <c r="D359" s="23"/>
      <c r="E359" s="93"/>
      <c r="F359" s="24"/>
      <c r="G359" s="130"/>
      <c r="H359" s="46"/>
      <c r="I359" s="131"/>
      <c r="J359" s="126"/>
      <c r="K359" s="121"/>
      <c r="L359" s="78"/>
      <c r="M359" s="72">
        <f ca="1">IF(INDIRECT(ADDRESS(ROW(),3))&lt;&gt;"",getIBANchecksum(INDIRECT(ADDRESS(ROW(),3))),98)</f>
        <v>98</v>
      </c>
    </row>
    <row r="360" spans="1:13">
      <c r="A360" s="96">
        <f t="shared" si="6"/>
        <v>341</v>
      </c>
      <c r="B360" s="9"/>
      <c r="C360" s="28"/>
      <c r="D360" s="23"/>
      <c r="E360" s="93"/>
      <c r="F360" s="24"/>
      <c r="G360" s="130"/>
      <c r="H360" s="46"/>
      <c r="I360" s="131"/>
      <c r="J360" s="126"/>
      <c r="K360" s="121"/>
      <c r="L360" s="78"/>
      <c r="M360" s="72">
        <f ca="1">IF(INDIRECT(ADDRESS(ROW(),3))&lt;&gt;"",getIBANchecksum(INDIRECT(ADDRESS(ROW(),3))),98)</f>
        <v>98</v>
      </c>
    </row>
    <row r="361" spans="1:13">
      <c r="A361" s="96">
        <f t="shared" si="6"/>
        <v>342</v>
      </c>
      <c r="B361" s="9"/>
      <c r="C361" s="28"/>
      <c r="D361" s="23"/>
      <c r="E361" s="93"/>
      <c r="F361" s="24"/>
      <c r="G361" s="130"/>
      <c r="H361" s="46"/>
      <c r="I361" s="131"/>
      <c r="J361" s="126"/>
      <c r="K361" s="121"/>
      <c r="L361" s="78"/>
      <c r="M361" s="72">
        <f ca="1">IF(INDIRECT(ADDRESS(ROW(),3))&lt;&gt;"",getIBANchecksum(INDIRECT(ADDRESS(ROW(),3))),98)</f>
        <v>98</v>
      </c>
    </row>
    <row r="362" spans="1:13">
      <c r="A362" s="96">
        <f t="shared" si="6"/>
        <v>343</v>
      </c>
      <c r="B362" s="9"/>
      <c r="C362" s="28"/>
      <c r="D362" s="23"/>
      <c r="E362" s="93"/>
      <c r="F362" s="24"/>
      <c r="G362" s="130"/>
      <c r="H362" s="46"/>
      <c r="I362" s="131"/>
      <c r="J362" s="126"/>
      <c r="K362" s="121"/>
      <c r="L362" s="78"/>
      <c r="M362" s="72">
        <f ca="1">IF(INDIRECT(ADDRESS(ROW(),3))&lt;&gt;"",getIBANchecksum(INDIRECT(ADDRESS(ROW(),3))),98)</f>
        <v>98</v>
      </c>
    </row>
    <row r="363" spans="1:13">
      <c r="A363" s="96">
        <f t="shared" si="6"/>
        <v>344</v>
      </c>
      <c r="B363" s="9"/>
      <c r="C363" s="28"/>
      <c r="D363" s="23"/>
      <c r="E363" s="93"/>
      <c r="F363" s="24"/>
      <c r="G363" s="130"/>
      <c r="H363" s="46"/>
      <c r="I363" s="131"/>
      <c r="J363" s="126"/>
      <c r="K363" s="121"/>
      <c r="L363" s="78"/>
      <c r="M363" s="72">
        <f ca="1">IF(INDIRECT(ADDRESS(ROW(),3))&lt;&gt;"",getIBANchecksum(INDIRECT(ADDRESS(ROW(),3))),98)</f>
        <v>98</v>
      </c>
    </row>
    <row r="364" spans="1:13">
      <c r="A364" s="96">
        <f t="shared" si="6"/>
        <v>345</v>
      </c>
      <c r="B364" s="9"/>
      <c r="C364" s="28"/>
      <c r="D364" s="23"/>
      <c r="E364" s="93"/>
      <c r="F364" s="24"/>
      <c r="G364" s="130"/>
      <c r="H364" s="46"/>
      <c r="I364" s="131"/>
      <c r="J364" s="126"/>
      <c r="K364" s="121"/>
      <c r="L364" s="78"/>
      <c r="M364" s="72">
        <f ca="1">IF(INDIRECT(ADDRESS(ROW(),3))&lt;&gt;"",getIBANchecksum(INDIRECT(ADDRESS(ROW(),3))),98)</f>
        <v>98</v>
      </c>
    </row>
    <row r="365" spans="1:13">
      <c r="A365" s="96">
        <f t="shared" si="6"/>
        <v>346</v>
      </c>
      <c r="B365" s="9"/>
      <c r="C365" s="28"/>
      <c r="D365" s="23"/>
      <c r="E365" s="93"/>
      <c r="F365" s="24"/>
      <c r="G365" s="130"/>
      <c r="H365" s="46"/>
      <c r="I365" s="131"/>
      <c r="J365" s="126"/>
      <c r="K365" s="121"/>
      <c r="L365" s="78"/>
      <c r="M365" s="72">
        <f ca="1">IF(INDIRECT(ADDRESS(ROW(),3))&lt;&gt;"",getIBANchecksum(INDIRECT(ADDRESS(ROW(),3))),98)</f>
        <v>98</v>
      </c>
    </row>
    <row r="366" spans="1:13">
      <c r="A366" s="96">
        <f t="shared" si="6"/>
        <v>347</v>
      </c>
      <c r="B366" s="9"/>
      <c r="C366" s="28"/>
      <c r="D366" s="23"/>
      <c r="E366" s="93"/>
      <c r="F366" s="24"/>
      <c r="G366" s="130"/>
      <c r="H366" s="46"/>
      <c r="I366" s="131"/>
      <c r="J366" s="126"/>
      <c r="K366" s="121"/>
      <c r="L366" s="78"/>
      <c r="M366" s="72">
        <f ca="1">IF(INDIRECT(ADDRESS(ROW(),3))&lt;&gt;"",getIBANchecksum(INDIRECT(ADDRESS(ROW(),3))),98)</f>
        <v>98</v>
      </c>
    </row>
    <row r="367" spans="1:13">
      <c r="A367" s="96">
        <f t="shared" si="6"/>
        <v>348</v>
      </c>
      <c r="B367" s="9"/>
      <c r="C367" s="28"/>
      <c r="D367" s="23"/>
      <c r="E367" s="93"/>
      <c r="F367" s="24"/>
      <c r="G367" s="130"/>
      <c r="H367" s="46"/>
      <c r="I367" s="131"/>
      <c r="J367" s="126"/>
      <c r="K367" s="121"/>
      <c r="L367" s="78"/>
      <c r="M367" s="72">
        <f ca="1">IF(INDIRECT(ADDRESS(ROW(),3))&lt;&gt;"",getIBANchecksum(INDIRECT(ADDRESS(ROW(),3))),98)</f>
        <v>98</v>
      </c>
    </row>
    <row r="368" spans="1:13">
      <c r="A368" s="96">
        <f t="shared" si="6"/>
        <v>349</v>
      </c>
      <c r="B368" s="9"/>
      <c r="C368" s="28"/>
      <c r="D368" s="23"/>
      <c r="E368" s="93"/>
      <c r="F368" s="24"/>
      <c r="G368" s="130"/>
      <c r="H368" s="46"/>
      <c r="I368" s="131"/>
      <c r="J368" s="126"/>
      <c r="K368" s="121"/>
      <c r="L368" s="78"/>
      <c r="M368" s="72">
        <f ca="1">IF(INDIRECT(ADDRESS(ROW(),3))&lt;&gt;"",getIBANchecksum(INDIRECT(ADDRESS(ROW(),3))),98)</f>
        <v>98</v>
      </c>
    </row>
    <row r="369" spans="1:13">
      <c r="A369" s="96">
        <f t="shared" si="6"/>
        <v>350</v>
      </c>
      <c r="B369" s="9"/>
      <c r="C369" s="28"/>
      <c r="D369" s="23"/>
      <c r="E369" s="93"/>
      <c r="F369" s="24"/>
      <c r="G369" s="130"/>
      <c r="H369" s="46"/>
      <c r="I369" s="131"/>
      <c r="J369" s="126"/>
      <c r="K369" s="121"/>
      <c r="L369" s="78"/>
      <c r="M369" s="72">
        <f ca="1">IF(INDIRECT(ADDRESS(ROW(),3))&lt;&gt;"",getIBANchecksum(INDIRECT(ADDRESS(ROW(),3))),98)</f>
        <v>98</v>
      </c>
    </row>
    <row r="370" spans="1:13">
      <c r="A370" s="96">
        <f t="shared" si="6"/>
        <v>351</v>
      </c>
      <c r="B370" s="9"/>
      <c r="C370" s="28"/>
      <c r="D370" s="23"/>
      <c r="E370" s="93"/>
      <c r="F370" s="24"/>
      <c r="G370" s="130"/>
      <c r="H370" s="46"/>
      <c r="I370" s="131"/>
      <c r="J370" s="126"/>
      <c r="K370" s="121"/>
      <c r="L370" s="78"/>
      <c r="M370" s="72">
        <f ca="1">IF(INDIRECT(ADDRESS(ROW(),3))&lt;&gt;"",getIBANchecksum(INDIRECT(ADDRESS(ROW(),3))),98)</f>
        <v>98</v>
      </c>
    </row>
    <row r="371" spans="1:13">
      <c r="A371" s="96">
        <f t="shared" si="6"/>
        <v>352</v>
      </c>
      <c r="B371" s="9"/>
      <c r="C371" s="28"/>
      <c r="D371" s="23"/>
      <c r="E371" s="93"/>
      <c r="F371" s="24"/>
      <c r="G371" s="130"/>
      <c r="H371" s="46"/>
      <c r="I371" s="131"/>
      <c r="J371" s="126"/>
      <c r="K371" s="121"/>
      <c r="L371" s="78"/>
      <c r="M371" s="72">
        <f ca="1">IF(INDIRECT(ADDRESS(ROW(),3))&lt;&gt;"",getIBANchecksum(INDIRECT(ADDRESS(ROW(),3))),98)</f>
        <v>98</v>
      </c>
    </row>
    <row r="372" spans="1:13">
      <c r="A372" s="96">
        <f t="shared" si="6"/>
        <v>353</v>
      </c>
      <c r="B372" s="9"/>
      <c r="C372" s="28"/>
      <c r="D372" s="23"/>
      <c r="E372" s="93"/>
      <c r="F372" s="24"/>
      <c r="G372" s="130"/>
      <c r="H372" s="46"/>
      <c r="I372" s="131"/>
      <c r="J372" s="126"/>
      <c r="K372" s="121"/>
      <c r="L372" s="78"/>
      <c r="M372" s="72">
        <f ca="1">IF(INDIRECT(ADDRESS(ROW(),3))&lt;&gt;"",getIBANchecksum(INDIRECT(ADDRESS(ROW(),3))),98)</f>
        <v>98</v>
      </c>
    </row>
    <row r="373" spans="1:13">
      <c r="A373" s="96">
        <f t="shared" si="6"/>
        <v>354</v>
      </c>
      <c r="B373" s="9"/>
      <c r="C373" s="28"/>
      <c r="D373" s="23"/>
      <c r="E373" s="93"/>
      <c r="F373" s="24"/>
      <c r="G373" s="130"/>
      <c r="H373" s="46"/>
      <c r="I373" s="131"/>
      <c r="J373" s="126"/>
      <c r="K373" s="121"/>
      <c r="L373" s="78"/>
      <c r="M373" s="72">
        <f ca="1">IF(INDIRECT(ADDRESS(ROW(),3))&lt;&gt;"",getIBANchecksum(INDIRECT(ADDRESS(ROW(),3))),98)</f>
        <v>98</v>
      </c>
    </row>
    <row r="374" spans="1:13">
      <c r="A374" s="96">
        <f t="shared" si="6"/>
        <v>355</v>
      </c>
      <c r="B374" s="9"/>
      <c r="C374" s="28"/>
      <c r="D374" s="23"/>
      <c r="E374" s="93"/>
      <c r="F374" s="24"/>
      <c r="G374" s="130"/>
      <c r="H374" s="46"/>
      <c r="I374" s="131"/>
      <c r="J374" s="126"/>
      <c r="K374" s="121"/>
      <c r="L374" s="78"/>
      <c r="M374" s="72">
        <f ca="1">IF(INDIRECT(ADDRESS(ROW(),3))&lt;&gt;"",getIBANchecksum(INDIRECT(ADDRESS(ROW(),3))),98)</f>
        <v>98</v>
      </c>
    </row>
    <row r="375" spans="1:13">
      <c r="A375" s="96">
        <f t="shared" si="6"/>
        <v>356</v>
      </c>
      <c r="B375" s="9"/>
      <c r="C375" s="28"/>
      <c r="D375" s="23"/>
      <c r="E375" s="93"/>
      <c r="F375" s="24"/>
      <c r="G375" s="130"/>
      <c r="H375" s="46"/>
      <c r="I375" s="131"/>
      <c r="J375" s="126"/>
      <c r="K375" s="121"/>
      <c r="L375" s="78"/>
      <c r="M375" s="72">
        <f ca="1">IF(INDIRECT(ADDRESS(ROW(),3))&lt;&gt;"",getIBANchecksum(INDIRECT(ADDRESS(ROW(),3))),98)</f>
        <v>98</v>
      </c>
    </row>
    <row r="376" spans="1:13">
      <c r="A376" s="96">
        <f t="shared" si="6"/>
        <v>357</v>
      </c>
      <c r="B376" s="9"/>
      <c r="C376" s="28"/>
      <c r="D376" s="23"/>
      <c r="E376" s="93"/>
      <c r="F376" s="24"/>
      <c r="G376" s="130"/>
      <c r="H376" s="46"/>
      <c r="I376" s="131"/>
      <c r="J376" s="126"/>
      <c r="K376" s="121"/>
      <c r="L376" s="78"/>
      <c r="M376" s="72">
        <f ca="1">IF(INDIRECT(ADDRESS(ROW(),3))&lt;&gt;"",getIBANchecksum(INDIRECT(ADDRESS(ROW(),3))),98)</f>
        <v>98</v>
      </c>
    </row>
    <row r="377" spans="1:13">
      <c r="A377" s="96">
        <f t="shared" si="6"/>
        <v>358</v>
      </c>
      <c r="B377" s="9"/>
      <c r="C377" s="28"/>
      <c r="D377" s="23"/>
      <c r="E377" s="93"/>
      <c r="F377" s="24"/>
      <c r="G377" s="130"/>
      <c r="H377" s="46"/>
      <c r="I377" s="131"/>
      <c r="J377" s="126"/>
      <c r="K377" s="121"/>
      <c r="L377" s="78"/>
      <c r="M377" s="72">
        <f ca="1">IF(INDIRECT(ADDRESS(ROW(),3))&lt;&gt;"",getIBANchecksum(INDIRECT(ADDRESS(ROW(),3))),98)</f>
        <v>98</v>
      </c>
    </row>
    <row r="378" spans="1:13">
      <c r="A378" s="96">
        <f t="shared" si="6"/>
        <v>359</v>
      </c>
      <c r="B378" s="9"/>
      <c r="C378" s="28"/>
      <c r="D378" s="23"/>
      <c r="E378" s="93"/>
      <c r="F378" s="24"/>
      <c r="G378" s="130"/>
      <c r="H378" s="46"/>
      <c r="I378" s="131"/>
      <c r="J378" s="126"/>
      <c r="K378" s="121"/>
      <c r="L378" s="78"/>
      <c r="M378" s="72">
        <f ca="1">IF(INDIRECT(ADDRESS(ROW(),3))&lt;&gt;"",getIBANchecksum(INDIRECT(ADDRESS(ROW(),3))),98)</f>
        <v>98</v>
      </c>
    </row>
    <row r="379" spans="1:13">
      <c r="A379" s="96">
        <f t="shared" si="6"/>
        <v>360</v>
      </c>
      <c r="B379" s="9"/>
      <c r="C379" s="28"/>
      <c r="D379" s="23"/>
      <c r="E379" s="93"/>
      <c r="F379" s="24"/>
      <c r="G379" s="130"/>
      <c r="H379" s="46"/>
      <c r="I379" s="131"/>
      <c r="J379" s="126"/>
      <c r="K379" s="121"/>
      <c r="L379" s="78"/>
      <c r="M379" s="72">
        <f ca="1">IF(INDIRECT(ADDRESS(ROW(),3))&lt;&gt;"",getIBANchecksum(INDIRECT(ADDRESS(ROW(),3))),98)</f>
        <v>98</v>
      </c>
    </row>
    <row r="380" spans="1:13">
      <c r="A380" s="96">
        <f t="shared" si="6"/>
        <v>361</v>
      </c>
      <c r="B380" s="9"/>
      <c r="C380" s="28"/>
      <c r="D380" s="23"/>
      <c r="E380" s="93"/>
      <c r="F380" s="24"/>
      <c r="G380" s="130"/>
      <c r="H380" s="46"/>
      <c r="I380" s="131"/>
      <c r="J380" s="126"/>
      <c r="K380" s="121"/>
      <c r="L380" s="78"/>
      <c r="M380" s="72">
        <f ca="1">IF(INDIRECT(ADDRESS(ROW(),3))&lt;&gt;"",getIBANchecksum(INDIRECT(ADDRESS(ROW(),3))),98)</f>
        <v>98</v>
      </c>
    </row>
    <row r="381" spans="1:13">
      <c r="A381" s="96">
        <f t="shared" si="6"/>
        <v>362</v>
      </c>
      <c r="B381" s="9"/>
      <c r="C381" s="28"/>
      <c r="D381" s="23"/>
      <c r="E381" s="93"/>
      <c r="F381" s="24"/>
      <c r="G381" s="130"/>
      <c r="H381" s="46"/>
      <c r="I381" s="131"/>
      <c r="J381" s="126"/>
      <c r="K381" s="121"/>
      <c r="L381" s="78"/>
      <c r="M381" s="72">
        <f ca="1">IF(INDIRECT(ADDRESS(ROW(),3))&lt;&gt;"",getIBANchecksum(INDIRECT(ADDRESS(ROW(),3))),98)</f>
        <v>98</v>
      </c>
    </row>
    <row r="382" spans="1:13">
      <c r="A382" s="96">
        <f t="shared" si="6"/>
        <v>363</v>
      </c>
      <c r="B382" s="9"/>
      <c r="C382" s="28"/>
      <c r="D382" s="23"/>
      <c r="E382" s="93"/>
      <c r="F382" s="24"/>
      <c r="G382" s="130"/>
      <c r="H382" s="46"/>
      <c r="I382" s="131"/>
      <c r="J382" s="126"/>
      <c r="K382" s="121"/>
      <c r="L382" s="78"/>
      <c r="M382" s="72">
        <f ca="1">IF(INDIRECT(ADDRESS(ROW(),3))&lt;&gt;"",getIBANchecksum(INDIRECT(ADDRESS(ROW(),3))),98)</f>
        <v>98</v>
      </c>
    </row>
    <row r="383" spans="1:13">
      <c r="A383" s="96">
        <f t="shared" si="6"/>
        <v>364</v>
      </c>
      <c r="B383" s="9"/>
      <c r="C383" s="28"/>
      <c r="D383" s="23"/>
      <c r="E383" s="93"/>
      <c r="F383" s="24"/>
      <c r="G383" s="130"/>
      <c r="H383" s="46"/>
      <c r="I383" s="131"/>
      <c r="J383" s="126"/>
      <c r="K383" s="121"/>
      <c r="L383" s="78"/>
      <c r="M383" s="72">
        <f ca="1">IF(INDIRECT(ADDRESS(ROW(),3))&lt;&gt;"",getIBANchecksum(INDIRECT(ADDRESS(ROW(),3))),98)</f>
        <v>98</v>
      </c>
    </row>
    <row r="384" spans="1:13">
      <c r="A384" s="96">
        <f t="shared" si="6"/>
        <v>365</v>
      </c>
      <c r="B384" s="9"/>
      <c r="C384" s="28"/>
      <c r="D384" s="23"/>
      <c r="E384" s="93"/>
      <c r="F384" s="24"/>
      <c r="G384" s="130"/>
      <c r="H384" s="46"/>
      <c r="I384" s="131"/>
      <c r="J384" s="126"/>
      <c r="K384" s="121"/>
      <c r="L384" s="78"/>
      <c r="M384" s="72">
        <f ca="1">IF(INDIRECT(ADDRESS(ROW(),3))&lt;&gt;"",getIBANchecksum(INDIRECT(ADDRESS(ROW(),3))),98)</f>
        <v>98</v>
      </c>
    </row>
    <row r="385" spans="1:13">
      <c r="A385" s="96">
        <f t="shared" si="6"/>
        <v>366</v>
      </c>
      <c r="B385" s="9"/>
      <c r="C385" s="28"/>
      <c r="D385" s="23"/>
      <c r="E385" s="93"/>
      <c r="F385" s="24"/>
      <c r="G385" s="130"/>
      <c r="H385" s="46"/>
      <c r="I385" s="131"/>
      <c r="J385" s="126"/>
      <c r="K385" s="121"/>
      <c r="L385" s="78"/>
      <c r="M385" s="72">
        <f ca="1">IF(INDIRECT(ADDRESS(ROW(),3))&lt;&gt;"",getIBANchecksum(INDIRECT(ADDRESS(ROW(),3))),98)</f>
        <v>98</v>
      </c>
    </row>
    <row r="386" spans="1:13">
      <c r="A386" s="96">
        <f t="shared" si="6"/>
        <v>367</v>
      </c>
      <c r="B386" s="9"/>
      <c r="C386" s="28"/>
      <c r="D386" s="23"/>
      <c r="E386" s="93"/>
      <c r="F386" s="24"/>
      <c r="G386" s="130"/>
      <c r="H386" s="46"/>
      <c r="I386" s="131"/>
      <c r="J386" s="126"/>
      <c r="K386" s="121"/>
      <c r="L386" s="78"/>
      <c r="M386" s="72">
        <f ca="1">IF(INDIRECT(ADDRESS(ROW(),3))&lt;&gt;"",getIBANchecksum(INDIRECT(ADDRESS(ROW(),3))),98)</f>
        <v>98</v>
      </c>
    </row>
    <row r="387" spans="1:13">
      <c r="A387" s="96">
        <f t="shared" si="6"/>
        <v>368</v>
      </c>
      <c r="B387" s="9"/>
      <c r="C387" s="28"/>
      <c r="D387" s="23"/>
      <c r="E387" s="93"/>
      <c r="F387" s="24"/>
      <c r="G387" s="130"/>
      <c r="H387" s="46"/>
      <c r="I387" s="131"/>
      <c r="J387" s="126"/>
      <c r="K387" s="121"/>
      <c r="L387" s="78"/>
      <c r="M387" s="72">
        <f ca="1">IF(INDIRECT(ADDRESS(ROW(),3))&lt;&gt;"",getIBANchecksum(INDIRECT(ADDRESS(ROW(),3))),98)</f>
        <v>98</v>
      </c>
    </row>
    <row r="388" spans="1:13">
      <c r="A388" s="96">
        <f t="shared" si="6"/>
        <v>369</v>
      </c>
      <c r="B388" s="9"/>
      <c r="C388" s="28"/>
      <c r="D388" s="23"/>
      <c r="E388" s="93"/>
      <c r="F388" s="24"/>
      <c r="G388" s="130"/>
      <c r="H388" s="46"/>
      <c r="I388" s="131"/>
      <c r="J388" s="126"/>
      <c r="K388" s="121"/>
      <c r="L388" s="78"/>
      <c r="M388" s="72">
        <f ca="1">IF(INDIRECT(ADDRESS(ROW(),3))&lt;&gt;"",getIBANchecksum(INDIRECT(ADDRESS(ROW(),3))),98)</f>
        <v>98</v>
      </c>
    </row>
    <row r="389" spans="1:13">
      <c r="A389" s="96">
        <f t="shared" si="6"/>
        <v>370</v>
      </c>
      <c r="B389" s="9"/>
      <c r="C389" s="28"/>
      <c r="D389" s="23"/>
      <c r="E389" s="93"/>
      <c r="F389" s="24"/>
      <c r="G389" s="130"/>
      <c r="H389" s="46"/>
      <c r="I389" s="131"/>
      <c r="J389" s="126"/>
      <c r="K389" s="121"/>
      <c r="L389" s="78"/>
      <c r="M389" s="72">
        <f ca="1">IF(INDIRECT(ADDRESS(ROW(),3))&lt;&gt;"",getIBANchecksum(INDIRECT(ADDRESS(ROW(),3))),98)</f>
        <v>98</v>
      </c>
    </row>
    <row r="390" spans="1:13">
      <c r="A390" s="96">
        <f t="shared" si="6"/>
        <v>371</v>
      </c>
      <c r="B390" s="9"/>
      <c r="C390" s="28"/>
      <c r="D390" s="23"/>
      <c r="E390" s="93"/>
      <c r="F390" s="24"/>
      <c r="G390" s="130"/>
      <c r="H390" s="46"/>
      <c r="I390" s="131"/>
      <c r="J390" s="126"/>
      <c r="K390" s="121"/>
      <c r="L390" s="78"/>
      <c r="M390" s="72">
        <f ca="1">IF(INDIRECT(ADDRESS(ROW(),3))&lt;&gt;"",getIBANchecksum(INDIRECT(ADDRESS(ROW(),3))),98)</f>
        <v>98</v>
      </c>
    </row>
    <row r="391" spans="1:13">
      <c r="A391" s="96">
        <f t="shared" si="6"/>
        <v>372</v>
      </c>
      <c r="B391" s="9"/>
      <c r="C391" s="28"/>
      <c r="D391" s="23"/>
      <c r="E391" s="93"/>
      <c r="F391" s="24"/>
      <c r="G391" s="130"/>
      <c r="H391" s="46"/>
      <c r="I391" s="131"/>
      <c r="J391" s="126"/>
      <c r="K391" s="121"/>
      <c r="L391" s="78"/>
      <c r="M391" s="72">
        <f ca="1">IF(INDIRECT(ADDRESS(ROW(),3))&lt;&gt;"",getIBANchecksum(INDIRECT(ADDRESS(ROW(),3))),98)</f>
        <v>98</v>
      </c>
    </row>
    <row r="392" spans="1:13">
      <c r="A392" s="96">
        <f t="shared" si="6"/>
        <v>373</v>
      </c>
      <c r="B392" s="9"/>
      <c r="C392" s="28"/>
      <c r="D392" s="23"/>
      <c r="E392" s="93"/>
      <c r="F392" s="24"/>
      <c r="G392" s="130"/>
      <c r="H392" s="46"/>
      <c r="I392" s="131"/>
      <c r="J392" s="126"/>
      <c r="K392" s="121"/>
      <c r="L392" s="78"/>
      <c r="M392" s="72">
        <f ca="1">IF(INDIRECT(ADDRESS(ROW(),3))&lt;&gt;"",getIBANchecksum(INDIRECT(ADDRESS(ROW(),3))),98)</f>
        <v>98</v>
      </c>
    </row>
    <row r="393" spans="1:13">
      <c r="A393" s="96">
        <f t="shared" si="6"/>
        <v>374</v>
      </c>
      <c r="B393" s="9"/>
      <c r="C393" s="28"/>
      <c r="D393" s="23"/>
      <c r="E393" s="93"/>
      <c r="F393" s="24"/>
      <c r="G393" s="130"/>
      <c r="H393" s="46"/>
      <c r="I393" s="131"/>
      <c r="J393" s="126"/>
      <c r="K393" s="121"/>
      <c r="L393" s="78"/>
      <c r="M393" s="72">
        <f ca="1">IF(INDIRECT(ADDRESS(ROW(),3))&lt;&gt;"",getIBANchecksum(INDIRECT(ADDRESS(ROW(),3))),98)</f>
        <v>98</v>
      </c>
    </row>
    <row r="394" spans="1:13">
      <c r="A394" s="96">
        <f t="shared" si="6"/>
        <v>375</v>
      </c>
      <c r="B394" s="9"/>
      <c r="C394" s="28"/>
      <c r="D394" s="23"/>
      <c r="E394" s="93"/>
      <c r="F394" s="24"/>
      <c r="G394" s="130"/>
      <c r="H394" s="46"/>
      <c r="I394" s="131"/>
      <c r="J394" s="126"/>
      <c r="K394" s="121"/>
      <c r="L394" s="78"/>
      <c r="M394" s="72">
        <f ca="1">IF(INDIRECT(ADDRESS(ROW(),3))&lt;&gt;"",getIBANchecksum(INDIRECT(ADDRESS(ROW(),3))),98)</f>
        <v>98</v>
      </c>
    </row>
    <row r="395" spans="1:13">
      <c r="A395" s="96">
        <f t="shared" si="6"/>
        <v>376</v>
      </c>
      <c r="B395" s="9"/>
      <c r="C395" s="28"/>
      <c r="D395" s="23"/>
      <c r="E395" s="93"/>
      <c r="F395" s="24"/>
      <c r="G395" s="130"/>
      <c r="H395" s="46"/>
      <c r="I395" s="131"/>
      <c r="J395" s="126"/>
      <c r="K395" s="121"/>
      <c r="L395" s="78"/>
      <c r="M395" s="72">
        <f ca="1">IF(INDIRECT(ADDRESS(ROW(),3))&lt;&gt;"",getIBANchecksum(INDIRECT(ADDRESS(ROW(),3))),98)</f>
        <v>98</v>
      </c>
    </row>
    <row r="396" spans="1:13">
      <c r="A396" s="96">
        <f t="shared" si="6"/>
        <v>377</v>
      </c>
      <c r="B396" s="9"/>
      <c r="C396" s="28"/>
      <c r="D396" s="23"/>
      <c r="E396" s="93"/>
      <c r="F396" s="24"/>
      <c r="G396" s="130"/>
      <c r="H396" s="46"/>
      <c r="I396" s="131"/>
      <c r="J396" s="126"/>
      <c r="K396" s="121"/>
      <c r="L396" s="78"/>
      <c r="M396" s="72">
        <f ca="1">IF(INDIRECT(ADDRESS(ROW(),3))&lt;&gt;"",getIBANchecksum(INDIRECT(ADDRESS(ROW(),3))),98)</f>
        <v>98</v>
      </c>
    </row>
    <row r="397" spans="1:13">
      <c r="A397" s="96">
        <f t="shared" si="6"/>
        <v>378</v>
      </c>
      <c r="B397" s="9"/>
      <c r="C397" s="28"/>
      <c r="D397" s="23"/>
      <c r="E397" s="93"/>
      <c r="F397" s="24"/>
      <c r="G397" s="130"/>
      <c r="H397" s="46"/>
      <c r="I397" s="131"/>
      <c r="J397" s="126"/>
      <c r="K397" s="121"/>
      <c r="L397" s="78"/>
      <c r="M397" s="72">
        <f ca="1">IF(INDIRECT(ADDRESS(ROW(),3))&lt;&gt;"",getIBANchecksum(INDIRECT(ADDRESS(ROW(),3))),98)</f>
        <v>98</v>
      </c>
    </row>
    <row r="398" spans="1:13">
      <c r="A398" s="96">
        <f t="shared" si="6"/>
        <v>379</v>
      </c>
      <c r="B398" s="9"/>
      <c r="C398" s="28"/>
      <c r="D398" s="23"/>
      <c r="E398" s="93"/>
      <c r="F398" s="24"/>
      <c r="G398" s="130"/>
      <c r="H398" s="46"/>
      <c r="I398" s="131"/>
      <c r="J398" s="126"/>
      <c r="K398" s="121"/>
      <c r="L398" s="78"/>
      <c r="M398" s="72">
        <f ca="1">IF(INDIRECT(ADDRESS(ROW(),3))&lt;&gt;"",getIBANchecksum(INDIRECT(ADDRESS(ROW(),3))),98)</f>
        <v>98</v>
      </c>
    </row>
    <row r="399" spans="1:13">
      <c r="A399" s="96">
        <f t="shared" si="6"/>
        <v>380</v>
      </c>
      <c r="B399" s="9"/>
      <c r="C399" s="28"/>
      <c r="D399" s="23"/>
      <c r="E399" s="93"/>
      <c r="F399" s="24"/>
      <c r="G399" s="130"/>
      <c r="H399" s="46"/>
      <c r="I399" s="131"/>
      <c r="J399" s="126"/>
      <c r="K399" s="121"/>
      <c r="L399" s="78"/>
      <c r="M399" s="72">
        <f ca="1">IF(INDIRECT(ADDRESS(ROW(),3))&lt;&gt;"",getIBANchecksum(INDIRECT(ADDRESS(ROW(),3))),98)</f>
        <v>98</v>
      </c>
    </row>
    <row r="400" spans="1:13">
      <c r="A400" s="96">
        <f t="shared" si="6"/>
        <v>381</v>
      </c>
      <c r="B400" s="9"/>
      <c r="C400" s="28"/>
      <c r="D400" s="23"/>
      <c r="E400" s="93"/>
      <c r="F400" s="24"/>
      <c r="G400" s="130"/>
      <c r="H400" s="46"/>
      <c r="I400" s="131"/>
      <c r="J400" s="126"/>
      <c r="K400" s="121"/>
      <c r="L400" s="78"/>
      <c r="M400" s="72">
        <f ca="1">IF(INDIRECT(ADDRESS(ROW(),3))&lt;&gt;"",getIBANchecksum(INDIRECT(ADDRESS(ROW(),3))),98)</f>
        <v>98</v>
      </c>
    </row>
    <row r="401" spans="1:13">
      <c r="A401" s="96">
        <f t="shared" si="6"/>
        <v>382</v>
      </c>
      <c r="B401" s="9"/>
      <c r="C401" s="28"/>
      <c r="D401" s="23"/>
      <c r="E401" s="93"/>
      <c r="F401" s="24"/>
      <c r="G401" s="130"/>
      <c r="H401" s="46"/>
      <c r="I401" s="131"/>
      <c r="J401" s="126"/>
      <c r="K401" s="121"/>
      <c r="L401" s="78"/>
      <c r="M401" s="72">
        <f ca="1">IF(INDIRECT(ADDRESS(ROW(),3))&lt;&gt;"",getIBANchecksum(INDIRECT(ADDRESS(ROW(),3))),98)</f>
        <v>98</v>
      </c>
    </row>
    <row r="402" spans="1:13">
      <c r="A402" s="96">
        <f t="shared" si="6"/>
        <v>383</v>
      </c>
      <c r="B402" s="9"/>
      <c r="C402" s="28"/>
      <c r="D402" s="23"/>
      <c r="E402" s="93"/>
      <c r="F402" s="24"/>
      <c r="G402" s="130"/>
      <c r="H402" s="46"/>
      <c r="I402" s="131"/>
      <c r="J402" s="126"/>
      <c r="K402" s="121"/>
      <c r="L402" s="78"/>
      <c r="M402" s="72">
        <f ca="1">IF(INDIRECT(ADDRESS(ROW(),3))&lt;&gt;"",getIBANchecksum(INDIRECT(ADDRESS(ROW(),3))),98)</f>
        <v>98</v>
      </c>
    </row>
    <row r="403" spans="1:13">
      <c r="A403" s="96">
        <f t="shared" si="6"/>
        <v>384</v>
      </c>
      <c r="B403" s="9"/>
      <c r="C403" s="28"/>
      <c r="D403" s="23"/>
      <c r="E403" s="93"/>
      <c r="F403" s="24"/>
      <c r="G403" s="130"/>
      <c r="H403" s="46"/>
      <c r="I403" s="131"/>
      <c r="J403" s="126"/>
      <c r="K403" s="121"/>
      <c r="L403" s="78"/>
      <c r="M403" s="72">
        <f ca="1">IF(INDIRECT(ADDRESS(ROW(),3))&lt;&gt;"",getIBANchecksum(INDIRECT(ADDRESS(ROW(),3))),98)</f>
        <v>98</v>
      </c>
    </row>
    <row r="404" spans="1:13">
      <c r="A404" s="96">
        <f t="shared" si="6"/>
        <v>385</v>
      </c>
      <c r="B404" s="9"/>
      <c r="C404" s="28"/>
      <c r="D404" s="23"/>
      <c r="E404" s="93"/>
      <c r="F404" s="24"/>
      <c r="G404" s="130"/>
      <c r="H404" s="46"/>
      <c r="I404" s="131"/>
      <c r="J404" s="126"/>
      <c r="K404" s="121"/>
      <c r="L404" s="78"/>
      <c r="M404" s="72">
        <f ca="1">IF(INDIRECT(ADDRESS(ROW(),3))&lt;&gt;"",getIBANchecksum(INDIRECT(ADDRESS(ROW(),3))),98)</f>
        <v>98</v>
      </c>
    </row>
    <row r="405" spans="1:13">
      <c r="A405" s="96">
        <f t="shared" si="6"/>
        <v>386</v>
      </c>
      <c r="B405" s="9"/>
      <c r="C405" s="28"/>
      <c r="D405" s="23"/>
      <c r="E405" s="93"/>
      <c r="F405" s="24"/>
      <c r="G405" s="130"/>
      <c r="H405" s="46"/>
      <c r="I405" s="131"/>
      <c r="J405" s="126"/>
      <c r="K405" s="121"/>
      <c r="L405" s="78"/>
      <c r="M405" s="72">
        <f ca="1">IF(INDIRECT(ADDRESS(ROW(),3))&lt;&gt;"",getIBANchecksum(INDIRECT(ADDRESS(ROW(),3))),98)</f>
        <v>98</v>
      </c>
    </row>
    <row r="406" spans="1:13">
      <c r="A406" s="96">
        <f t="shared" ref="A406:A469" si="7">A405+1</f>
        <v>387</v>
      </c>
      <c r="B406" s="9"/>
      <c r="C406" s="28"/>
      <c r="D406" s="23"/>
      <c r="E406" s="93"/>
      <c r="F406" s="24"/>
      <c r="G406" s="130"/>
      <c r="H406" s="46"/>
      <c r="I406" s="131"/>
      <c r="J406" s="126"/>
      <c r="K406" s="121"/>
      <c r="L406" s="78"/>
      <c r="M406" s="72">
        <f ca="1">IF(INDIRECT(ADDRESS(ROW(),3))&lt;&gt;"",getIBANchecksum(INDIRECT(ADDRESS(ROW(),3))),98)</f>
        <v>98</v>
      </c>
    </row>
    <row r="407" spans="1:13">
      <c r="A407" s="96">
        <f t="shared" si="7"/>
        <v>388</v>
      </c>
      <c r="B407" s="9"/>
      <c r="C407" s="28"/>
      <c r="D407" s="23"/>
      <c r="E407" s="93"/>
      <c r="F407" s="24"/>
      <c r="G407" s="130"/>
      <c r="H407" s="46"/>
      <c r="I407" s="131"/>
      <c r="J407" s="126"/>
      <c r="K407" s="121"/>
      <c r="L407" s="78"/>
      <c r="M407" s="72">
        <f ca="1">IF(INDIRECT(ADDRESS(ROW(),3))&lt;&gt;"",getIBANchecksum(INDIRECT(ADDRESS(ROW(),3))),98)</f>
        <v>98</v>
      </c>
    </row>
    <row r="408" spans="1:13">
      <c r="A408" s="96">
        <f t="shared" si="7"/>
        <v>389</v>
      </c>
      <c r="B408" s="9"/>
      <c r="C408" s="28"/>
      <c r="D408" s="23"/>
      <c r="E408" s="93"/>
      <c r="F408" s="24"/>
      <c r="G408" s="130"/>
      <c r="H408" s="46"/>
      <c r="I408" s="131"/>
      <c r="J408" s="126"/>
      <c r="K408" s="121"/>
      <c r="L408" s="78"/>
      <c r="M408" s="72">
        <f ca="1">IF(INDIRECT(ADDRESS(ROW(),3))&lt;&gt;"",getIBANchecksum(INDIRECT(ADDRESS(ROW(),3))),98)</f>
        <v>98</v>
      </c>
    </row>
    <row r="409" spans="1:13">
      <c r="A409" s="96">
        <f t="shared" si="7"/>
        <v>390</v>
      </c>
      <c r="B409" s="9"/>
      <c r="C409" s="28"/>
      <c r="D409" s="23"/>
      <c r="E409" s="93"/>
      <c r="F409" s="24"/>
      <c r="G409" s="130"/>
      <c r="H409" s="46"/>
      <c r="I409" s="131"/>
      <c r="J409" s="126"/>
      <c r="K409" s="121"/>
      <c r="L409" s="78"/>
      <c r="M409" s="72">
        <f ca="1">IF(INDIRECT(ADDRESS(ROW(),3))&lt;&gt;"",getIBANchecksum(INDIRECT(ADDRESS(ROW(),3))),98)</f>
        <v>98</v>
      </c>
    </row>
    <row r="410" spans="1:13">
      <c r="A410" s="96">
        <f t="shared" si="7"/>
        <v>391</v>
      </c>
      <c r="B410" s="9"/>
      <c r="C410" s="28"/>
      <c r="D410" s="23"/>
      <c r="E410" s="93"/>
      <c r="F410" s="24"/>
      <c r="G410" s="130"/>
      <c r="H410" s="46"/>
      <c r="I410" s="131"/>
      <c r="J410" s="126"/>
      <c r="K410" s="121"/>
      <c r="L410" s="78"/>
      <c r="M410" s="72">
        <f ca="1">IF(INDIRECT(ADDRESS(ROW(),3))&lt;&gt;"",getIBANchecksum(INDIRECT(ADDRESS(ROW(),3))),98)</f>
        <v>98</v>
      </c>
    </row>
    <row r="411" spans="1:13">
      <c r="A411" s="96">
        <f t="shared" si="7"/>
        <v>392</v>
      </c>
      <c r="B411" s="9"/>
      <c r="C411" s="28"/>
      <c r="D411" s="23"/>
      <c r="E411" s="93"/>
      <c r="F411" s="24"/>
      <c r="G411" s="130"/>
      <c r="H411" s="46"/>
      <c r="I411" s="131"/>
      <c r="J411" s="126"/>
      <c r="K411" s="121"/>
      <c r="L411" s="78"/>
      <c r="M411" s="72">
        <f ca="1">IF(INDIRECT(ADDRESS(ROW(),3))&lt;&gt;"",getIBANchecksum(INDIRECT(ADDRESS(ROW(),3))),98)</f>
        <v>98</v>
      </c>
    </row>
    <row r="412" spans="1:13">
      <c r="A412" s="96">
        <f t="shared" si="7"/>
        <v>393</v>
      </c>
      <c r="B412" s="9"/>
      <c r="C412" s="28"/>
      <c r="D412" s="23"/>
      <c r="E412" s="93"/>
      <c r="F412" s="24"/>
      <c r="G412" s="130"/>
      <c r="H412" s="46"/>
      <c r="I412" s="131"/>
      <c r="J412" s="126"/>
      <c r="K412" s="121"/>
      <c r="L412" s="78"/>
      <c r="M412" s="72">
        <f ca="1">IF(INDIRECT(ADDRESS(ROW(),3))&lt;&gt;"",getIBANchecksum(INDIRECT(ADDRESS(ROW(),3))),98)</f>
        <v>98</v>
      </c>
    </row>
    <row r="413" spans="1:13">
      <c r="A413" s="96">
        <f t="shared" si="7"/>
        <v>394</v>
      </c>
      <c r="B413" s="9"/>
      <c r="C413" s="28"/>
      <c r="D413" s="23"/>
      <c r="E413" s="93"/>
      <c r="F413" s="24"/>
      <c r="G413" s="130"/>
      <c r="H413" s="46"/>
      <c r="I413" s="131"/>
      <c r="J413" s="126"/>
      <c r="K413" s="121"/>
      <c r="L413" s="78"/>
      <c r="M413" s="72">
        <f ca="1">IF(INDIRECT(ADDRESS(ROW(),3))&lt;&gt;"",getIBANchecksum(INDIRECT(ADDRESS(ROW(),3))),98)</f>
        <v>98</v>
      </c>
    </row>
    <row r="414" spans="1:13">
      <c r="A414" s="96">
        <f t="shared" si="7"/>
        <v>395</v>
      </c>
      <c r="B414" s="9"/>
      <c r="C414" s="28"/>
      <c r="D414" s="23"/>
      <c r="E414" s="93"/>
      <c r="F414" s="24"/>
      <c r="G414" s="130"/>
      <c r="H414" s="46"/>
      <c r="I414" s="131"/>
      <c r="J414" s="126"/>
      <c r="K414" s="121"/>
      <c r="L414" s="78"/>
      <c r="M414" s="72">
        <f ca="1">IF(INDIRECT(ADDRESS(ROW(),3))&lt;&gt;"",getIBANchecksum(INDIRECT(ADDRESS(ROW(),3))),98)</f>
        <v>98</v>
      </c>
    </row>
    <row r="415" spans="1:13">
      <c r="A415" s="96">
        <f t="shared" si="7"/>
        <v>396</v>
      </c>
      <c r="B415" s="9"/>
      <c r="C415" s="28"/>
      <c r="D415" s="23"/>
      <c r="E415" s="93"/>
      <c r="F415" s="24"/>
      <c r="G415" s="130"/>
      <c r="H415" s="46"/>
      <c r="I415" s="131"/>
      <c r="J415" s="126"/>
      <c r="K415" s="121"/>
      <c r="L415" s="78"/>
      <c r="M415" s="72">
        <f ca="1">IF(INDIRECT(ADDRESS(ROW(),3))&lt;&gt;"",getIBANchecksum(INDIRECT(ADDRESS(ROW(),3))),98)</f>
        <v>98</v>
      </c>
    </row>
    <row r="416" spans="1:13">
      <c r="A416" s="96">
        <f t="shared" si="7"/>
        <v>397</v>
      </c>
      <c r="B416" s="9"/>
      <c r="C416" s="28"/>
      <c r="D416" s="23"/>
      <c r="E416" s="93"/>
      <c r="F416" s="24"/>
      <c r="G416" s="130"/>
      <c r="H416" s="46"/>
      <c r="I416" s="131"/>
      <c r="J416" s="126"/>
      <c r="K416" s="121"/>
      <c r="L416" s="78"/>
      <c r="M416" s="72">
        <f ca="1">IF(INDIRECT(ADDRESS(ROW(),3))&lt;&gt;"",getIBANchecksum(INDIRECT(ADDRESS(ROW(),3))),98)</f>
        <v>98</v>
      </c>
    </row>
    <row r="417" spans="1:13">
      <c r="A417" s="96">
        <f t="shared" si="7"/>
        <v>398</v>
      </c>
      <c r="B417" s="9"/>
      <c r="C417" s="28"/>
      <c r="D417" s="23"/>
      <c r="E417" s="93"/>
      <c r="F417" s="24"/>
      <c r="G417" s="130"/>
      <c r="H417" s="46"/>
      <c r="I417" s="131"/>
      <c r="J417" s="126"/>
      <c r="K417" s="121"/>
      <c r="L417" s="78"/>
      <c r="M417" s="72">
        <f ca="1">IF(INDIRECT(ADDRESS(ROW(),3))&lt;&gt;"",getIBANchecksum(INDIRECT(ADDRESS(ROW(),3))),98)</f>
        <v>98</v>
      </c>
    </row>
    <row r="418" spans="1:13">
      <c r="A418" s="96">
        <f t="shared" si="7"/>
        <v>399</v>
      </c>
      <c r="B418" s="9"/>
      <c r="C418" s="28"/>
      <c r="D418" s="23"/>
      <c r="E418" s="93"/>
      <c r="F418" s="24"/>
      <c r="G418" s="130"/>
      <c r="H418" s="46"/>
      <c r="I418" s="131"/>
      <c r="J418" s="126"/>
      <c r="K418" s="121"/>
      <c r="L418" s="78"/>
      <c r="M418" s="72">
        <f ca="1">IF(INDIRECT(ADDRESS(ROW(),3))&lt;&gt;"",getIBANchecksum(INDIRECT(ADDRESS(ROW(),3))),98)</f>
        <v>98</v>
      </c>
    </row>
    <row r="419" spans="1:13">
      <c r="A419" s="96">
        <f t="shared" si="7"/>
        <v>400</v>
      </c>
      <c r="B419" s="9"/>
      <c r="C419" s="28"/>
      <c r="D419" s="23"/>
      <c r="E419" s="93"/>
      <c r="F419" s="24"/>
      <c r="G419" s="130"/>
      <c r="H419" s="46"/>
      <c r="I419" s="131"/>
      <c r="J419" s="126"/>
      <c r="K419" s="121"/>
      <c r="L419" s="78"/>
      <c r="M419" s="72">
        <f ca="1">IF(INDIRECT(ADDRESS(ROW(),3))&lt;&gt;"",getIBANchecksum(INDIRECT(ADDRESS(ROW(),3))),98)</f>
        <v>98</v>
      </c>
    </row>
    <row r="420" spans="1:13">
      <c r="A420" s="96">
        <f t="shared" si="7"/>
        <v>401</v>
      </c>
      <c r="B420" s="9"/>
      <c r="C420" s="28"/>
      <c r="D420" s="23"/>
      <c r="E420" s="93"/>
      <c r="F420" s="24"/>
      <c r="G420" s="130"/>
      <c r="H420" s="46"/>
      <c r="I420" s="131"/>
      <c r="J420" s="126"/>
      <c r="K420" s="121"/>
      <c r="L420" s="78"/>
      <c r="M420" s="72">
        <f ca="1">IF(INDIRECT(ADDRESS(ROW(),3))&lt;&gt;"",getIBANchecksum(INDIRECT(ADDRESS(ROW(),3))),98)</f>
        <v>98</v>
      </c>
    </row>
    <row r="421" spans="1:13">
      <c r="A421" s="96">
        <f t="shared" si="7"/>
        <v>402</v>
      </c>
      <c r="B421" s="9"/>
      <c r="C421" s="28"/>
      <c r="D421" s="23"/>
      <c r="E421" s="93"/>
      <c r="F421" s="24"/>
      <c r="G421" s="130"/>
      <c r="H421" s="46"/>
      <c r="I421" s="131"/>
      <c r="J421" s="126"/>
      <c r="K421" s="121"/>
      <c r="L421" s="78"/>
      <c r="M421" s="72">
        <f ca="1">IF(INDIRECT(ADDRESS(ROW(),3))&lt;&gt;"",getIBANchecksum(INDIRECT(ADDRESS(ROW(),3))),98)</f>
        <v>98</v>
      </c>
    </row>
    <row r="422" spans="1:13">
      <c r="A422" s="96">
        <f t="shared" si="7"/>
        <v>403</v>
      </c>
      <c r="B422" s="9"/>
      <c r="C422" s="28"/>
      <c r="D422" s="23"/>
      <c r="E422" s="93"/>
      <c r="F422" s="24"/>
      <c r="G422" s="130"/>
      <c r="H422" s="46"/>
      <c r="I422" s="131"/>
      <c r="J422" s="126"/>
      <c r="K422" s="121"/>
      <c r="L422" s="78"/>
      <c r="M422" s="72">
        <f ca="1">IF(INDIRECT(ADDRESS(ROW(),3))&lt;&gt;"",getIBANchecksum(INDIRECT(ADDRESS(ROW(),3))),98)</f>
        <v>98</v>
      </c>
    </row>
    <row r="423" spans="1:13">
      <c r="A423" s="96">
        <f t="shared" si="7"/>
        <v>404</v>
      </c>
      <c r="B423" s="9"/>
      <c r="C423" s="28"/>
      <c r="D423" s="23"/>
      <c r="E423" s="93"/>
      <c r="F423" s="24"/>
      <c r="G423" s="130"/>
      <c r="H423" s="46"/>
      <c r="I423" s="131"/>
      <c r="J423" s="126"/>
      <c r="K423" s="121"/>
      <c r="L423" s="78"/>
      <c r="M423" s="72">
        <f ca="1">IF(INDIRECT(ADDRESS(ROW(),3))&lt;&gt;"",getIBANchecksum(INDIRECT(ADDRESS(ROW(),3))),98)</f>
        <v>98</v>
      </c>
    </row>
    <row r="424" spans="1:13">
      <c r="A424" s="96">
        <f t="shared" si="7"/>
        <v>405</v>
      </c>
      <c r="B424" s="9"/>
      <c r="C424" s="28"/>
      <c r="D424" s="23"/>
      <c r="E424" s="93"/>
      <c r="F424" s="24"/>
      <c r="G424" s="130"/>
      <c r="H424" s="46"/>
      <c r="I424" s="131"/>
      <c r="J424" s="126"/>
      <c r="K424" s="121"/>
      <c r="L424" s="78"/>
      <c r="M424" s="72">
        <f ca="1">IF(INDIRECT(ADDRESS(ROW(),3))&lt;&gt;"",getIBANchecksum(INDIRECT(ADDRESS(ROW(),3))),98)</f>
        <v>98</v>
      </c>
    </row>
    <row r="425" spans="1:13">
      <c r="A425" s="96">
        <f t="shared" si="7"/>
        <v>406</v>
      </c>
      <c r="B425" s="9"/>
      <c r="C425" s="28"/>
      <c r="D425" s="23"/>
      <c r="E425" s="93"/>
      <c r="F425" s="24"/>
      <c r="G425" s="130"/>
      <c r="H425" s="46"/>
      <c r="I425" s="131"/>
      <c r="J425" s="126"/>
      <c r="K425" s="121"/>
      <c r="L425" s="78"/>
      <c r="M425" s="72">
        <f ca="1">IF(INDIRECT(ADDRESS(ROW(),3))&lt;&gt;"",getIBANchecksum(INDIRECT(ADDRESS(ROW(),3))),98)</f>
        <v>98</v>
      </c>
    </row>
    <row r="426" spans="1:13">
      <c r="A426" s="96">
        <f t="shared" si="7"/>
        <v>407</v>
      </c>
      <c r="B426" s="9"/>
      <c r="C426" s="28"/>
      <c r="D426" s="23"/>
      <c r="E426" s="93"/>
      <c r="F426" s="24"/>
      <c r="G426" s="130"/>
      <c r="H426" s="46"/>
      <c r="I426" s="131"/>
      <c r="J426" s="126"/>
      <c r="K426" s="121"/>
      <c r="L426" s="78"/>
      <c r="M426" s="72">
        <f ca="1">IF(INDIRECT(ADDRESS(ROW(),3))&lt;&gt;"",getIBANchecksum(INDIRECT(ADDRESS(ROW(),3))),98)</f>
        <v>98</v>
      </c>
    </row>
    <row r="427" spans="1:13">
      <c r="A427" s="96">
        <f t="shared" si="7"/>
        <v>408</v>
      </c>
      <c r="B427" s="9"/>
      <c r="C427" s="28"/>
      <c r="D427" s="23"/>
      <c r="E427" s="93"/>
      <c r="F427" s="24"/>
      <c r="G427" s="130"/>
      <c r="H427" s="46"/>
      <c r="I427" s="131"/>
      <c r="J427" s="126"/>
      <c r="K427" s="121"/>
      <c r="L427" s="78"/>
      <c r="M427" s="72">
        <f ca="1">IF(INDIRECT(ADDRESS(ROW(),3))&lt;&gt;"",getIBANchecksum(INDIRECT(ADDRESS(ROW(),3))),98)</f>
        <v>98</v>
      </c>
    </row>
    <row r="428" spans="1:13">
      <c r="A428" s="96">
        <f t="shared" si="7"/>
        <v>409</v>
      </c>
      <c r="B428" s="9"/>
      <c r="C428" s="28"/>
      <c r="D428" s="23"/>
      <c r="E428" s="93"/>
      <c r="F428" s="24"/>
      <c r="G428" s="130"/>
      <c r="H428" s="46"/>
      <c r="I428" s="131"/>
      <c r="J428" s="126"/>
      <c r="K428" s="121"/>
      <c r="L428" s="78"/>
      <c r="M428" s="72">
        <f ca="1">IF(INDIRECT(ADDRESS(ROW(),3))&lt;&gt;"",getIBANchecksum(INDIRECT(ADDRESS(ROW(),3))),98)</f>
        <v>98</v>
      </c>
    </row>
    <row r="429" spans="1:13">
      <c r="A429" s="96">
        <f t="shared" si="7"/>
        <v>410</v>
      </c>
      <c r="B429" s="9"/>
      <c r="C429" s="28"/>
      <c r="D429" s="23"/>
      <c r="E429" s="93"/>
      <c r="F429" s="24"/>
      <c r="G429" s="130"/>
      <c r="H429" s="46"/>
      <c r="I429" s="131"/>
      <c r="J429" s="126"/>
      <c r="K429" s="121"/>
      <c r="L429" s="78"/>
      <c r="M429" s="72">
        <f ca="1">IF(INDIRECT(ADDRESS(ROW(),3))&lt;&gt;"",getIBANchecksum(INDIRECT(ADDRESS(ROW(),3))),98)</f>
        <v>98</v>
      </c>
    </row>
    <row r="430" spans="1:13">
      <c r="A430" s="96">
        <f t="shared" si="7"/>
        <v>411</v>
      </c>
      <c r="B430" s="9"/>
      <c r="C430" s="28"/>
      <c r="D430" s="23"/>
      <c r="E430" s="93"/>
      <c r="F430" s="24"/>
      <c r="G430" s="130"/>
      <c r="H430" s="46"/>
      <c r="I430" s="131"/>
      <c r="J430" s="126"/>
      <c r="K430" s="121"/>
      <c r="L430" s="78"/>
      <c r="M430" s="72">
        <f ca="1">IF(INDIRECT(ADDRESS(ROW(),3))&lt;&gt;"",getIBANchecksum(INDIRECT(ADDRESS(ROW(),3))),98)</f>
        <v>98</v>
      </c>
    </row>
    <row r="431" spans="1:13">
      <c r="A431" s="96">
        <f t="shared" si="7"/>
        <v>412</v>
      </c>
      <c r="B431" s="9"/>
      <c r="C431" s="28"/>
      <c r="D431" s="23"/>
      <c r="E431" s="93"/>
      <c r="F431" s="24"/>
      <c r="G431" s="130"/>
      <c r="H431" s="46"/>
      <c r="I431" s="131"/>
      <c r="J431" s="126"/>
      <c r="K431" s="121"/>
      <c r="L431" s="78"/>
      <c r="M431" s="72">
        <f ca="1">IF(INDIRECT(ADDRESS(ROW(),3))&lt;&gt;"",getIBANchecksum(INDIRECT(ADDRESS(ROW(),3))),98)</f>
        <v>98</v>
      </c>
    </row>
    <row r="432" spans="1:13">
      <c r="A432" s="96">
        <f t="shared" si="7"/>
        <v>413</v>
      </c>
      <c r="B432" s="9"/>
      <c r="C432" s="28"/>
      <c r="D432" s="23"/>
      <c r="E432" s="93"/>
      <c r="F432" s="24"/>
      <c r="G432" s="130"/>
      <c r="H432" s="46"/>
      <c r="I432" s="131"/>
      <c r="J432" s="126"/>
      <c r="K432" s="121"/>
      <c r="L432" s="78"/>
      <c r="M432" s="72">
        <f ca="1">IF(INDIRECT(ADDRESS(ROW(),3))&lt;&gt;"",getIBANchecksum(INDIRECT(ADDRESS(ROW(),3))),98)</f>
        <v>98</v>
      </c>
    </row>
    <row r="433" spans="1:13">
      <c r="A433" s="96">
        <f t="shared" si="7"/>
        <v>414</v>
      </c>
      <c r="B433" s="9"/>
      <c r="C433" s="28"/>
      <c r="D433" s="23"/>
      <c r="E433" s="93"/>
      <c r="F433" s="24"/>
      <c r="G433" s="130"/>
      <c r="H433" s="46"/>
      <c r="I433" s="131"/>
      <c r="J433" s="126"/>
      <c r="K433" s="121"/>
      <c r="L433" s="78"/>
      <c r="M433" s="72">
        <f ca="1">IF(INDIRECT(ADDRESS(ROW(),3))&lt;&gt;"",getIBANchecksum(INDIRECT(ADDRESS(ROW(),3))),98)</f>
        <v>98</v>
      </c>
    </row>
    <row r="434" spans="1:13">
      <c r="A434" s="96">
        <f t="shared" si="7"/>
        <v>415</v>
      </c>
      <c r="B434" s="9"/>
      <c r="C434" s="28"/>
      <c r="D434" s="23"/>
      <c r="E434" s="93"/>
      <c r="F434" s="24"/>
      <c r="G434" s="130"/>
      <c r="H434" s="46"/>
      <c r="I434" s="131"/>
      <c r="J434" s="126"/>
      <c r="K434" s="121"/>
      <c r="L434" s="78"/>
      <c r="M434" s="72">
        <f ca="1">IF(INDIRECT(ADDRESS(ROW(),3))&lt;&gt;"",getIBANchecksum(INDIRECT(ADDRESS(ROW(),3))),98)</f>
        <v>98</v>
      </c>
    </row>
    <row r="435" spans="1:13">
      <c r="A435" s="96">
        <f t="shared" si="7"/>
        <v>416</v>
      </c>
      <c r="B435" s="9"/>
      <c r="C435" s="28"/>
      <c r="D435" s="23"/>
      <c r="E435" s="93"/>
      <c r="F435" s="24"/>
      <c r="G435" s="130"/>
      <c r="H435" s="46"/>
      <c r="I435" s="131"/>
      <c r="J435" s="126"/>
      <c r="K435" s="121"/>
      <c r="L435" s="78"/>
      <c r="M435" s="72">
        <f ca="1">IF(INDIRECT(ADDRESS(ROW(),3))&lt;&gt;"",getIBANchecksum(INDIRECT(ADDRESS(ROW(),3))),98)</f>
        <v>98</v>
      </c>
    </row>
    <row r="436" spans="1:13">
      <c r="A436" s="96">
        <f t="shared" si="7"/>
        <v>417</v>
      </c>
      <c r="B436" s="9"/>
      <c r="C436" s="28"/>
      <c r="D436" s="23"/>
      <c r="E436" s="93"/>
      <c r="F436" s="24"/>
      <c r="G436" s="130"/>
      <c r="H436" s="46"/>
      <c r="I436" s="131"/>
      <c r="J436" s="126"/>
      <c r="K436" s="121"/>
      <c r="L436" s="78"/>
      <c r="M436" s="72">
        <f ca="1">IF(INDIRECT(ADDRESS(ROW(),3))&lt;&gt;"",getIBANchecksum(INDIRECT(ADDRESS(ROW(),3))),98)</f>
        <v>98</v>
      </c>
    </row>
    <row r="437" spans="1:13">
      <c r="A437" s="96">
        <f t="shared" si="7"/>
        <v>418</v>
      </c>
      <c r="B437" s="9"/>
      <c r="C437" s="28"/>
      <c r="D437" s="23"/>
      <c r="E437" s="93"/>
      <c r="F437" s="24"/>
      <c r="G437" s="130"/>
      <c r="H437" s="46"/>
      <c r="I437" s="131"/>
      <c r="J437" s="126"/>
      <c r="K437" s="121"/>
      <c r="L437" s="78"/>
      <c r="M437" s="72">
        <f ca="1">IF(INDIRECT(ADDRESS(ROW(),3))&lt;&gt;"",getIBANchecksum(INDIRECT(ADDRESS(ROW(),3))),98)</f>
        <v>98</v>
      </c>
    </row>
    <row r="438" spans="1:13">
      <c r="A438" s="96">
        <f t="shared" si="7"/>
        <v>419</v>
      </c>
      <c r="B438" s="9"/>
      <c r="C438" s="28"/>
      <c r="D438" s="23"/>
      <c r="E438" s="93"/>
      <c r="F438" s="24"/>
      <c r="G438" s="130"/>
      <c r="H438" s="46"/>
      <c r="I438" s="131"/>
      <c r="J438" s="126"/>
      <c r="K438" s="121"/>
      <c r="L438" s="78"/>
      <c r="M438" s="72">
        <f ca="1">IF(INDIRECT(ADDRESS(ROW(),3))&lt;&gt;"",getIBANchecksum(INDIRECT(ADDRESS(ROW(),3))),98)</f>
        <v>98</v>
      </c>
    </row>
    <row r="439" spans="1:13">
      <c r="A439" s="96">
        <f t="shared" si="7"/>
        <v>420</v>
      </c>
      <c r="B439" s="9"/>
      <c r="C439" s="28"/>
      <c r="D439" s="23"/>
      <c r="E439" s="93"/>
      <c r="F439" s="24"/>
      <c r="G439" s="130"/>
      <c r="H439" s="46"/>
      <c r="I439" s="131"/>
      <c r="J439" s="126"/>
      <c r="K439" s="121"/>
      <c r="L439" s="78"/>
      <c r="M439" s="72">
        <f ca="1">IF(INDIRECT(ADDRESS(ROW(),3))&lt;&gt;"",getIBANchecksum(INDIRECT(ADDRESS(ROW(),3))),98)</f>
        <v>98</v>
      </c>
    </row>
    <row r="440" spans="1:13">
      <c r="A440" s="96">
        <f t="shared" si="7"/>
        <v>421</v>
      </c>
      <c r="B440" s="9"/>
      <c r="C440" s="28"/>
      <c r="D440" s="23"/>
      <c r="E440" s="93"/>
      <c r="F440" s="24"/>
      <c r="G440" s="130"/>
      <c r="H440" s="46"/>
      <c r="I440" s="131"/>
      <c r="J440" s="126"/>
      <c r="K440" s="121"/>
      <c r="L440" s="78"/>
      <c r="M440" s="72">
        <f ca="1">IF(INDIRECT(ADDRESS(ROW(),3))&lt;&gt;"",getIBANchecksum(INDIRECT(ADDRESS(ROW(),3))),98)</f>
        <v>98</v>
      </c>
    </row>
    <row r="441" spans="1:13">
      <c r="A441" s="96">
        <f t="shared" si="7"/>
        <v>422</v>
      </c>
      <c r="B441" s="9"/>
      <c r="C441" s="28"/>
      <c r="D441" s="23"/>
      <c r="E441" s="93"/>
      <c r="F441" s="24"/>
      <c r="G441" s="130"/>
      <c r="H441" s="46"/>
      <c r="I441" s="131"/>
      <c r="J441" s="126"/>
      <c r="K441" s="121"/>
      <c r="L441" s="78"/>
      <c r="M441" s="72">
        <f ca="1">IF(INDIRECT(ADDRESS(ROW(),3))&lt;&gt;"",getIBANchecksum(INDIRECT(ADDRESS(ROW(),3))),98)</f>
        <v>98</v>
      </c>
    </row>
    <row r="442" spans="1:13">
      <c r="A442" s="96">
        <f t="shared" si="7"/>
        <v>423</v>
      </c>
      <c r="B442" s="9"/>
      <c r="C442" s="28"/>
      <c r="D442" s="23"/>
      <c r="E442" s="93"/>
      <c r="F442" s="24"/>
      <c r="G442" s="130"/>
      <c r="H442" s="46"/>
      <c r="I442" s="131"/>
      <c r="J442" s="126"/>
      <c r="K442" s="121"/>
      <c r="L442" s="78"/>
      <c r="M442" s="72">
        <f ca="1">IF(INDIRECT(ADDRESS(ROW(),3))&lt;&gt;"",getIBANchecksum(INDIRECT(ADDRESS(ROW(),3))),98)</f>
        <v>98</v>
      </c>
    </row>
    <row r="443" spans="1:13">
      <c r="A443" s="96">
        <f t="shared" si="7"/>
        <v>424</v>
      </c>
      <c r="B443" s="9"/>
      <c r="C443" s="28"/>
      <c r="D443" s="23"/>
      <c r="E443" s="93"/>
      <c r="F443" s="24"/>
      <c r="G443" s="130"/>
      <c r="H443" s="46"/>
      <c r="I443" s="131"/>
      <c r="J443" s="126"/>
      <c r="K443" s="121"/>
      <c r="L443" s="78"/>
      <c r="M443" s="72">
        <f ca="1">IF(INDIRECT(ADDRESS(ROW(),3))&lt;&gt;"",getIBANchecksum(INDIRECT(ADDRESS(ROW(),3))),98)</f>
        <v>98</v>
      </c>
    </row>
    <row r="444" spans="1:13">
      <c r="A444" s="96">
        <f t="shared" si="7"/>
        <v>425</v>
      </c>
      <c r="B444" s="9"/>
      <c r="C444" s="28"/>
      <c r="D444" s="23"/>
      <c r="E444" s="93"/>
      <c r="F444" s="24"/>
      <c r="G444" s="130"/>
      <c r="H444" s="46"/>
      <c r="I444" s="131"/>
      <c r="J444" s="126"/>
      <c r="K444" s="121"/>
      <c r="L444" s="78"/>
      <c r="M444" s="72">
        <f ca="1">IF(INDIRECT(ADDRESS(ROW(),3))&lt;&gt;"",getIBANchecksum(INDIRECT(ADDRESS(ROW(),3))),98)</f>
        <v>98</v>
      </c>
    </row>
    <row r="445" spans="1:13">
      <c r="A445" s="96">
        <f t="shared" si="7"/>
        <v>426</v>
      </c>
      <c r="B445" s="9"/>
      <c r="C445" s="28"/>
      <c r="D445" s="23"/>
      <c r="E445" s="93"/>
      <c r="F445" s="24"/>
      <c r="G445" s="130"/>
      <c r="H445" s="46"/>
      <c r="I445" s="131"/>
      <c r="J445" s="126"/>
      <c r="K445" s="121"/>
      <c r="L445" s="78"/>
      <c r="M445" s="72">
        <f ca="1">IF(INDIRECT(ADDRESS(ROW(),3))&lt;&gt;"",getIBANchecksum(INDIRECT(ADDRESS(ROW(),3))),98)</f>
        <v>98</v>
      </c>
    </row>
    <row r="446" spans="1:13">
      <c r="A446" s="96">
        <f t="shared" si="7"/>
        <v>427</v>
      </c>
      <c r="B446" s="9"/>
      <c r="C446" s="28"/>
      <c r="D446" s="23"/>
      <c r="E446" s="93"/>
      <c r="F446" s="24"/>
      <c r="G446" s="130"/>
      <c r="H446" s="46"/>
      <c r="I446" s="131"/>
      <c r="J446" s="126"/>
      <c r="K446" s="121"/>
      <c r="L446" s="78"/>
      <c r="M446" s="72">
        <f ca="1">IF(INDIRECT(ADDRESS(ROW(),3))&lt;&gt;"",getIBANchecksum(INDIRECT(ADDRESS(ROW(),3))),98)</f>
        <v>98</v>
      </c>
    </row>
    <row r="447" spans="1:13">
      <c r="A447" s="96">
        <f t="shared" si="7"/>
        <v>428</v>
      </c>
      <c r="B447" s="9"/>
      <c r="C447" s="28"/>
      <c r="D447" s="23"/>
      <c r="E447" s="93"/>
      <c r="F447" s="24"/>
      <c r="G447" s="130"/>
      <c r="H447" s="46"/>
      <c r="I447" s="131"/>
      <c r="J447" s="126"/>
      <c r="K447" s="121"/>
      <c r="L447" s="78"/>
      <c r="M447" s="72">
        <f ca="1">IF(INDIRECT(ADDRESS(ROW(),3))&lt;&gt;"",getIBANchecksum(INDIRECT(ADDRESS(ROW(),3))),98)</f>
        <v>98</v>
      </c>
    </row>
    <row r="448" spans="1:13">
      <c r="A448" s="96">
        <f t="shared" si="7"/>
        <v>429</v>
      </c>
      <c r="B448" s="9"/>
      <c r="C448" s="28"/>
      <c r="D448" s="23"/>
      <c r="E448" s="93"/>
      <c r="F448" s="24"/>
      <c r="G448" s="130"/>
      <c r="H448" s="46"/>
      <c r="I448" s="131"/>
      <c r="J448" s="126"/>
      <c r="K448" s="121"/>
      <c r="L448" s="78"/>
      <c r="M448" s="72">
        <f ca="1">IF(INDIRECT(ADDRESS(ROW(),3))&lt;&gt;"",getIBANchecksum(INDIRECT(ADDRESS(ROW(),3))),98)</f>
        <v>98</v>
      </c>
    </row>
    <row r="449" spans="1:13">
      <c r="A449" s="96">
        <f t="shared" si="7"/>
        <v>430</v>
      </c>
      <c r="B449" s="9"/>
      <c r="C449" s="28"/>
      <c r="D449" s="23"/>
      <c r="E449" s="93"/>
      <c r="F449" s="24"/>
      <c r="G449" s="130"/>
      <c r="H449" s="46"/>
      <c r="I449" s="131"/>
      <c r="J449" s="126"/>
      <c r="K449" s="121"/>
      <c r="L449" s="78"/>
      <c r="M449" s="72">
        <f ca="1">IF(INDIRECT(ADDRESS(ROW(),3))&lt;&gt;"",getIBANchecksum(INDIRECT(ADDRESS(ROW(),3))),98)</f>
        <v>98</v>
      </c>
    </row>
    <row r="450" spans="1:13">
      <c r="A450" s="96">
        <f t="shared" si="7"/>
        <v>431</v>
      </c>
      <c r="B450" s="9"/>
      <c r="C450" s="28"/>
      <c r="D450" s="23"/>
      <c r="E450" s="93"/>
      <c r="F450" s="24"/>
      <c r="G450" s="130"/>
      <c r="H450" s="46"/>
      <c r="I450" s="131"/>
      <c r="J450" s="126"/>
      <c r="K450" s="121"/>
      <c r="L450" s="78"/>
      <c r="M450" s="72">
        <f ca="1">IF(INDIRECT(ADDRESS(ROW(),3))&lt;&gt;"",getIBANchecksum(INDIRECT(ADDRESS(ROW(),3))),98)</f>
        <v>98</v>
      </c>
    </row>
    <row r="451" spans="1:13">
      <c r="A451" s="96">
        <f t="shared" si="7"/>
        <v>432</v>
      </c>
      <c r="B451" s="9"/>
      <c r="C451" s="28"/>
      <c r="D451" s="23"/>
      <c r="E451" s="93"/>
      <c r="F451" s="24"/>
      <c r="G451" s="130"/>
      <c r="H451" s="46"/>
      <c r="I451" s="131"/>
      <c r="J451" s="126"/>
      <c r="K451" s="121"/>
      <c r="L451" s="78"/>
      <c r="M451" s="72">
        <f ca="1">IF(INDIRECT(ADDRESS(ROW(),3))&lt;&gt;"",getIBANchecksum(INDIRECT(ADDRESS(ROW(),3))),98)</f>
        <v>98</v>
      </c>
    </row>
    <row r="452" spans="1:13">
      <c r="A452" s="96">
        <f t="shared" si="7"/>
        <v>433</v>
      </c>
      <c r="B452" s="9"/>
      <c r="C452" s="28"/>
      <c r="D452" s="23"/>
      <c r="E452" s="93"/>
      <c r="F452" s="24"/>
      <c r="G452" s="130"/>
      <c r="H452" s="46"/>
      <c r="I452" s="131"/>
      <c r="J452" s="126"/>
      <c r="K452" s="121"/>
      <c r="L452" s="78"/>
      <c r="M452" s="72">
        <f ca="1">IF(INDIRECT(ADDRESS(ROW(),3))&lt;&gt;"",getIBANchecksum(INDIRECT(ADDRESS(ROW(),3))),98)</f>
        <v>98</v>
      </c>
    </row>
    <row r="453" spans="1:13">
      <c r="A453" s="96">
        <f t="shared" si="7"/>
        <v>434</v>
      </c>
      <c r="B453" s="9"/>
      <c r="C453" s="28"/>
      <c r="D453" s="23"/>
      <c r="E453" s="93"/>
      <c r="F453" s="24"/>
      <c r="G453" s="130"/>
      <c r="H453" s="46"/>
      <c r="I453" s="131"/>
      <c r="J453" s="126"/>
      <c r="K453" s="121"/>
      <c r="L453" s="78"/>
      <c r="M453" s="72">
        <f ca="1">IF(INDIRECT(ADDRESS(ROW(),3))&lt;&gt;"",getIBANchecksum(INDIRECT(ADDRESS(ROW(),3))),98)</f>
        <v>98</v>
      </c>
    </row>
    <row r="454" spans="1:13">
      <c r="A454" s="96">
        <f t="shared" si="7"/>
        <v>435</v>
      </c>
      <c r="B454" s="9"/>
      <c r="C454" s="28"/>
      <c r="D454" s="23"/>
      <c r="E454" s="93"/>
      <c r="F454" s="24"/>
      <c r="G454" s="130"/>
      <c r="H454" s="46"/>
      <c r="I454" s="131"/>
      <c r="J454" s="126"/>
      <c r="K454" s="121"/>
      <c r="L454" s="78"/>
      <c r="M454" s="72">
        <f ca="1">IF(INDIRECT(ADDRESS(ROW(),3))&lt;&gt;"",getIBANchecksum(INDIRECT(ADDRESS(ROW(),3))),98)</f>
        <v>98</v>
      </c>
    </row>
    <row r="455" spans="1:13">
      <c r="A455" s="96">
        <f t="shared" si="7"/>
        <v>436</v>
      </c>
      <c r="B455" s="9"/>
      <c r="C455" s="28"/>
      <c r="D455" s="23"/>
      <c r="E455" s="93"/>
      <c r="F455" s="24"/>
      <c r="G455" s="130"/>
      <c r="H455" s="46"/>
      <c r="I455" s="131"/>
      <c r="J455" s="126"/>
      <c r="K455" s="121"/>
      <c r="L455" s="78"/>
      <c r="M455" s="72">
        <f ca="1">IF(INDIRECT(ADDRESS(ROW(),3))&lt;&gt;"",getIBANchecksum(INDIRECT(ADDRESS(ROW(),3))),98)</f>
        <v>98</v>
      </c>
    </row>
    <row r="456" spans="1:13">
      <c r="A456" s="96">
        <f t="shared" si="7"/>
        <v>437</v>
      </c>
      <c r="B456" s="9"/>
      <c r="C456" s="28"/>
      <c r="D456" s="23"/>
      <c r="E456" s="93"/>
      <c r="F456" s="24"/>
      <c r="G456" s="130"/>
      <c r="H456" s="46"/>
      <c r="I456" s="131"/>
      <c r="J456" s="126"/>
      <c r="K456" s="121"/>
      <c r="L456" s="78"/>
      <c r="M456" s="72">
        <f ca="1">IF(INDIRECT(ADDRESS(ROW(),3))&lt;&gt;"",getIBANchecksum(INDIRECT(ADDRESS(ROW(),3))),98)</f>
        <v>98</v>
      </c>
    </row>
    <row r="457" spans="1:13">
      <c r="A457" s="96">
        <f t="shared" si="7"/>
        <v>438</v>
      </c>
      <c r="B457" s="9"/>
      <c r="C457" s="28"/>
      <c r="D457" s="23"/>
      <c r="E457" s="93"/>
      <c r="F457" s="24"/>
      <c r="G457" s="130"/>
      <c r="H457" s="46"/>
      <c r="I457" s="131"/>
      <c r="J457" s="126"/>
      <c r="K457" s="121"/>
      <c r="L457" s="78"/>
      <c r="M457" s="72">
        <f ca="1">IF(INDIRECT(ADDRESS(ROW(),3))&lt;&gt;"",getIBANchecksum(INDIRECT(ADDRESS(ROW(),3))),98)</f>
        <v>98</v>
      </c>
    </row>
    <row r="458" spans="1:13">
      <c r="A458" s="96">
        <f t="shared" si="7"/>
        <v>439</v>
      </c>
      <c r="B458" s="9"/>
      <c r="C458" s="28"/>
      <c r="D458" s="23"/>
      <c r="E458" s="93"/>
      <c r="F458" s="24"/>
      <c r="G458" s="130"/>
      <c r="H458" s="46"/>
      <c r="I458" s="131"/>
      <c r="J458" s="126"/>
      <c r="K458" s="121"/>
      <c r="L458" s="78"/>
      <c r="M458" s="72">
        <f ca="1">IF(INDIRECT(ADDRESS(ROW(),3))&lt;&gt;"",getIBANchecksum(INDIRECT(ADDRESS(ROW(),3))),98)</f>
        <v>98</v>
      </c>
    </row>
    <row r="459" spans="1:13">
      <c r="A459" s="96">
        <f t="shared" si="7"/>
        <v>440</v>
      </c>
      <c r="B459" s="9"/>
      <c r="C459" s="28"/>
      <c r="D459" s="23"/>
      <c r="E459" s="93"/>
      <c r="F459" s="24"/>
      <c r="G459" s="130"/>
      <c r="H459" s="46"/>
      <c r="I459" s="131"/>
      <c r="J459" s="126"/>
      <c r="K459" s="121"/>
      <c r="L459" s="78"/>
      <c r="M459" s="72">
        <f ca="1">IF(INDIRECT(ADDRESS(ROW(),3))&lt;&gt;"",getIBANchecksum(INDIRECT(ADDRESS(ROW(),3))),98)</f>
        <v>98</v>
      </c>
    </row>
    <row r="460" spans="1:13">
      <c r="A460" s="96">
        <f t="shared" si="7"/>
        <v>441</v>
      </c>
      <c r="B460" s="9"/>
      <c r="C460" s="28"/>
      <c r="D460" s="23"/>
      <c r="E460" s="93"/>
      <c r="F460" s="24"/>
      <c r="G460" s="130"/>
      <c r="H460" s="46"/>
      <c r="I460" s="131"/>
      <c r="J460" s="126"/>
      <c r="K460" s="121"/>
      <c r="L460" s="78"/>
      <c r="M460" s="72">
        <f ca="1">IF(INDIRECT(ADDRESS(ROW(),3))&lt;&gt;"",getIBANchecksum(INDIRECT(ADDRESS(ROW(),3))),98)</f>
        <v>98</v>
      </c>
    </row>
    <row r="461" spans="1:13">
      <c r="A461" s="96">
        <f t="shared" si="7"/>
        <v>442</v>
      </c>
      <c r="B461" s="9"/>
      <c r="C461" s="28"/>
      <c r="D461" s="23"/>
      <c r="E461" s="93"/>
      <c r="F461" s="24"/>
      <c r="G461" s="130"/>
      <c r="H461" s="46"/>
      <c r="I461" s="131"/>
      <c r="J461" s="126"/>
      <c r="K461" s="121"/>
      <c r="L461" s="78"/>
      <c r="M461" s="72">
        <f ca="1">IF(INDIRECT(ADDRESS(ROW(),3))&lt;&gt;"",getIBANchecksum(INDIRECT(ADDRESS(ROW(),3))),98)</f>
        <v>98</v>
      </c>
    </row>
    <row r="462" spans="1:13">
      <c r="A462" s="96">
        <f t="shared" si="7"/>
        <v>443</v>
      </c>
      <c r="B462" s="9"/>
      <c r="C462" s="28"/>
      <c r="D462" s="23"/>
      <c r="E462" s="93"/>
      <c r="F462" s="24"/>
      <c r="G462" s="130"/>
      <c r="H462" s="46"/>
      <c r="I462" s="131"/>
      <c r="J462" s="126"/>
      <c r="K462" s="121"/>
      <c r="L462" s="78"/>
      <c r="M462" s="72">
        <f ca="1">IF(INDIRECT(ADDRESS(ROW(),3))&lt;&gt;"",getIBANchecksum(INDIRECT(ADDRESS(ROW(),3))),98)</f>
        <v>98</v>
      </c>
    </row>
    <row r="463" spans="1:13">
      <c r="A463" s="96">
        <f t="shared" si="7"/>
        <v>444</v>
      </c>
      <c r="B463" s="9"/>
      <c r="C463" s="28"/>
      <c r="D463" s="23"/>
      <c r="E463" s="93"/>
      <c r="F463" s="24"/>
      <c r="G463" s="130"/>
      <c r="H463" s="46"/>
      <c r="I463" s="131"/>
      <c r="J463" s="126"/>
      <c r="K463" s="121"/>
      <c r="L463" s="78"/>
      <c r="M463" s="72">
        <f ca="1">IF(INDIRECT(ADDRESS(ROW(),3))&lt;&gt;"",getIBANchecksum(INDIRECT(ADDRESS(ROW(),3))),98)</f>
        <v>98</v>
      </c>
    </row>
    <row r="464" spans="1:13">
      <c r="A464" s="96">
        <f t="shared" si="7"/>
        <v>445</v>
      </c>
      <c r="B464" s="9"/>
      <c r="C464" s="28"/>
      <c r="D464" s="23"/>
      <c r="E464" s="93"/>
      <c r="F464" s="24"/>
      <c r="G464" s="130"/>
      <c r="H464" s="46"/>
      <c r="I464" s="131"/>
      <c r="J464" s="126"/>
      <c r="K464" s="121"/>
      <c r="L464" s="78"/>
      <c r="M464" s="72">
        <f ca="1">IF(INDIRECT(ADDRESS(ROW(),3))&lt;&gt;"",getIBANchecksum(INDIRECT(ADDRESS(ROW(),3))),98)</f>
        <v>98</v>
      </c>
    </row>
    <row r="465" spans="1:13">
      <c r="A465" s="96">
        <f t="shared" si="7"/>
        <v>446</v>
      </c>
      <c r="B465" s="9"/>
      <c r="C465" s="28"/>
      <c r="D465" s="23"/>
      <c r="E465" s="93"/>
      <c r="F465" s="24"/>
      <c r="G465" s="130"/>
      <c r="H465" s="46"/>
      <c r="I465" s="131"/>
      <c r="J465" s="126"/>
      <c r="K465" s="121"/>
      <c r="L465" s="78"/>
      <c r="M465" s="72">
        <f ca="1">IF(INDIRECT(ADDRESS(ROW(),3))&lt;&gt;"",getIBANchecksum(INDIRECT(ADDRESS(ROW(),3))),98)</f>
        <v>98</v>
      </c>
    </row>
    <row r="466" spans="1:13">
      <c r="A466" s="96">
        <f t="shared" si="7"/>
        <v>447</v>
      </c>
      <c r="B466" s="9"/>
      <c r="C466" s="28"/>
      <c r="D466" s="23"/>
      <c r="E466" s="93"/>
      <c r="F466" s="24"/>
      <c r="G466" s="130"/>
      <c r="H466" s="46"/>
      <c r="I466" s="131"/>
      <c r="J466" s="126"/>
      <c r="K466" s="121"/>
      <c r="L466" s="78"/>
      <c r="M466" s="72">
        <f ca="1">IF(INDIRECT(ADDRESS(ROW(),3))&lt;&gt;"",getIBANchecksum(INDIRECT(ADDRESS(ROW(),3))),98)</f>
        <v>98</v>
      </c>
    </row>
    <row r="467" spans="1:13">
      <c r="A467" s="96">
        <f t="shared" si="7"/>
        <v>448</v>
      </c>
      <c r="B467" s="9"/>
      <c r="C467" s="28"/>
      <c r="D467" s="23"/>
      <c r="E467" s="93"/>
      <c r="F467" s="24"/>
      <c r="G467" s="130"/>
      <c r="H467" s="46"/>
      <c r="I467" s="131"/>
      <c r="J467" s="126"/>
      <c r="K467" s="121"/>
      <c r="L467" s="78"/>
      <c r="M467" s="72">
        <f ca="1">IF(INDIRECT(ADDRESS(ROW(),3))&lt;&gt;"",getIBANchecksum(INDIRECT(ADDRESS(ROW(),3))),98)</f>
        <v>98</v>
      </c>
    </row>
    <row r="468" spans="1:13">
      <c r="A468" s="96">
        <f t="shared" si="7"/>
        <v>449</v>
      </c>
      <c r="B468" s="9"/>
      <c r="C468" s="28"/>
      <c r="D468" s="23"/>
      <c r="E468" s="93"/>
      <c r="F468" s="24"/>
      <c r="G468" s="130"/>
      <c r="H468" s="46"/>
      <c r="I468" s="131"/>
      <c r="J468" s="126"/>
      <c r="K468" s="121"/>
      <c r="L468" s="78"/>
      <c r="M468" s="72">
        <f ca="1">IF(INDIRECT(ADDRESS(ROW(),3))&lt;&gt;"",getIBANchecksum(INDIRECT(ADDRESS(ROW(),3))),98)</f>
        <v>98</v>
      </c>
    </row>
    <row r="469" spans="1:13">
      <c r="A469" s="96">
        <f t="shared" si="7"/>
        <v>450</v>
      </c>
      <c r="B469" s="9"/>
      <c r="C469" s="28"/>
      <c r="D469" s="23"/>
      <c r="E469" s="93"/>
      <c r="F469" s="24"/>
      <c r="G469" s="130"/>
      <c r="H469" s="46"/>
      <c r="I469" s="131"/>
      <c r="J469" s="126"/>
      <c r="K469" s="121"/>
      <c r="L469" s="78"/>
      <c r="M469" s="72">
        <f ca="1">IF(INDIRECT(ADDRESS(ROW(),3))&lt;&gt;"",getIBANchecksum(INDIRECT(ADDRESS(ROW(),3))),98)</f>
        <v>98</v>
      </c>
    </row>
    <row r="470" spans="1:13">
      <c r="A470" s="96">
        <f t="shared" ref="A470:A533" si="8">A469+1</f>
        <v>451</v>
      </c>
      <c r="B470" s="9"/>
      <c r="C470" s="28"/>
      <c r="D470" s="23"/>
      <c r="E470" s="93"/>
      <c r="F470" s="24"/>
      <c r="G470" s="130"/>
      <c r="H470" s="46"/>
      <c r="I470" s="131"/>
      <c r="J470" s="126"/>
      <c r="K470" s="121"/>
      <c r="L470" s="78"/>
      <c r="M470" s="72">
        <f ca="1">IF(INDIRECT(ADDRESS(ROW(),3))&lt;&gt;"",getIBANchecksum(INDIRECT(ADDRESS(ROW(),3))),98)</f>
        <v>98</v>
      </c>
    </row>
    <row r="471" spans="1:13">
      <c r="A471" s="96">
        <f t="shared" si="8"/>
        <v>452</v>
      </c>
      <c r="B471" s="9"/>
      <c r="C471" s="28"/>
      <c r="D471" s="23"/>
      <c r="E471" s="93"/>
      <c r="F471" s="24"/>
      <c r="G471" s="130"/>
      <c r="H471" s="46"/>
      <c r="I471" s="131"/>
      <c r="J471" s="126"/>
      <c r="K471" s="121"/>
      <c r="L471" s="78"/>
      <c r="M471" s="72">
        <f ca="1">IF(INDIRECT(ADDRESS(ROW(),3))&lt;&gt;"",getIBANchecksum(INDIRECT(ADDRESS(ROW(),3))),98)</f>
        <v>98</v>
      </c>
    </row>
    <row r="472" spans="1:13">
      <c r="A472" s="96">
        <f t="shared" si="8"/>
        <v>453</v>
      </c>
      <c r="B472" s="9"/>
      <c r="C472" s="28"/>
      <c r="D472" s="23"/>
      <c r="E472" s="93"/>
      <c r="F472" s="24"/>
      <c r="G472" s="130"/>
      <c r="H472" s="46"/>
      <c r="I472" s="131"/>
      <c r="J472" s="126"/>
      <c r="K472" s="121"/>
      <c r="L472" s="78"/>
      <c r="M472" s="72">
        <f ca="1">IF(INDIRECT(ADDRESS(ROW(),3))&lt;&gt;"",getIBANchecksum(INDIRECT(ADDRESS(ROW(),3))),98)</f>
        <v>98</v>
      </c>
    </row>
    <row r="473" spans="1:13">
      <c r="A473" s="96">
        <f t="shared" si="8"/>
        <v>454</v>
      </c>
      <c r="B473" s="9"/>
      <c r="C473" s="28"/>
      <c r="D473" s="23"/>
      <c r="E473" s="93"/>
      <c r="F473" s="24"/>
      <c r="G473" s="130"/>
      <c r="H473" s="46"/>
      <c r="I473" s="131"/>
      <c r="J473" s="126"/>
      <c r="K473" s="121"/>
      <c r="L473" s="78"/>
      <c r="M473" s="72">
        <f ca="1">IF(INDIRECT(ADDRESS(ROW(),3))&lt;&gt;"",getIBANchecksum(INDIRECT(ADDRESS(ROW(),3))),98)</f>
        <v>98</v>
      </c>
    </row>
    <row r="474" spans="1:13">
      <c r="A474" s="96">
        <f t="shared" si="8"/>
        <v>455</v>
      </c>
      <c r="B474" s="9"/>
      <c r="C474" s="28"/>
      <c r="D474" s="23"/>
      <c r="E474" s="93"/>
      <c r="F474" s="24"/>
      <c r="G474" s="130"/>
      <c r="H474" s="46"/>
      <c r="I474" s="131"/>
      <c r="J474" s="126"/>
      <c r="K474" s="121"/>
      <c r="L474" s="78"/>
      <c r="M474" s="72">
        <f ca="1">IF(INDIRECT(ADDRESS(ROW(),3))&lt;&gt;"",getIBANchecksum(INDIRECT(ADDRESS(ROW(),3))),98)</f>
        <v>98</v>
      </c>
    </row>
    <row r="475" spans="1:13">
      <c r="A475" s="96">
        <f t="shared" si="8"/>
        <v>456</v>
      </c>
      <c r="B475" s="9"/>
      <c r="C475" s="28"/>
      <c r="D475" s="23"/>
      <c r="E475" s="93"/>
      <c r="F475" s="24"/>
      <c r="G475" s="130"/>
      <c r="H475" s="46"/>
      <c r="I475" s="131"/>
      <c r="J475" s="126"/>
      <c r="K475" s="121"/>
      <c r="L475" s="78"/>
      <c r="M475" s="72">
        <f ca="1">IF(INDIRECT(ADDRESS(ROW(),3))&lt;&gt;"",getIBANchecksum(INDIRECT(ADDRESS(ROW(),3))),98)</f>
        <v>98</v>
      </c>
    </row>
    <row r="476" spans="1:13">
      <c r="A476" s="96">
        <f t="shared" si="8"/>
        <v>457</v>
      </c>
      <c r="B476" s="9"/>
      <c r="C476" s="28"/>
      <c r="D476" s="23"/>
      <c r="E476" s="93"/>
      <c r="F476" s="24"/>
      <c r="G476" s="130"/>
      <c r="H476" s="46"/>
      <c r="I476" s="131"/>
      <c r="J476" s="126"/>
      <c r="K476" s="121"/>
      <c r="L476" s="78"/>
      <c r="M476" s="72">
        <f ca="1">IF(INDIRECT(ADDRESS(ROW(),3))&lt;&gt;"",getIBANchecksum(INDIRECT(ADDRESS(ROW(),3))),98)</f>
        <v>98</v>
      </c>
    </row>
    <row r="477" spans="1:13">
      <c r="A477" s="96">
        <f t="shared" si="8"/>
        <v>458</v>
      </c>
      <c r="B477" s="9"/>
      <c r="C477" s="28"/>
      <c r="D477" s="23"/>
      <c r="E477" s="93"/>
      <c r="F477" s="24"/>
      <c r="G477" s="130"/>
      <c r="H477" s="46"/>
      <c r="I477" s="131"/>
      <c r="J477" s="126"/>
      <c r="K477" s="121"/>
      <c r="L477" s="78"/>
      <c r="M477" s="72">
        <f ca="1">IF(INDIRECT(ADDRESS(ROW(),3))&lt;&gt;"",getIBANchecksum(INDIRECT(ADDRESS(ROW(),3))),98)</f>
        <v>98</v>
      </c>
    </row>
    <row r="478" spans="1:13">
      <c r="A478" s="96">
        <f t="shared" si="8"/>
        <v>459</v>
      </c>
      <c r="B478" s="9"/>
      <c r="C478" s="28"/>
      <c r="D478" s="23"/>
      <c r="E478" s="93"/>
      <c r="F478" s="24"/>
      <c r="G478" s="130"/>
      <c r="H478" s="46"/>
      <c r="I478" s="131"/>
      <c r="J478" s="126"/>
      <c r="K478" s="121"/>
      <c r="L478" s="78"/>
      <c r="M478" s="72">
        <f ca="1">IF(INDIRECT(ADDRESS(ROW(),3))&lt;&gt;"",getIBANchecksum(INDIRECT(ADDRESS(ROW(),3))),98)</f>
        <v>98</v>
      </c>
    </row>
    <row r="479" spans="1:13">
      <c r="A479" s="96">
        <f t="shared" si="8"/>
        <v>460</v>
      </c>
      <c r="B479" s="9"/>
      <c r="C479" s="28"/>
      <c r="D479" s="23"/>
      <c r="E479" s="93"/>
      <c r="F479" s="24"/>
      <c r="G479" s="130"/>
      <c r="H479" s="46"/>
      <c r="I479" s="131"/>
      <c r="J479" s="126"/>
      <c r="K479" s="121"/>
      <c r="L479" s="78"/>
      <c r="M479" s="72">
        <f ca="1">IF(INDIRECT(ADDRESS(ROW(),3))&lt;&gt;"",getIBANchecksum(INDIRECT(ADDRESS(ROW(),3))),98)</f>
        <v>98</v>
      </c>
    </row>
    <row r="480" spans="1:13">
      <c r="A480" s="96">
        <f t="shared" si="8"/>
        <v>461</v>
      </c>
      <c r="B480" s="9"/>
      <c r="C480" s="28"/>
      <c r="D480" s="23"/>
      <c r="E480" s="93"/>
      <c r="F480" s="24"/>
      <c r="G480" s="130"/>
      <c r="H480" s="46"/>
      <c r="I480" s="131"/>
      <c r="J480" s="126"/>
      <c r="K480" s="121"/>
      <c r="L480" s="78"/>
      <c r="M480" s="72">
        <f ca="1">IF(INDIRECT(ADDRESS(ROW(),3))&lt;&gt;"",getIBANchecksum(INDIRECT(ADDRESS(ROW(),3))),98)</f>
        <v>98</v>
      </c>
    </row>
    <row r="481" spans="1:13">
      <c r="A481" s="96">
        <f t="shared" si="8"/>
        <v>462</v>
      </c>
      <c r="B481" s="9"/>
      <c r="C481" s="28"/>
      <c r="D481" s="23"/>
      <c r="E481" s="93"/>
      <c r="F481" s="24"/>
      <c r="G481" s="130"/>
      <c r="H481" s="46"/>
      <c r="I481" s="131"/>
      <c r="J481" s="126"/>
      <c r="K481" s="121"/>
      <c r="L481" s="78"/>
      <c r="M481" s="72">
        <f ca="1">IF(INDIRECT(ADDRESS(ROW(),3))&lt;&gt;"",getIBANchecksum(INDIRECT(ADDRESS(ROW(),3))),98)</f>
        <v>98</v>
      </c>
    </row>
    <row r="482" spans="1:13">
      <c r="A482" s="96">
        <f t="shared" si="8"/>
        <v>463</v>
      </c>
      <c r="B482" s="9"/>
      <c r="C482" s="28"/>
      <c r="D482" s="23"/>
      <c r="E482" s="93"/>
      <c r="F482" s="24"/>
      <c r="G482" s="130"/>
      <c r="H482" s="46"/>
      <c r="I482" s="131"/>
      <c r="J482" s="126"/>
      <c r="K482" s="121"/>
      <c r="L482" s="78"/>
      <c r="M482" s="72">
        <f ca="1">IF(INDIRECT(ADDRESS(ROW(),3))&lt;&gt;"",getIBANchecksum(INDIRECT(ADDRESS(ROW(),3))),98)</f>
        <v>98</v>
      </c>
    </row>
    <row r="483" spans="1:13">
      <c r="A483" s="96">
        <f t="shared" si="8"/>
        <v>464</v>
      </c>
      <c r="B483" s="9"/>
      <c r="C483" s="28"/>
      <c r="D483" s="23"/>
      <c r="E483" s="93"/>
      <c r="F483" s="24"/>
      <c r="G483" s="130"/>
      <c r="H483" s="46"/>
      <c r="I483" s="131"/>
      <c r="J483" s="126"/>
      <c r="K483" s="121"/>
      <c r="L483" s="78"/>
      <c r="M483" s="72">
        <f ca="1">IF(INDIRECT(ADDRESS(ROW(),3))&lt;&gt;"",getIBANchecksum(INDIRECT(ADDRESS(ROW(),3))),98)</f>
        <v>98</v>
      </c>
    </row>
    <row r="484" spans="1:13">
      <c r="A484" s="96">
        <f t="shared" si="8"/>
        <v>465</v>
      </c>
      <c r="B484" s="9"/>
      <c r="C484" s="28"/>
      <c r="D484" s="23"/>
      <c r="E484" s="93"/>
      <c r="F484" s="24"/>
      <c r="G484" s="130"/>
      <c r="H484" s="46"/>
      <c r="I484" s="131"/>
      <c r="J484" s="126"/>
      <c r="K484" s="121"/>
      <c r="L484" s="78"/>
      <c r="M484" s="72">
        <f ca="1">IF(INDIRECT(ADDRESS(ROW(),3))&lt;&gt;"",getIBANchecksum(INDIRECT(ADDRESS(ROW(),3))),98)</f>
        <v>98</v>
      </c>
    </row>
    <row r="485" spans="1:13">
      <c r="A485" s="96">
        <f t="shared" si="8"/>
        <v>466</v>
      </c>
      <c r="B485" s="9"/>
      <c r="C485" s="28"/>
      <c r="D485" s="23"/>
      <c r="E485" s="93"/>
      <c r="F485" s="24"/>
      <c r="G485" s="130"/>
      <c r="H485" s="46"/>
      <c r="I485" s="131"/>
      <c r="J485" s="126"/>
      <c r="K485" s="121"/>
      <c r="L485" s="78"/>
      <c r="M485" s="72">
        <f ca="1">IF(INDIRECT(ADDRESS(ROW(),3))&lt;&gt;"",getIBANchecksum(INDIRECT(ADDRESS(ROW(),3))),98)</f>
        <v>98</v>
      </c>
    </row>
    <row r="486" spans="1:13">
      <c r="A486" s="96">
        <f t="shared" si="8"/>
        <v>467</v>
      </c>
      <c r="B486" s="9"/>
      <c r="C486" s="28"/>
      <c r="D486" s="23"/>
      <c r="E486" s="93"/>
      <c r="F486" s="24"/>
      <c r="G486" s="130"/>
      <c r="H486" s="46"/>
      <c r="I486" s="131"/>
      <c r="J486" s="126"/>
      <c r="K486" s="121"/>
      <c r="L486" s="78"/>
      <c r="M486" s="72">
        <f ca="1">IF(INDIRECT(ADDRESS(ROW(),3))&lt;&gt;"",getIBANchecksum(INDIRECT(ADDRESS(ROW(),3))),98)</f>
        <v>98</v>
      </c>
    </row>
    <row r="487" spans="1:13">
      <c r="A487" s="96">
        <f t="shared" si="8"/>
        <v>468</v>
      </c>
      <c r="B487" s="9"/>
      <c r="C487" s="28"/>
      <c r="D487" s="23"/>
      <c r="E487" s="93"/>
      <c r="F487" s="24"/>
      <c r="G487" s="130"/>
      <c r="H487" s="46"/>
      <c r="I487" s="131"/>
      <c r="J487" s="126"/>
      <c r="K487" s="121"/>
      <c r="L487" s="78"/>
      <c r="M487" s="72">
        <f ca="1">IF(INDIRECT(ADDRESS(ROW(),3))&lt;&gt;"",getIBANchecksum(INDIRECT(ADDRESS(ROW(),3))),98)</f>
        <v>98</v>
      </c>
    </row>
    <row r="488" spans="1:13">
      <c r="A488" s="96">
        <f t="shared" si="8"/>
        <v>469</v>
      </c>
      <c r="B488" s="9"/>
      <c r="C488" s="28"/>
      <c r="D488" s="23"/>
      <c r="E488" s="93"/>
      <c r="F488" s="24"/>
      <c r="G488" s="130"/>
      <c r="H488" s="46"/>
      <c r="I488" s="131"/>
      <c r="J488" s="126"/>
      <c r="K488" s="121"/>
      <c r="L488" s="78"/>
      <c r="M488" s="72">
        <f ca="1">IF(INDIRECT(ADDRESS(ROW(),3))&lt;&gt;"",getIBANchecksum(INDIRECT(ADDRESS(ROW(),3))),98)</f>
        <v>98</v>
      </c>
    </row>
    <row r="489" spans="1:13">
      <c r="A489" s="96">
        <f t="shared" si="8"/>
        <v>470</v>
      </c>
      <c r="B489" s="9"/>
      <c r="C489" s="28"/>
      <c r="D489" s="23"/>
      <c r="E489" s="93"/>
      <c r="F489" s="24"/>
      <c r="G489" s="130"/>
      <c r="H489" s="46"/>
      <c r="I489" s="131"/>
      <c r="J489" s="126"/>
      <c r="K489" s="121"/>
      <c r="L489" s="78"/>
      <c r="M489" s="72">
        <f ca="1">IF(INDIRECT(ADDRESS(ROW(),3))&lt;&gt;"",getIBANchecksum(INDIRECT(ADDRESS(ROW(),3))),98)</f>
        <v>98</v>
      </c>
    </row>
    <row r="490" spans="1:13">
      <c r="A490" s="96">
        <f t="shared" si="8"/>
        <v>471</v>
      </c>
      <c r="B490" s="9"/>
      <c r="C490" s="28"/>
      <c r="D490" s="23"/>
      <c r="E490" s="93"/>
      <c r="F490" s="24"/>
      <c r="G490" s="130"/>
      <c r="H490" s="46"/>
      <c r="I490" s="131"/>
      <c r="J490" s="126"/>
      <c r="K490" s="121"/>
      <c r="L490" s="78"/>
      <c r="M490" s="72">
        <f ca="1">IF(INDIRECT(ADDRESS(ROW(),3))&lt;&gt;"",getIBANchecksum(INDIRECT(ADDRESS(ROW(),3))),98)</f>
        <v>98</v>
      </c>
    </row>
    <row r="491" spans="1:13">
      <c r="A491" s="96">
        <f t="shared" si="8"/>
        <v>472</v>
      </c>
      <c r="B491" s="9"/>
      <c r="C491" s="28"/>
      <c r="D491" s="23"/>
      <c r="E491" s="93"/>
      <c r="F491" s="24"/>
      <c r="G491" s="130"/>
      <c r="H491" s="46"/>
      <c r="I491" s="131"/>
      <c r="J491" s="126"/>
      <c r="K491" s="121"/>
      <c r="L491" s="78"/>
      <c r="M491" s="72">
        <f ca="1">IF(INDIRECT(ADDRESS(ROW(),3))&lt;&gt;"",getIBANchecksum(INDIRECT(ADDRESS(ROW(),3))),98)</f>
        <v>98</v>
      </c>
    </row>
    <row r="492" spans="1:13">
      <c r="A492" s="96">
        <f t="shared" si="8"/>
        <v>473</v>
      </c>
      <c r="B492" s="9"/>
      <c r="C492" s="28"/>
      <c r="D492" s="23"/>
      <c r="E492" s="93"/>
      <c r="F492" s="24"/>
      <c r="G492" s="130"/>
      <c r="H492" s="46"/>
      <c r="I492" s="131"/>
      <c r="J492" s="126"/>
      <c r="K492" s="121"/>
      <c r="L492" s="78"/>
      <c r="M492" s="72">
        <f ca="1">IF(INDIRECT(ADDRESS(ROW(),3))&lt;&gt;"",getIBANchecksum(INDIRECT(ADDRESS(ROW(),3))),98)</f>
        <v>98</v>
      </c>
    </row>
    <row r="493" spans="1:13">
      <c r="A493" s="96">
        <f t="shared" si="8"/>
        <v>474</v>
      </c>
      <c r="B493" s="9"/>
      <c r="C493" s="28"/>
      <c r="D493" s="23"/>
      <c r="E493" s="93"/>
      <c r="F493" s="24"/>
      <c r="G493" s="130"/>
      <c r="H493" s="46"/>
      <c r="I493" s="131"/>
      <c r="J493" s="126"/>
      <c r="K493" s="121"/>
      <c r="L493" s="78"/>
      <c r="M493" s="72">
        <f ca="1">IF(INDIRECT(ADDRESS(ROW(),3))&lt;&gt;"",getIBANchecksum(INDIRECT(ADDRESS(ROW(),3))),98)</f>
        <v>98</v>
      </c>
    </row>
    <row r="494" spans="1:13">
      <c r="A494" s="96">
        <f t="shared" si="8"/>
        <v>475</v>
      </c>
      <c r="B494" s="9"/>
      <c r="C494" s="28"/>
      <c r="D494" s="23"/>
      <c r="E494" s="93"/>
      <c r="F494" s="24"/>
      <c r="G494" s="130"/>
      <c r="H494" s="46"/>
      <c r="I494" s="131"/>
      <c r="J494" s="126"/>
      <c r="K494" s="121"/>
      <c r="L494" s="78"/>
      <c r="M494" s="72">
        <f ca="1">IF(INDIRECT(ADDRESS(ROW(),3))&lt;&gt;"",getIBANchecksum(INDIRECT(ADDRESS(ROW(),3))),98)</f>
        <v>98</v>
      </c>
    </row>
    <row r="495" spans="1:13">
      <c r="A495" s="96">
        <f t="shared" si="8"/>
        <v>476</v>
      </c>
      <c r="B495" s="9"/>
      <c r="C495" s="28"/>
      <c r="D495" s="23"/>
      <c r="E495" s="93"/>
      <c r="F495" s="24"/>
      <c r="G495" s="130"/>
      <c r="H495" s="46"/>
      <c r="I495" s="131"/>
      <c r="J495" s="126"/>
      <c r="K495" s="121"/>
      <c r="L495" s="78"/>
      <c r="M495" s="72">
        <f ca="1">IF(INDIRECT(ADDRESS(ROW(),3))&lt;&gt;"",getIBANchecksum(INDIRECT(ADDRESS(ROW(),3))),98)</f>
        <v>98</v>
      </c>
    </row>
    <row r="496" spans="1:13">
      <c r="A496" s="96">
        <f t="shared" si="8"/>
        <v>477</v>
      </c>
      <c r="B496" s="9"/>
      <c r="C496" s="28"/>
      <c r="D496" s="23"/>
      <c r="E496" s="93"/>
      <c r="F496" s="24"/>
      <c r="G496" s="130"/>
      <c r="H496" s="46"/>
      <c r="I496" s="131"/>
      <c r="J496" s="126"/>
      <c r="K496" s="121"/>
      <c r="L496" s="78"/>
      <c r="M496" s="72">
        <f ca="1">IF(INDIRECT(ADDRESS(ROW(),3))&lt;&gt;"",getIBANchecksum(INDIRECT(ADDRESS(ROW(),3))),98)</f>
        <v>98</v>
      </c>
    </row>
    <row r="497" spans="1:13">
      <c r="A497" s="96">
        <f t="shared" si="8"/>
        <v>478</v>
      </c>
      <c r="B497" s="9"/>
      <c r="C497" s="28"/>
      <c r="D497" s="23"/>
      <c r="E497" s="93"/>
      <c r="F497" s="24"/>
      <c r="G497" s="130"/>
      <c r="H497" s="46"/>
      <c r="I497" s="131"/>
      <c r="J497" s="126"/>
      <c r="K497" s="121"/>
      <c r="L497" s="78"/>
      <c r="M497" s="72">
        <f ca="1">IF(INDIRECT(ADDRESS(ROW(),3))&lt;&gt;"",getIBANchecksum(INDIRECT(ADDRESS(ROW(),3))),98)</f>
        <v>98</v>
      </c>
    </row>
    <row r="498" spans="1:13">
      <c r="A498" s="96">
        <f t="shared" si="8"/>
        <v>479</v>
      </c>
      <c r="B498" s="9"/>
      <c r="C498" s="28"/>
      <c r="D498" s="23"/>
      <c r="E498" s="93"/>
      <c r="F498" s="24"/>
      <c r="G498" s="130"/>
      <c r="H498" s="46"/>
      <c r="I498" s="131"/>
      <c r="J498" s="126"/>
      <c r="K498" s="121"/>
      <c r="L498" s="78"/>
      <c r="M498" s="72">
        <f ca="1">IF(INDIRECT(ADDRESS(ROW(),3))&lt;&gt;"",getIBANchecksum(INDIRECT(ADDRESS(ROW(),3))),98)</f>
        <v>98</v>
      </c>
    </row>
    <row r="499" spans="1:13">
      <c r="A499" s="96">
        <f t="shared" si="8"/>
        <v>480</v>
      </c>
      <c r="B499" s="9"/>
      <c r="C499" s="28"/>
      <c r="D499" s="23"/>
      <c r="E499" s="93"/>
      <c r="F499" s="24"/>
      <c r="G499" s="130"/>
      <c r="H499" s="46"/>
      <c r="I499" s="131"/>
      <c r="J499" s="126"/>
      <c r="K499" s="121"/>
      <c r="L499" s="78"/>
      <c r="M499" s="72">
        <f ca="1">IF(INDIRECT(ADDRESS(ROW(),3))&lt;&gt;"",getIBANchecksum(INDIRECT(ADDRESS(ROW(),3))),98)</f>
        <v>98</v>
      </c>
    </row>
    <row r="500" spans="1:13">
      <c r="A500" s="96">
        <f t="shared" si="8"/>
        <v>481</v>
      </c>
      <c r="B500" s="9"/>
      <c r="C500" s="28"/>
      <c r="D500" s="23"/>
      <c r="E500" s="93"/>
      <c r="F500" s="24"/>
      <c r="G500" s="130"/>
      <c r="H500" s="46"/>
      <c r="I500" s="131"/>
      <c r="J500" s="126"/>
      <c r="K500" s="121"/>
      <c r="L500" s="78"/>
      <c r="M500" s="72">
        <f ca="1">IF(INDIRECT(ADDRESS(ROW(),3))&lt;&gt;"",getIBANchecksum(INDIRECT(ADDRESS(ROW(),3))),98)</f>
        <v>98</v>
      </c>
    </row>
    <row r="501" spans="1:13">
      <c r="A501" s="96">
        <f t="shared" si="8"/>
        <v>482</v>
      </c>
      <c r="B501" s="9"/>
      <c r="C501" s="28"/>
      <c r="D501" s="23"/>
      <c r="E501" s="93"/>
      <c r="F501" s="24"/>
      <c r="G501" s="130"/>
      <c r="H501" s="46"/>
      <c r="I501" s="131"/>
      <c r="J501" s="126"/>
      <c r="K501" s="121"/>
      <c r="L501" s="78"/>
      <c r="M501" s="72">
        <f ca="1">IF(INDIRECT(ADDRESS(ROW(),3))&lt;&gt;"",getIBANchecksum(INDIRECT(ADDRESS(ROW(),3))),98)</f>
        <v>98</v>
      </c>
    </row>
    <row r="502" spans="1:13">
      <c r="A502" s="96">
        <f t="shared" si="8"/>
        <v>483</v>
      </c>
      <c r="B502" s="9"/>
      <c r="C502" s="28"/>
      <c r="D502" s="23"/>
      <c r="E502" s="93"/>
      <c r="F502" s="24"/>
      <c r="G502" s="130"/>
      <c r="H502" s="46"/>
      <c r="I502" s="131"/>
      <c r="J502" s="126"/>
      <c r="K502" s="121"/>
      <c r="L502" s="78"/>
      <c r="M502" s="72">
        <f ca="1">IF(INDIRECT(ADDRESS(ROW(),3))&lt;&gt;"",getIBANchecksum(INDIRECT(ADDRESS(ROW(),3))),98)</f>
        <v>98</v>
      </c>
    </row>
    <row r="503" spans="1:13">
      <c r="A503" s="96">
        <f t="shared" si="8"/>
        <v>484</v>
      </c>
      <c r="B503" s="9"/>
      <c r="C503" s="28"/>
      <c r="D503" s="23"/>
      <c r="E503" s="93"/>
      <c r="F503" s="24"/>
      <c r="G503" s="130"/>
      <c r="H503" s="46"/>
      <c r="I503" s="131"/>
      <c r="J503" s="126"/>
      <c r="K503" s="121"/>
      <c r="L503" s="78"/>
      <c r="M503" s="72">
        <f ca="1">IF(INDIRECT(ADDRESS(ROW(),3))&lt;&gt;"",getIBANchecksum(INDIRECT(ADDRESS(ROW(),3))),98)</f>
        <v>98</v>
      </c>
    </row>
    <row r="504" spans="1:13">
      <c r="A504" s="96">
        <f t="shared" si="8"/>
        <v>485</v>
      </c>
      <c r="B504" s="9"/>
      <c r="C504" s="28"/>
      <c r="D504" s="23"/>
      <c r="E504" s="93"/>
      <c r="F504" s="24"/>
      <c r="G504" s="130"/>
      <c r="H504" s="46"/>
      <c r="I504" s="131"/>
      <c r="J504" s="126"/>
      <c r="K504" s="121"/>
      <c r="L504" s="78"/>
      <c r="M504" s="72">
        <f ca="1">IF(INDIRECT(ADDRESS(ROW(),3))&lt;&gt;"",getIBANchecksum(INDIRECT(ADDRESS(ROW(),3))),98)</f>
        <v>98</v>
      </c>
    </row>
    <row r="505" spans="1:13">
      <c r="A505" s="96">
        <f t="shared" si="8"/>
        <v>486</v>
      </c>
      <c r="B505" s="9"/>
      <c r="C505" s="28"/>
      <c r="D505" s="23"/>
      <c r="E505" s="93"/>
      <c r="F505" s="24"/>
      <c r="G505" s="130"/>
      <c r="H505" s="46"/>
      <c r="I505" s="131"/>
      <c r="J505" s="126"/>
      <c r="K505" s="121"/>
      <c r="L505" s="78"/>
      <c r="M505" s="72">
        <f ca="1">IF(INDIRECT(ADDRESS(ROW(),3))&lt;&gt;"",getIBANchecksum(INDIRECT(ADDRESS(ROW(),3))),98)</f>
        <v>98</v>
      </c>
    </row>
    <row r="506" spans="1:13">
      <c r="A506" s="96">
        <f t="shared" si="8"/>
        <v>487</v>
      </c>
      <c r="B506" s="9"/>
      <c r="C506" s="28"/>
      <c r="D506" s="23"/>
      <c r="E506" s="93"/>
      <c r="F506" s="24"/>
      <c r="G506" s="130"/>
      <c r="H506" s="46"/>
      <c r="I506" s="131"/>
      <c r="J506" s="126"/>
      <c r="K506" s="121"/>
      <c r="L506" s="78"/>
      <c r="M506" s="72">
        <f ca="1">IF(INDIRECT(ADDRESS(ROW(),3))&lt;&gt;"",getIBANchecksum(INDIRECT(ADDRESS(ROW(),3))),98)</f>
        <v>98</v>
      </c>
    </row>
    <row r="507" spans="1:13">
      <c r="A507" s="96">
        <f t="shared" si="8"/>
        <v>488</v>
      </c>
      <c r="B507" s="9"/>
      <c r="C507" s="28"/>
      <c r="D507" s="23"/>
      <c r="E507" s="93"/>
      <c r="F507" s="24"/>
      <c r="G507" s="130"/>
      <c r="H507" s="46"/>
      <c r="I507" s="131"/>
      <c r="J507" s="126"/>
      <c r="K507" s="121"/>
      <c r="L507" s="78"/>
      <c r="M507" s="72">
        <f ca="1">IF(INDIRECT(ADDRESS(ROW(),3))&lt;&gt;"",getIBANchecksum(INDIRECT(ADDRESS(ROW(),3))),98)</f>
        <v>98</v>
      </c>
    </row>
    <row r="508" spans="1:13">
      <c r="A508" s="96">
        <f t="shared" si="8"/>
        <v>489</v>
      </c>
      <c r="B508" s="9"/>
      <c r="C508" s="28"/>
      <c r="D508" s="23"/>
      <c r="E508" s="93"/>
      <c r="F508" s="24"/>
      <c r="G508" s="130"/>
      <c r="H508" s="46"/>
      <c r="I508" s="131"/>
      <c r="J508" s="126"/>
      <c r="K508" s="121"/>
      <c r="L508" s="78"/>
      <c r="M508" s="72">
        <f ca="1">IF(INDIRECT(ADDRESS(ROW(),3))&lt;&gt;"",getIBANchecksum(INDIRECT(ADDRESS(ROW(),3))),98)</f>
        <v>98</v>
      </c>
    </row>
    <row r="509" spans="1:13">
      <c r="A509" s="96">
        <f t="shared" si="8"/>
        <v>490</v>
      </c>
      <c r="B509" s="9"/>
      <c r="C509" s="28"/>
      <c r="D509" s="23"/>
      <c r="E509" s="93"/>
      <c r="F509" s="24"/>
      <c r="G509" s="130"/>
      <c r="H509" s="46"/>
      <c r="I509" s="131"/>
      <c r="J509" s="126"/>
      <c r="K509" s="121"/>
      <c r="L509" s="78"/>
      <c r="M509" s="72">
        <f ca="1">IF(INDIRECT(ADDRESS(ROW(),3))&lt;&gt;"",getIBANchecksum(INDIRECT(ADDRESS(ROW(),3))),98)</f>
        <v>98</v>
      </c>
    </row>
    <row r="510" spans="1:13">
      <c r="A510" s="96">
        <f t="shared" si="8"/>
        <v>491</v>
      </c>
      <c r="B510" s="9"/>
      <c r="C510" s="28"/>
      <c r="D510" s="23"/>
      <c r="E510" s="93"/>
      <c r="F510" s="24"/>
      <c r="G510" s="130"/>
      <c r="H510" s="46"/>
      <c r="I510" s="131"/>
      <c r="J510" s="126"/>
      <c r="K510" s="121"/>
      <c r="L510" s="78"/>
      <c r="M510" s="72">
        <f ca="1">IF(INDIRECT(ADDRESS(ROW(),3))&lt;&gt;"",getIBANchecksum(INDIRECT(ADDRESS(ROW(),3))),98)</f>
        <v>98</v>
      </c>
    </row>
    <row r="511" spans="1:13">
      <c r="A511" s="96">
        <f t="shared" si="8"/>
        <v>492</v>
      </c>
      <c r="B511" s="9"/>
      <c r="C511" s="28"/>
      <c r="D511" s="23"/>
      <c r="E511" s="93"/>
      <c r="F511" s="24"/>
      <c r="G511" s="130"/>
      <c r="H511" s="46"/>
      <c r="I511" s="131"/>
      <c r="J511" s="126"/>
      <c r="K511" s="121"/>
      <c r="L511" s="78"/>
      <c r="M511" s="72">
        <f ca="1">IF(INDIRECT(ADDRESS(ROW(),3))&lt;&gt;"",getIBANchecksum(INDIRECT(ADDRESS(ROW(),3))),98)</f>
        <v>98</v>
      </c>
    </row>
    <row r="512" spans="1:13">
      <c r="A512" s="96">
        <f t="shared" si="8"/>
        <v>493</v>
      </c>
      <c r="B512" s="9"/>
      <c r="C512" s="28"/>
      <c r="D512" s="23"/>
      <c r="E512" s="93"/>
      <c r="F512" s="24"/>
      <c r="G512" s="130"/>
      <c r="H512" s="46"/>
      <c r="I512" s="131"/>
      <c r="J512" s="126"/>
      <c r="K512" s="121"/>
      <c r="L512" s="78"/>
      <c r="M512" s="72">
        <f ca="1">IF(INDIRECT(ADDRESS(ROW(),3))&lt;&gt;"",getIBANchecksum(INDIRECT(ADDRESS(ROW(),3))),98)</f>
        <v>98</v>
      </c>
    </row>
    <row r="513" spans="1:13">
      <c r="A513" s="96">
        <f t="shared" si="8"/>
        <v>494</v>
      </c>
      <c r="B513" s="9"/>
      <c r="C513" s="28"/>
      <c r="D513" s="23"/>
      <c r="E513" s="93"/>
      <c r="F513" s="24"/>
      <c r="G513" s="130"/>
      <c r="H513" s="46"/>
      <c r="I513" s="131"/>
      <c r="J513" s="126"/>
      <c r="K513" s="121"/>
      <c r="L513" s="78"/>
      <c r="M513" s="72">
        <f ca="1">IF(INDIRECT(ADDRESS(ROW(),3))&lt;&gt;"",getIBANchecksum(INDIRECT(ADDRESS(ROW(),3))),98)</f>
        <v>98</v>
      </c>
    </row>
    <row r="514" spans="1:13">
      <c r="A514" s="96">
        <f t="shared" si="8"/>
        <v>495</v>
      </c>
      <c r="B514" s="9"/>
      <c r="C514" s="28"/>
      <c r="D514" s="23"/>
      <c r="E514" s="93"/>
      <c r="F514" s="24"/>
      <c r="G514" s="130"/>
      <c r="H514" s="46"/>
      <c r="I514" s="131"/>
      <c r="J514" s="126"/>
      <c r="K514" s="121"/>
      <c r="L514" s="78"/>
      <c r="M514" s="72">
        <f ca="1">IF(INDIRECT(ADDRESS(ROW(),3))&lt;&gt;"",getIBANchecksum(INDIRECT(ADDRESS(ROW(),3))),98)</f>
        <v>98</v>
      </c>
    </row>
    <row r="515" spans="1:13">
      <c r="A515" s="96">
        <f t="shared" si="8"/>
        <v>496</v>
      </c>
      <c r="B515" s="9"/>
      <c r="C515" s="28"/>
      <c r="D515" s="23"/>
      <c r="E515" s="93"/>
      <c r="F515" s="24"/>
      <c r="G515" s="130"/>
      <c r="H515" s="46"/>
      <c r="I515" s="131"/>
      <c r="J515" s="126"/>
      <c r="K515" s="121"/>
      <c r="L515" s="78"/>
      <c r="M515" s="72">
        <f ca="1">IF(INDIRECT(ADDRESS(ROW(),3))&lt;&gt;"",getIBANchecksum(INDIRECT(ADDRESS(ROW(),3))),98)</f>
        <v>98</v>
      </c>
    </row>
    <row r="516" spans="1:13">
      <c r="A516" s="96">
        <f t="shared" si="8"/>
        <v>497</v>
      </c>
      <c r="B516" s="9"/>
      <c r="C516" s="28"/>
      <c r="D516" s="23"/>
      <c r="E516" s="93"/>
      <c r="F516" s="24"/>
      <c r="G516" s="130"/>
      <c r="H516" s="46"/>
      <c r="I516" s="131"/>
      <c r="J516" s="126"/>
      <c r="K516" s="121"/>
      <c r="L516" s="78"/>
      <c r="M516" s="72">
        <f ca="1">IF(INDIRECT(ADDRESS(ROW(),3))&lt;&gt;"",getIBANchecksum(INDIRECT(ADDRESS(ROW(),3))),98)</f>
        <v>98</v>
      </c>
    </row>
    <row r="517" spans="1:13">
      <c r="A517" s="96">
        <f t="shared" si="8"/>
        <v>498</v>
      </c>
      <c r="B517" s="9"/>
      <c r="C517" s="28"/>
      <c r="D517" s="23"/>
      <c r="E517" s="93"/>
      <c r="F517" s="24"/>
      <c r="G517" s="130"/>
      <c r="H517" s="46"/>
      <c r="I517" s="131"/>
      <c r="J517" s="126"/>
      <c r="K517" s="121"/>
      <c r="L517" s="78"/>
      <c r="M517" s="72">
        <f ca="1">IF(INDIRECT(ADDRESS(ROW(),3))&lt;&gt;"",getIBANchecksum(INDIRECT(ADDRESS(ROW(),3))),98)</f>
        <v>98</v>
      </c>
    </row>
    <row r="518" spans="1:13">
      <c r="A518" s="96">
        <f t="shared" si="8"/>
        <v>499</v>
      </c>
      <c r="B518" s="9"/>
      <c r="C518" s="28"/>
      <c r="D518" s="23"/>
      <c r="E518" s="93"/>
      <c r="F518" s="24"/>
      <c r="G518" s="130"/>
      <c r="H518" s="46"/>
      <c r="I518" s="131"/>
      <c r="J518" s="126"/>
      <c r="K518" s="121"/>
      <c r="L518" s="78"/>
      <c r="M518" s="72">
        <f ca="1">IF(INDIRECT(ADDRESS(ROW(),3))&lt;&gt;"",getIBANchecksum(INDIRECT(ADDRESS(ROW(),3))),98)</f>
        <v>98</v>
      </c>
    </row>
    <row r="519" spans="1:13">
      <c r="A519" s="96">
        <f t="shared" si="8"/>
        <v>500</v>
      </c>
      <c r="B519" s="9"/>
      <c r="C519" s="28"/>
      <c r="D519" s="23"/>
      <c r="E519" s="93"/>
      <c r="F519" s="24"/>
      <c r="G519" s="130"/>
      <c r="H519" s="46"/>
      <c r="I519" s="131"/>
      <c r="J519" s="126"/>
      <c r="K519" s="121"/>
      <c r="L519" s="78"/>
      <c r="M519" s="72">
        <f ca="1">IF(INDIRECT(ADDRESS(ROW(),3))&lt;&gt;"",getIBANchecksum(INDIRECT(ADDRESS(ROW(),3))),98)</f>
        <v>98</v>
      </c>
    </row>
    <row r="520" spans="1:13">
      <c r="A520" s="96">
        <f t="shared" si="8"/>
        <v>501</v>
      </c>
      <c r="B520" s="9"/>
      <c r="C520" s="28"/>
      <c r="D520" s="23"/>
      <c r="E520" s="93"/>
      <c r="F520" s="24"/>
      <c r="G520" s="130"/>
      <c r="H520" s="46"/>
      <c r="I520" s="131"/>
      <c r="J520" s="126"/>
      <c r="K520" s="121"/>
      <c r="L520" s="78"/>
      <c r="M520" s="72">
        <f ca="1">IF(INDIRECT(ADDRESS(ROW(),3))&lt;&gt;"",getIBANchecksum(INDIRECT(ADDRESS(ROW(),3))),98)</f>
        <v>98</v>
      </c>
    </row>
    <row r="521" spans="1:13">
      <c r="A521" s="96">
        <f t="shared" si="8"/>
        <v>502</v>
      </c>
      <c r="B521" s="9"/>
      <c r="C521" s="28"/>
      <c r="D521" s="23"/>
      <c r="E521" s="93"/>
      <c r="F521" s="24"/>
      <c r="G521" s="130"/>
      <c r="H521" s="46"/>
      <c r="I521" s="131"/>
      <c r="J521" s="126"/>
      <c r="K521" s="121"/>
      <c r="L521" s="78"/>
      <c r="M521" s="72">
        <f ca="1">IF(INDIRECT(ADDRESS(ROW(),3))&lt;&gt;"",getIBANchecksum(INDIRECT(ADDRESS(ROW(),3))),98)</f>
        <v>98</v>
      </c>
    </row>
    <row r="522" spans="1:13">
      <c r="A522" s="96">
        <f t="shared" si="8"/>
        <v>503</v>
      </c>
      <c r="B522" s="9"/>
      <c r="C522" s="28"/>
      <c r="D522" s="23"/>
      <c r="E522" s="93"/>
      <c r="F522" s="24"/>
      <c r="G522" s="130"/>
      <c r="H522" s="46"/>
      <c r="I522" s="131"/>
      <c r="J522" s="126"/>
      <c r="K522" s="121"/>
      <c r="L522" s="78"/>
      <c r="M522" s="72">
        <f ca="1">IF(INDIRECT(ADDRESS(ROW(),3))&lt;&gt;"",getIBANchecksum(INDIRECT(ADDRESS(ROW(),3))),98)</f>
        <v>98</v>
      </c>
    </row>
    <row r="523" spans="1:13">
      <c r="A523" s="96">
        <f t="shared" si="8"/>
        <v>504</v>
      </c>
      <c r="B523" s="9"/>
      <c r="C523" s="28"/>
      <c r="D523" s="23"/>
      <c r="E523" s="93"/>
      <c r="F523" s="24"/>
      <c r="G523" s="130"/>
      <c r="H523" s="46"/>
      <c r="I523" s="131"/>
      <c r="J523" s="126"/>
      <c r="K523" s="121"/>
      <c r="L523" s="78"/>
      <c r="M523" s="72">
        <f ca="1">IF(INDIRECT(ADDRESS(ROW(),3))&lt;&gt;"",getIBANchecksum(INDIRECT(ADDRESS(ROW(),3))),98)</f>
        <v>98</v>
      </c>
    </row>
    <row r="524" spans="1:13">
      <c r="A524" s="96">
        <f t="shared" si="8"/>
        <v>505</v>
      </c>
      <c r="B524" s="9"/>
      <c r="C524" s="28"/>
      <c r="D524" s="23"/>
      <c r="E524" s="93"/>
      <c r="F524" s="24"/>
      <c r="G524" s="130"/>
      <c r="H524" s="46"/>
      <c r="I524" s="131"/>
      <c r="J524" s="126"/>
      <c r="K524" s="121"/>
      <c r="L524" s="78"/>
      <c r="M524" s="72">
        <f ca="1">IF(INDIRECT(ADDRESS(ROW(),3))&lt;&gt;"",getIBANchecksum(INDIRECT(ADDRESS(ROW(),3))),98)</f>
        <v>98</v>
      </c>
    </row>
    <row r="525" spans="1:13">
      <c r="A525" s="96">
        <f t="shared" si="8"/>
        <v>506</v>
      </c>
      <c r="B525" s="9"/>
      <c r="C525" s="28"/>
      <c r="D525" s="23"/>
      <c r="E525" s="93"/>
      <c r="F525" s="24"/>
      <c r="G525" s="130"/>
      <c r="H525" s="46"/>
      <c r="I525" s="131"/>
      <c r="J525" s="126"/>
      <c r="K525" s="121"/>
      <c r="L525" s="78"/>
      <c r="M525" s="72">
        <f ca="1">IF(INDIRECT(ADDRESS(ROW(),3))&lt;&gt;"",getIBANchecksum(INDIRECT(ADDRESS(ROW(),3))),98)</f>
        <v>98</v>
      </c>
    </row>
    <row r="526" spans="1:13">
      <c r="A526" s="96">
        <f t="shared" si="8"/>
        <v>507</v>
      </c>
      <c r="B526" s="9"/>
      <c r="C526" s="28"/>
      <c r="D526" s="23"/>
      <c r="E526" s="93"/>
      <c r="F526" s="24"/>
      <c r="G526" s="130"/>
      <c r="H526" s="46"/>
      <c r="I526" s="131"/>
      <c r="J526" s="126"/>
      <c r="K526" s="121"/>
      <c r="L526" s="78"/>
      <c r="M526" s="72">
        <f ca="1">IF(INDIRECT(ADDRESS(ROW(),3))&lt;&gt;"",getIBANchecksum(INDIRECT(ADDRESS(ROW(),3))),98)</f>
        <v>98</v>
      </c>
    </row>
    <row r="527" spans="1:13">
      <c r="A527" s="96">
        <f t="shared" si="8"/>
        <v>508</v>
      </c>
      <c r="B527" s="9"/>
      <c r="C527" s="28"/>
      <c r="D527" s="23"/>
      <c r="E527" s="93"/>
      <c r="F527" s="24"/>
      <c r="G527" s="130"/>
      <c r="H527" s="46"/>
      <c r="I527" s="131"/>
      <c r="J527" s="126"/>
      <c r="K527" s="121"/>
      <c r="L527" s="78"/>
      <c r="M527" s="72">
        <f ca="1">IF(INDIRECT(ADDRESS(ROW(),3))&lt;&gt;"",getIBANchecksum(INDIRECT(ADDRESS(ROW(),3))),98)</f>
        <v>98</v>
      </c>
    </row>
    <row r="528" spans="1:13">
      <c r="A528" s="96">
        <f t="shared" si="8"/>
        <v>509</v>
      </c>
      <c r="B528" s="9"/>
      <c r="C528" s="28"/>
      <c r="D528" s="23"/>
      <c r="E528" s="93"/>
      <c r="F528" s="24"/>
      <c r="G528" s="130"/>
      <c r="H528" s="46"/>
      <c r="I528" s="131"/>
      <c r="J528" s="126"/>
      <c r="K528" s="121"/>
      <c r="L528" s="78"/>
      <c r="M528" s="72">
        <f ca="1">IF(INDIRECT(ADDRESS(ROW(),3))&lt;&gt;"",getIBANchecksum(INDIRECT(ADDRESS(ROW(),3))),98)</f>
        <v>98</v>
      </c>
    </row>
    <row r="529" spans="1:13">
      <c r="A529" s="96">
        <f t="shared" si="8"/>
        <v>510</v>
      </c>
      <c r="B529" s="9"/>
      <c r="C529" s="28"/>
      <c r="D529" s="23"/>
      <c r="E529" s="93"/>
      <c r="F529" s="24"/>
      <c r="G529" s="130"/>
      <c r="H529" s="46"/>
      <c r="I529" s="131"/>
      <c r="J529" s="126"/>
      <c r="K529" s="121"/>
      <c r="L529" s="78"/>
      <c r="M529" s="72">
        <f ca="1">IF(INDIRECT(ADDRESS(ROW(),3))&lt;&gt;"",getIBANchecksum(INDIRECT(ADDRESS(ROW(),3))),98)</f>
        <v>98</v>
      </c>
    </row>
    <row r="530" spans="1:13">
      <c r="A530" s="96">
        <f t="shared" si="8"/>
        <v>511</v>
      </c>
      <c r="B530" s="9"/>
      <c r="C530" s="28"/>
      <c r="D530" s="23"/>
      <c r="E530" s="93"/>
      <c r="F530" s="24"/>
      <c r="G530" s="130"/>
      <c r="H530" s="46"/>
      <c r="I530" s="131"/>
      <c r="J530" s="126"/>
      <c r="K530" s="121"/>
      <c r="L530" s="78"/>
      <c r="M530" s="72">
        <f ca="1">IF(INDIRECT(ADDRESS(ROW(),3))&lt;&gt;"",getIBANchecksum(INDIRECT(ADDRESS(ROW(),3))),98)</f>
        <v>98</v>
      </c>
    </row>
    <row r="531" spans="1:13">
      <c r="A531" s="96">
        <f t="shared" si="8"/>
        <v>512</v>
      </c>
      <c r="B531" s="9"/>
      <c r="C531" s="28"/>
      <c r="D531" s="23"/>
      <c r="E531" s="93"/>
      <c r="F531" s="24"/>
      <c r="G531" s="130"/>
      <c r="H531" s="46"/>
      <c r="I531" s="131"/>
      <c r="J531" s="126"/>
      <c r="K531" s="121"/>
      <c r="L531" s="78"/>
      <c r="M531" s="72">
        <f ca="1">IF(INDIRECT(ADDRESS(ROW(),3))&lt;&gt;"",getIBANchecksum(INDIRECT(ADDRESS(ROW(),3))),98)</f>
        <v>98</v>
      </c>
    </row>
    <row r="532" spans="1:13">
      <c r="A532" s="96">
        <f t="shared" si="8"/>
        <v>513</v>
      </c>
      <c r="B532" s="9"/>
      <c r="C532" s="28"/>
      <c r="D532" s="23"/>
      <c r="E532" s="93"/>
      <c r="F532" s="24"/>
      <c r="G532" s="130"/>
      <c r="H532" s="46"/>
      <c r="I532" s="131"/>
      <c r="J532" s="126"/>
      <c r="K532" s="121"/>
      <c r="L532" s="78"/>
      <c r="M532" s="72">
        <f ca="1">IF(INDIRECT(ADDRESS(ROW(),3))&lt;&gt;"",getIBANchecksum(INDIRECT(ADDRESS(ROW(),3))),98)</f>
        <v>98</v>
      </c>
    </row>
    <row r="533" spans="1:13">
      <c r="A533" s="96">
        <f t="shared" si="8"/>
        <v>514</v>
      </c>
      <c r="B533" s="9"/>
      <c r="C533" s="28"/>
      <c r="D533" s="23"/>
      <c r="E533" s="93"/>
      <c r="F533" s="24"/>
      <c r="G533" s="130"/>
      <c r="H533" s="46"/>
      <c r="I533" s="131"/>
      <c r="J533" s="126"/>
      <c r="K533" s="121"/>
      <c r="L533" s="78"/>
      <c r="M533" s="72">
        <f ca="1">IF(INDIRECT(ADDRESS(ROW(),3))&lt;&gt;"",getIBANchecksum(INDIRECT(ADDRESS(ROW(),3))),98)</f>
        <v>98</v>
      </c>
    </row>
    <row r="534" spans="1:13">
      <c r="A534" s="96">
        <f t="shared" ref="A534:A597" si="9">A533+1</f>
        <v>515</v>
      </c>
      <c r="B534" s="9"/>
      <c r="C534" s="28"/>
      <c r="D534" s="23"/>
      <c r="E534" s="93"/>
      <c r="F534" s="24"/>
      <c r="G534" s="130"/>
      <c r="H534" s="46"/>
      <c r="I534" s="131"/>
      <c r="J534" s="126"/>
      <c r="K534" s="121"/>
      <c r="L534" s="78"/>
      <c r="M534" s="72">
        <f ca="1">IF(INDIRECT(ADDRESS(ROW(),3))&lt;&gt;"",getIBANchecksum(INDIRECT(ADDRESS(ROW(),3))),98)</f>
        <v>98</v>
      </c>
    </row>
    <row r="535" spans="1:13">
      <c r="A535" s="96">
        <f t="shared" si="9"/>
        <v>516</v>
      </c>
      <c r="B535" s="9"/>
      <c r="C535" s="28"/>
      <c r="D535" s="23"/>
      <c r="E535" s="93"/>
      <c r="F535" s="24"/>
      <c r="G535" s="130"/>
      <c r="H535" s="46"/>
      <c r="I535" s="131"/>
      <c r="J535" s="126"/>
      <c r="K535" s="121"/>
      <c r="L535" s="78"/>
      <c r="M535" s="72">
        <f ca="1">IF(INDIRECT(ADDRESS(ROW(),3))&lt;&gt;"",getIBANchecksum(INDIRECT(ADDRESS(ROW(),3))),98)</f>
        <v>98</v>
      </c>
    </row>
    <row r="536" spans="1:13">
      <c r="A536" s="96">
        <f t="shared" si="9"/>
        <v>517</v>
      </c>
      <c r="B536" s="9"/>
      <c r="C536" s="28"/>
      <c r="D536" s="23"/>
      <c r="E536" s="93"/>
      <c r="F536" s="24"/>
      <c r="G536" s="130"/>
      <c r="H536" s="46"/>
      <c r="I536" s="131"/>
      <c r="J536" s="126"/>
      <c r="K536" s="121"/>
      <c r="L536" s="78"/>
      <c r="M536" s="72">
        <f ca="1">IF(INDIRECT(ADDRESS(ROW(),3))&lt;&gt;"",getIBANchecksum(INDIRECT(ADDRESS(ROW(),3))),98)</f>
        <v>98</v>
      </c>
    </row>
    <row r="537" spans="1:13">
      <c r="A537" s="96">
        <f t="shared" si="9"/>
        <v>518</v>
      </c>
      <c r="B537" s="9"/>
      <c r="C537" s="28"/>
      <c r="D537" s="23"/>
      <c r="E537" s="93"/>
      <c r="F537" s="24"/>
      <c r="G537" s="130"/>
      <c r="H537" s="46"/>
      <c r="I537" s="131"/>
      <c r="J537" s="126"/>
      <c r="K537" s="121"/>
      <c r="L537" s="78"/>
      <c r="M537" s="72">
        <f ca="1">IF(INDIRECT(ADDRESS(ROW(),3))&lt;&gt;"",getIBANchecksum(INDIRECT(ADDRESS(ROW(),3))),98)</f>
        <v>98</v>
      </c>
    </row>
    <row r="538" spans="1:13">
      <c r="A538" s="96">
        <f t="shared" si="9"/>
        <v>519</v>
      </c>
      <c r="B538" s="9"/>
      <c r="C538" s="28"/>
      <c r="D538" s="23"/>
      <c r="E538" s="93"/>
      <c r="F538" s="24"/>
      <c r="G538" s="130"/>
      <c r="H538" s="46"/>
      <c r="I538" s="131"/>
      <c r="J538" s="126"/>
      <c r="K538" s="121"/>
      <c r="L538" s="78"/>
      <c r="M538" s="72">
        <f ca="1">IF(INDIRECT(ADDRESS(ROW(),3))&lt;&gt;"",getIBANchecksum(INDIRECT(ADDRESS(ROW(),3))),98)</f>
        <v>98</v>
      </c>
    </row>
    <row r="539" spans="1:13">
      <c r="A539" s="96">
        <f t="shared" si="9"/>
        <v>520</v>
      </c>
      <c r="B539" s="9"/>
      <c r="C539" s="28"/>
      <c r="D539" s="23"/>
      <c r="E539" s="93"/>
      <c r="F539" s="24"/>
      <c r="G539" s="130"/>
      <c r="H539" s="46"/>
      <c r="I539" s="131"/>
      <c r="J539" s="126"/>
      <c r="K539" s="121"/>
      <c r="L539" s="78"/>
      <c r="M539" s="72">
        <f ca="1">IF(INDIRECT(ADDRESS(ROW(),3))&lt;&gt;"",getIBANchecksum(INDIRECT(ADDRESS(ROW(),3))),98)</f>
        <v>98</v>
      </c>
    </row>
    <row r="540" spans="1:13">
      <c r="A540" s="96">
        <f t="shared" si="9"/>
        <v>521</v>
      </c>
      <c r="B540" s="9"/>
      <c r="C540" s="28"/>
      <c r="D540" s="23"/>
      <c r="E540" s="93"/>
      <c r="F540" s="24"/>
      <c r="G540" s="130"/>
      <c r="H540" s="46"/>
      <c r="I540" s="131"/>
      <c r="J540" s="126"/>
      <c r="K540" s="121"/>
      <c r="L540" s="78"/>
      <c r="M540" s="72">
        <f ca="1">IF(INDIRECT(ADDRESS(ROW(),3))&lt;&gt;"",getIBANchecksum(INDIRECT(ADDRESS(ROW(),3))),98)</f>
        <v>98</v>
      </c>
    </row>
    <row r="541" spans="1:13">
      <c r="A541" s="96">
        <f t="shared" si="9"/>
        <v>522</v>
      </c>
      <c r="B541" s="9"/>
      <c r="C541" s="28"/>
      <c r="D541" s="23"/>
      <c r="E541" s="93"/>
      <c r="F541" s="24"/>
      <c r="G541" s="130"/>
      <c r="H541" s="46"/>
      <c r="I541" s="131"/>
      <c r="J541" s="126"/>
      <c r="K541" s="121"/>
      <c r="L541" s="78"/>
      <c r="M541" s="72">
        <f ca="1">IF(INDIRECT(ADDRESS(ROW(),3))&lt;&gt;"",getIBANchecksum(INDIRECT(ADDRESS(ROW(),3))),98)</f>
        <v>98</v>
      </c>
    </row>
    <row r="542" spans="1:13">
      <c r="A542" s="96">
        <f t="shared" si="9"/>
        <v>523</v>
      </c>
      <c r="B542" s="9"/>
      <c r="C542" s="28"/>
      <c r="D542" s="23"/>
      <c r="E542" s="93"/>
      <c r="F542" s="24"/>
      <c r="G542" s="130"/>
      <c r="H542" s="46"/>
      <c r="I542" s="131"/>
      <c r="J542" s="126"/>
      <c r="K542" s="121"/>
      <c r="L542" s="78"/>
      <c r="M542" s="72">
        <f ca="1">IF(INDIRECT(ADDRESS(ROW(),3))&lt;&gt;"",getIBANchecksum(INDIRECT(ADDRESS(ROW(),3))),98)</f>
        <v>98</v>
      </c>
    </row>
    <row r="543" spans="1:13">
      <c r="A543" s="96">
        <f t="shared" si="9"/>
        <v>524</v>
      </c>
      <c r="B543" s="9"/>
      <c r="C543" s="28"/>
      <c r="D543" s="23"/>
      <c r="E543" s="93"/>
      <c r="F543" s="24"/>
      <c r="G543" s="130"/>
      <c r="H543" s="46"/>
      <c r="I543" s="131"/>
      <c r="J543" s="126"/>
      <c r="K543" s="121"/>
      <c r="L543" s="78"/>
      <c r="M543" s="72">
        <f ca="1">IF(INDIRECT(ADDRESS(ROW(),3))&lt;&gt;"",getIBANchecksum(INDIRECT(ADDRESS(ROW(),3))),98)</f>
        <v>98</v>
      </c>
    </row>
    <row r="544" spans="1:13">
      <c r="A544" s="96">
        <f t="shared" si="9"/>
        <v>525</v>
      </c>
      <c r="B544" s="9"/>
      <c r="C544" s="28"/>
      <c r="D544" s="23"/>
      <c r="E544" s="93"/>
      <c r="F544" s="24"/>
      <c r="G544" s="130"/>
      <c r="H544" s="46"/>
      <c r="I544" s="131"/>
      <c r="J544" s="126"/>
      <c r="K544" s="121"/>
      <c r="L544" s="78"/>
      <c r="M544" s="72">
        <f ca="1">IF(INDIRECT(ADDRESS(ROW(),3))&lt;&gt;"",getIBANchecksum(INDIRECT(ADDRESS(ROW(),3))),98)</f>
        <v>98</v>
      </c>
    </row>
    <row r="545" spans="1:13">
      <c r="A545" s="96">
        <f t="shared" si="9"/>
        <v>526</v>
      </c>
      <c r="B545" s="9"/>
      <c r="C545" s="28"/>
      <c r="D545" s="23"/>
      <c r="E545" s="93"/>
      <c r="F545" s="24"/>
      <c r="G545" s="130"/>
      <c r="H545" s="46"/>
      <c r="I545" s="131"/>
      <c r="J545" s="126"/>
      <c r="K545" s="121"/>
      <c r="L545" s="78"/>
      <c r="M545" s="72">
        <f ca="1">IF(INDIRECT(ADDRESS(ROW(),3))&lt;&gt;"",getIBANchecksum(INDIRECT(ADDRESS(ROW(),3))),98)</f>
        <v>98</v>
      </c>
    </row>
    <row r="546" spans="1:13">
      <c r="A546" s="96">
        <f t="shared" si="9"/>
        <v>527</v>
      </c>
      <c r="B546" s="9"/>
      <c r="C546" s="28"/>
      <c r="D546" s="23"/>
      <c r="E546" s="93"/>
      <c r="F546" s="24"/>
      <c r="G546" s="130"/>
      <c r="H546" s="46"/>
      <c r="I546" s="131"/>
      <c r="J546" s="126"/>
      <c r="K546" s="121"/>
      <c r="L546" s="78"/>
      <c r="M546" s="72">
        <f ca="1">IF(INDIRECT(ADDRESS(ROW(),3))&lt;&gt;"",getIBANchecksum(INDIRECT(ADDRESS(ROW(),3))),98)</f>
        <v>98</v>
      </c>
    </row>
    <row r="547" spans="1:13">
      <c r="A547" s="96">
        <f t="shared" si="9"/>
        <v>528</v>
      </c>
      <c r="B547" s="9"/>
      <c r="C547" s="28"/>
      <c r="D547" s="23"/>
      <c r="E547" s="93"/>
      <c r="F547" s="24"/>
      <c r="G547" s="130"/>
      <c r="H547" s="46"/>
      <c r="I547" s="131"/>
      <c r="J547" s="126"/>
      <c r="K547" s="121"/>
      <c r="L547" s="78"/>
      <c r="M547" s="72">
        <f ca="1">IF(INDIRECT(ADDRESS(ROW(),3))&lt;&gt;"",getIBANchecksum(INDIRECT(ADDRESS(ROW(),3))),98)</f>
        <v>98</v>
      </c>
    </row>
    <row r="548" spans="1:13">
      <c r="A548" s="96">
        <f t="shared" si="9"/>
        <v>529</v>
      </c>
      <c r="B548" s="9"/>
      <c r="C548" s="28"/>
      <c r="D548" s="23"/>
      <c r="E548" s="93"/>
      <c r="F548" s="24"/>
      <c r="G548" s="130"/>
      <c r="H548" s="46"/>
      <c r="I548" s="131"/>
      <c r="J548" s="126"/>
      <c r="K548" s="121"/>
      <c r="L548" s="78"/>
      <c r="M548" s="72">
        <f ca="1">IF(INDIRECT(ADDRESS(ROW(),3))&lt;&gt;"",getIBANchecksum(INDIRECT(ADDRESS(ROW(),3))),98)</f>
        <v>98</v>
      </c>
    </row>
    <row r="549" spans="1:13">
      <c r="A549" s="96">
        <f t="shared" si="9"/>
        <v>530</v>
      </c>
      <c r="B549" s="9"/>
      <c r="C549" s="28"/>
      <c r="D549" s="23"/>
      <c r="E549" s="93"/>
      <c r="F549" s="24"/>
      <c r="G549" s="130"/>
      <c r="H549" s="46"/>
      <c r="I549" s="131"/>
      <c r="J549" s="126"/>
      <c r="K549" s="121"/>
      <c r="L549" s="78"/>
      <c r="M549" s="72">
        <f ca="1">IF(INDIRECT(ADDRESS(ROW(),3))&lt;&gt;"",getIBANchecksum(INDIRECT(ADDRESS(ROW(),3))),98)</f>
        <v>98</v>
      </c>
    </row>
    <row r="550" spans="1:13">
      <c r="A550" s="96">
        <f t="shared" si="9"/>
        <v>531</v>
      </c>
      <c r="B550" s="9"/>
      <c r="C550" s="28"/>
      <c r="D550" s="23"/>
      <c r="E550" s="93"/>
      <c r="F550" s="24"/>
      <c r="G550" s="130"/>
      <c r="H550" s="46"/>
      <c r="I550" s="131"/>
      <c r="J550" s="126"/>
      <c r="K550" s="121"/>
      <c r="L550" s="78"/>
      <c r="M550" s="72">
        <f ca="1">IF(INDIRECT(ADDRESS(ROW(),3))&lt;&gt;"",getIBANchecksum(INDIRECT(ADDRESS(ROW(),3))),98)</f>
        <v>98</v>
      </c>
    </row>
    <row r="551" spans="1:13">
      <c r="A551" s="96">
        <f t="shared" si="9"/>
        <v>532</v>
      </c>
      <c r="B551" s="9"/>
      <c r="C551" s="28"/>
      <c r="D551" s="23"/>
      <c r="E551" s="93"/>
      <c r="F551" s="24"/>
      <c r="G551" s="130"/>
      <c r="H551" s="46"/>
      <c r="I551" s="131"/>
      <c r="J551" s="126"/>
      <c r="K551" s="121"/>
      <c r="L551" s="78"/>
      <c r="M551" s="72">
        <f ca="1">IF(INDIRECT(ADDRESS(ROW(),3))&lt;&gt;"",getIBANchecksum(INDIRECT(ADDRESS(ROW(),3))),98)</f>
        <v>98</v>
      </c>
    </row>
    <row r="552" spans="1:13">
      <c r="A552" s="96">
        <f t="shared" si="9"/>
        <v>533</v>
      </c>
      <c r="B552" s="9"/>
      <c r="C552" s="28"/>
      <c r="D552" s="23"/>
      <c r="E552" s="93"/>
      <c r="F552" s="24"/>
      <c r="G552" s="130"/>
      <c r="H552" s="46"/>
      <c r="I552" s="131"/>
      <c r="J552" s="126"/>
      <c r="K552" s="121"/>
      <c r="L552" s="78"/>
      <c r="M552" s="72">
        <f ca="1">IF(INDIRECT(ADDRESS(ROW(),3))&lt;&gt;"",getIBANchecksum(INDIRECT(ADDRESS(ROW(),3))),98)</f>
        <v>98</v>
      </c>
    </row>
    <row r="553" spans="1:13">
      <c r="A553" s="96">
        <f t="shared" si="9"/>
        <v>534</v>
      </c>
      <c r="B553" s="9"/>
      <c r="C553" s="28"/>
      <c r="D553" s="23"/>
      <c r="E553" s="93"/>
      <c r="F553" s="24"/>
      <c r="G553" s="130"/>
      <c r="H553" s="46"/>
      <c r="I553" s="131"/>
      <c r="J553" s="126"/>
      <c r="K553" s="121"/>
      <c r="L553" s="78"/>
      <c r="M553" s="72">
        <f ca="1">IF(INDIRECT(ADDRESS(ROW(),3))&lt;&gt;"",getIBANchecksum(INDIRECT(ADDRESS(ROW(),3))),98)</f>
        <v>98</v>
      </c>
    </row>
    <row r="554" spans="1:13">
      <c r="A554" s="96">
        <f t="shared" si="9"/>
        <v>535</v>
      </c>
      <c r="B554" s="9"/>
      <c r="C554" s="28"/>
      <c r="D554" s="23"/>
      <c r="E554" s="93"/>
      <c r="F554" s="24"/>
      <c r="G554" s="130"/>
      <c r="H554" s="46"/>
      <c r="I554" s="131"/>
      <c r="J554" s="126"/>
      <c r="K554" s="121"/>
      <c r="L554" s="78"/>
      <c r="M554" s="72">
        <f ca="1">IF(INDIRECT(ADDRESS(ROW(),3))&lt;&gt;"",getIBANchecksum(INDIRECT(ADDRESS(ROW(),3))),98)</f>
        <v>98</v>
      </c>
    </row>
    <row r="555" spans="1:13">
      <c r="A555" s="96">
        <f t="shared" si="9"/>
        <v>536</v>
      </c>
      <c r="B555" s="9"/>
      <c r="C555" s="28"/>
      <c r="D555" s="23"/>
      <c r="E555" s="93"/>
      <c r="F555" s="24"/>
      <c r="G555" s="130"/>
      <c r="H555" s="46"/>
      <c r="I555" s="131"/>
      <c r="J555" s="126"/>
      <c r="K555" s="121"/>
      <c r="L555" s="78"/>
      <c r="M555" s="72">
        <f ca="1">IF(INDIRECT(ADDRESS(ROW(),3))&lt;&gt;"",getIBANchecksum(INDIRECT(ADDRESS(ROW(),3))),98)</f>
        <v>98</v>
      </c>
    </row>
    <row r="556" spans="1:13">
      <c r="A556" s="96">
        <f t="shared" si="9"/>
        <v>537</v>
      </c>
      <c r="B556" s="9"/>
      <c r="C556" s="28"/>
      <c r="D556" s="23"/>
      <c r="E556" s="93"/>
      <c r="F556" s="24"/>
      <c r="G556" s="130"/>
      <c r="H556" s="46"/>
      <c r="I556" s="131"/>
      <c r="J556" s="126"/>
      <c r="K556" s="121"/>
      <c r="L556" s="78"/>
      <c r="M556" s="72">
        <f ca="1">IF(INDIRECT(ADDRESS(ROW(),3))&lt;&gt;"",getIBANchecksum(INDIRECT(ADDRESS(ROW(),3))),98)</f>
        <v>98</v>
      </c>
    </row>
    <row r="557" spans="1:13">
      <c r="A557" s="96">
        <f t="shared" si="9"/>
        <v>538</v>
      </c>
      <c r="B557" s="9"/>
      <c r="C557" s="28"/>
      <c r="D557" s="23"/>
      <c r="E557" s="93"/>
      <c r="F557" s="24"/>
      <c r="G557" s="130"/>
      <c r="H557" s="46"/>
      <c r="I557" s="131"/>
      <c r="J557" s="126"/>
      <c r="K557" s="121"/>
      <c r="L557" s="78"/>
      <c r="M557" s="72">
        <f ca="1">IF(INDIRECT(ADDRESS(ROW(),3))&lt;&gt;"",getIBANchecksum(INDIRECT(ADDRESS(ROW(),3))),98)</f>
        <v>98</v>
      </c>
    </row>
    <row r="558" spans="1:13">
      <c r="A558" s="96">
        <f t="shared" si="9"/>
        <v>539</v>
      </c>
      <c r="B558" s="9"/>
      <c r="C558" s="28"/>
      <c r="D558" s="23"/>
      <c r="E558" s="93"/>
      <c r="F558" s="24"/>
      <c r="G558" s="130"/>
      <c r="H558" s="46"/>
      <c r="I558" s="131"/>
      <c r="J558" s="126"/>
      <c r="K558" s="121"/>
      <c r="L558" s="78"/>
      <c r="M558" s="72">
        <f ca="1">IF(INDIRECT(ADDRESS(ROW(),3))&lt;&gt;"",getIBANchecksum(INDIRECT(ADDRESS(ROW(),3))),98)</f>
        <v>98</v>
      </c>
    </row>
    <row r="559" spans="1:13">
      <c r="A559" s="96">
        <f t="shared" si="9"/>
        <v>540</v>
      </c>
      <c r="B559" s="9"/>
      <c r="C559" s="28"/>
      <c r="D559" s="23"/>
      <c r="E559" s="93"/>
      <c r="F559" s="24"/>
      <c r="G559" s="130"/>
      <c r="H559" s="46"/>
      <c r="I559" s="131"/>
      <c r="J559" s="126"/>
      <c r="K559" s="121"/>
      <c r="L559" s="78"/>
      <c r="M559" s="72">
        <f ca="1">IF(INDIRECT(ADDRESS(ROW(),3))&lt;&gt;"",getIBANchecksum(INDIRECT(ADDRESS(ROW(),3))),98)</f>
        <v>98</v>
      </c>
    </row>
    <row r="560" spans="1:13">
      <c r="A560" s="96">
        <f t="shared" si="9"/>
        <v>541</v>
      </c>
      <c r="B560" s="9"/>
      <c r="C560" s="28"/>
      <c r="D560" s="23"/>
      <c r="E560" s="93"/>
      <c r="F560" s="24"/>
      <c r="G560" s="130"/>
      <c r="H560" s="46"/>
      <c r="I560" s="131"/>
      <c r="J560" s="126"/>
      <c r="K560" s="121"/>
      <c r="L560" s="78"/>
      <c r="M560" s="72">
        <f ca="1">IF(INDIRECT(ADDRESS(ROW(),3))&lt;&gt;"",getIBANchecksum(INDIRECT(ADDRESS(ROW(),3))),98)</f>
        <v>98</v>
      </c>
    </row>
    <row r="561" spans="1:13">
      <c r="A561" s="96">
        <f t="shared" si="9"/>
        <v>542</v>
      </c>
      <c r="B561" s="9"/>
      <c r="C561" s="28"/>
      <c r="D561" s="23"/>
      <c r="E561" s="93"/>
      <c r="F561" s="24"/>
      <c r="G561" s="130"/>
      <c r="H561" s="46"/>
      <c r="I561" s="131"/>
      <c r="J561" s="126"/>
      <c r="K561" s="121"/>
      <c r="L561" s="78"/>
      <c r="M561" s="72">
        <f ca="1">IF(INDIRECT(ADDRESS(ROW(),3))&lt;&gt;"",getIBANchecksum(INDIRECT(ADDRESS(ROW(),3))),98)</f>
        <v>98</v>
      </c>
    </row>
    <row r="562" spans="1:13">
      <c r="A562" s="96">
        <f t="shared" si="9"/>
        <v>543</v>
      </c>
      <c r="B562" s="9"/>
      <c r="C562" s="28"/>
      <c r="D562" s="23"/>
      <c r="E562" s="93"/>
      <c r="F562" s="24"/>
      <c r="G562" s="130"/>
      <c r="H562" s="46"/>
      <c r="I562" s="131"/>
      <c r="J562" s="126"/>
      <c r="K562" s="121"/>
      <c r="L562" s="78"/>
      <c r="M562" s="72">
        <f ca="1">IF(INDIRECT(ADDRESS(ROW(),3))&lt;&gt;"",getIBANchecksum(INDIRECT(ADDRESS(ROW(),3))),98)</f>
        <v>98</v>
      </c>
    </row>
    <row r="563" spans="1:13">
      <c r="A563" s="96">
        <f t="shared" si="9"/>
        <v>544</v>
      </c>
      <c r="B563" s="9"/>
      <c r="C563" s="28"/>
      <c r="D563" s="23"/>
      <c r="E563" s="93"/>
      <c r="F563" s="24"/>
      <c r="G563" s="130"/>
      <c r="H563" s="46"/>
      <c r="I563" s="131"/>
      <c r="J563" s="126"/>
      <c r="K563" s="121"/>
      <c r="L563" s="78"/>
      <c r="M563" s="72">
        <f ca="1">IF(INDIRECT(ADDRESS(ROW(),3))&lt;&gt;"",getIBANchecksum(INDIRECT(ADDRESS(ROW(),3))),98)</f>
        <v>98</v>
      </c>
    </row>
    <row r="564" spans="1:13">
      <c r="A564" s="96">
        <f t="shared" si="9"/>
        <v>545</v>
      </c>
      <c r="B564" s="9"/>
      <c r="C564" s="28"/>
      <c r="D564" s="23"/>
      <c r="E564" s="93"/>
      <c r="F564" s="24"/>
      <c r="G564" s="130"/>
      <c r="H564" s="46"/>
      <c r="I564" s="131"/>
      <c r="J564" s="126"/>
      <c r="K564" s="121"/>
      <c r="L564" s="78"/>
      <c r="M564" s="72">
        <f ca="1">IF(INDIRECT(ADDRESS(ROW(),3))&lt;&gt;"",getIBANchecksum(INDIRECT(ADDRESS(ROW(),3))),98)</f>
        <v>98</v>
      </c>
    </row>
    <row r="565" spans="1:13">
      <c r="A565" s="96">
        <f t="shared" si="9"/>
        <v>546</v>
      </c>
      <c r="B565" s="9"/>
      <c r="C565" s="28"/>
      <c r="D565" s="23"/>
      <c r="E565" s="93"/>
      <c r="F565" s="24"/>
      <c r="G565" s="130"/>
      <c r="H565" s="46"/>
      <c r="I565" s="131"/>
      <c r="J565" s="126"/>
      <c r="K565" s="121"/>
      <c r="L565" s="78"/>
      <c r="M565" s="72">
        <f ca="1">IF(INDIRECT(ADDRESS(ROW(),3))&lt;&gt;"",getIBANchecksum(INDIRECT(ADDRESS(ROW(),3))),98)</f>
        <v>98</v>
      </c>
    </row>
    <row r="566" spans="1:13">
      <c r="A566" s="96">
        <f t="shared" si="9"/>
        <v>547</v>
      </c>
      <c r="B566" s="9"/>
      <c r="C566" s="28"/>
      <c r="D566" s="23"/>
      <c r="E566" s="93"/>
      <c r="F566" s="24"/>
      <c r="G566" s="130"/>
      <c r="H566" s="46"/>
      <c r="I566" s="131"/>
      <c r="J566" s="126"/>
      <c r="K566" s="121"/>
      <c r="L566" s="78"/>
      <c r="M566" s="72">
        <f ca="1">IF(INDIRECT(ADDRESS(ROW(),3))&lt;&gt;"",getIBANchecksum(INDIRECT(ADDRESS(ROW(),3))),98)</f>
        <v>98</v>
      </c>
    </row>
    <row r="567" spans="1:13">
      <c r="A567" s="96">
        <f t="shared" si="9"/>
        <v>548</v>
      </c>
      <c r="B567" s="9"/>
      <c r="C567" s="28"/>
      <c r="D567" s="23"/>
      <c r="E567" s="93"/>
      <c r="F567" s="24"/>
      <c r="G567" s="130"/>
      <c r="H567" s="46"/>
      <c r="I567" s="131"/>
      <c r="J567" s="126"/>
      <c r="K567" s="121"/>
      <c r="L567" s="78"/>
      <c r="M567" s="72">
        <f ca="1">IF(INDIRECT(ADDRESS(ROW(),3))&lt;&gt;"",getIBANchecksum(INDIRECT(ADDRESS(ROW(),3))),98)</f>
        <v>98</v>
      </c>
    </row>
    <row r="568" spans="1:13">
      <c r="A568" s="96">
        <f t="shared" si="9"/>
        <v>549</v>
      </c>
      <c r="B568" s="9"/>
      <c r="C568" s="28"/>
      <c r="D568" s="23"/>
      <c r="E568" s="93"/>
      <c r="F568" s="24"/>
      <c r="G568" s="130"/>
      <c r="H568" s="46"/>
      <c r="I568" s="131"/>
      <c r="J568" s="126"/>
      <c r="K568" s="121"/>
      <c r="L568" s="78"/>
      <c r="M568" s="72">
        <f ca="1">IF(INDIRECT(ADDRESS(ROW(),3))&lt;&gt;"",getIBANchecksum(INDIRECT(ADDRESS(ROW(),3))),98)</f>
        <v>98</v>
      </c>
    </row>
    <row r="569" spans="1:13">
      <c r="A569" s="96">
        <f t="shared" si="9"/>
        <v>550</v>
      </c>
      <c r="B569" s="9"/>
      <c r="C569" s="28"/>
      <c r="D569" s="23"/>
      <c r="E569" s="93"/>
      <c r="F569" s="24"/>
      <c r="G569" s="130"/>
      <c r="H569" s="46"/>
      <c r="I569" s="131"/>
      <c r="J569" s="126"/>
      <c r="K569" s="121"/>
      <c r="L569" s="78"/>
      <c r="M569" s="72">
        <f ca="1">IF(INDIRECT(ADDRESS(ROW(),3))&lt;&gt;"",getIBANchecksum(INDIRECT(ADDRESS(ROW(),3))),98)</f>
        <v>98</v>
      </c>
    </row>
    <row r="570" spans="1:13">
      <c r="A570" s="96">
        <f t="shared" si="9"/>
        <v>551</v>
      </c>
      <c r="B570" s="9"/>
      <c r="C570" s="28"/>
      <c r="D570" s="23"/>
      <c r="E570" s="93"/>
      <c r="F570" s="24"/>
      <c r="G570" s="130"/>
      <c r="H570" s="46"/>
      <c r="I570" s="131"/>
      <c r="J570" s="126"/>
      <c r="K570" s="121"/>
      <c r="L570" s="78"/>
      <c r="M570" s="72">
        <f ca="1">IF(INDIRECT(ADDRESS(ROW(),3))&lt;&gt;"",getIBANchecksum(INDIRECT(ADDRESS(ROW(),3))),98)</f>
        <v>98</v>
      </c>
    </row>
    <row r="571" spans="1:13">
      <c r="A571" s="96">
        <f t="shared" si="9"/>
        <v>552</v>
      </c>
      <c r="B571" s="9"/>
      <c r="C571" s="28"/>
      <c r="D571" s="23"/>
      <c r="E571" s="93"/>
      <c r="F571" s="24"/>
      <c r="G571" s="130"/>
      <c r="H571" s="46"/>
      <c r="I571" s="131"/>
      <c r="J571" s="126"/>
      <c r="K571" s="121"/>
      <c r="L571" s="78"/>
      <c r="M571" s="72">
        <f ca="1">IF(INDIRECT(ADDRESS(ROW(),3))&lt;&gt;"",getIBANchecksum(INDIRECT(ADDRESS(ROW(),3))),98)</f>
        <v>98</v>
      </c>
    </row>
    <row r="572" spans="1:13">
      <c r="A572" s="96">
        <f t="shared" si="9"/>
        <v>553</v>
      </c>
      <c r="B572" s="9"/>
      <c r="C572" s="28"/>
      <c r="D572" s="23"/>
      <c r="E572" s="93"/>
      <c r="F572" s="24"/>
      <c r="G572" s="130"/>
      <c r="H572" s="46"/>
      <c r="I572" s="131"/>
      <c r="J572" s="126"/>
      <c r="K572" s="121"/>
      <c r="L572" s="78"/>
      <c r="M572" s="72">
        <f ca="1">IF(INDIRECT(ADDRESS(ROW(),3))&lt;&gt;"",getIBANchecksum(INDIRECT(ADDRESS(ROW(),3))),98)</f>
        <v>98</v>
      </c>
    </row>
    <row r="573" spans="1:13">
      <c r="A573" s="96">
        <f t="shared" si="9"/>
        <v>554</v>
      </c>
      <c r="B573" s="9"/>
      <c r="C573" s="28"/>
      <c r="D573" s="23"/>
      <c r="E573" s="93"/>
      <c r="F573" s="24"/>
      <c r="G573" s="130"/>
      <c r="H573" s="46"/>
      <c r="I573" s="131"/>
      <c r="J573" s="126"/>
      <c r="K573" s="121"/>
      <c r="L573" s="78"/>
      <c r="M573" s="72">
        <f ca="1">IF(INDIRECT(ADDRESS(ROW(),3))&lt;&gt;"",getIBANchecksum(INDIRECT(ADDRESS(ROW(),3))),98)</f>
        <v>98</v>
      </c>
    </row>
    <row r="574" spans="1:13">
      <c r="A574" s="96">
        <f t="shared" si="9"/>
        <v>555</v>
      </c>
      <c r="B574" s="9"/>
      <c r="C574" s="28"/>
      <c r="D574" s="23"/>
      <c r="E574" s="93"/>
      <c r="F574" s="24"/>
      <c r="G574" s="130"/>
      <c r="H574" s="46"/>
      <c r="I574" s="131"/>
      <c r="J574" s="126"/>
      <c r="K574" s="121"/>
      <c r="L574" s="78"/>
      <c r="M574" s="72">
        <f ca="1">IF(INDIRECT(ADDRESS(ROW(),3))&lt;&gt;"",getIBANchecksum(INDIRECT(ADDRESS(ROW(),3))),98)</f>
        <v>98</v>
      </c>
    </row>
    <row r="575" spans="1:13">
      <c r="A575" s="96">
        <f t="shared" si="9"/>
        <v>556</v>
      </c>
      <c r="B575" s="9"/>
      <c r="C575" s="28"/>
      <c r="D575" s="23"/>
      <c r="E575" s="93"/>
      <c r="F575" s="24"/>
      <c r="G575" s="130"/>
      <c r="H575" s="46"/>
      <c r="I575" s="131"/>
      <c r="J575" s="126"/>
      <c r="K575" s="121"/>
      <c r="L575" s="78"/>
      <c r="M575" s="72">
        <f ca="1">IF(INDIRECT(ADDRESS(ROW(),3))&lt;&gt;"",getIBANchecksum(INDIRECT(ADDRESS(ROW(),3))),98)</f>
        <v>98</v>
      </c>
    </row>
    <row r="576" spans="1:13">
      <c r="A576" s="96">
        <f t="shared" si="9"/>
        <v>557</v>
      </c>
      <c r="B576" s="9"/>
      <c r="C576" s="28"/>
      <c r="D576" s="23"/>
      <c r="E576" s="93"/>
      <c r="F576" s="24"/>
      <c r="G576" s="130"/>
      <c r="H576" s="46"/>
      <c r="I576" s="131"/>
      <c r="J576" s="126"/>
      <c r="K576" s="121"/>
      <c r="L576" s="78"/>
      <c r="M576" s="72">
        <f ca="1">IF(INDIRECT(ADDRESS(ROW(),3))&lt;&gt;"",getIBANchecksum(INDIRECT(ADDRESS(ROW(),3))),98)</f>
        <v>98</v>
      </c>
    </row>
    <row r="577" spans="1:13">
      <c r="A577" s="96">
        <f t="shared" si="9"/>
        <v>558</v>
      </c>
      <c r="B577" s="9"/>
      <c r="C577" s="28"/>
      <c r="D577" s="23"/>
      <c r="E577" s="93"/>
      <c r="F577" s="24"/>
      <c r="G577" s="130"/>
      <c r="H577" s="46"/>
      <c r="I577" s="131"/>
      <c r="J577" s="126"/>
      <c r="K577" s="121"/>
      <c r="L577" s="78"/>
      <c r="M577" s="72">
        <f ca="1">IF(INDIRECT(ADDRESS(ROW(),3))&lt;&gt;"",getIBANchecksum(INDIRECT(ADDRESS(ROW(),3))),98)</f>
        <v>98</v>
      </c>
    </row>
    <row r="578" spans="1:13">
      <c r="A578" s="96">
        <f t="shared" si="9"/>
        <v>559</v>
      </c>
      <c r="B578" s="9"/>
      <c r="C578" s="28"/>
      <c r="D578" s="23"/>
      <c r="E578" s="93"/>
      <c r="F578" s="24"/>
      <c r="G578" s="130"/>
      <c r="H578" s="46"/>
      <c r="I578" s="131"/>
      <c r="J578" s="126"/>
      <c r="K578" s="121"/>
      <c r="L578" s="78"/>
      <c r="M578" s="72">
        <f ca="1">IF(INDIRECT(ADDRESS(ROW(),3))&lt;&gt;"",getIBANchecksum(INDIRECT(ADDRESS(ROW(),3))),98)</f>
        <v>98</v>
      </c>
    </row>
    <row r="579" spans="1:13">
      <c r="A579" s="96">
        <f t="shared" si="9"/>
        <v>560</v>
      </c>
      <c r="B579" s="9"/>
      <c r="C579" s="28"/>
      <c r="D579" s="23"/>
      <c r="E579" s="93"/>
      <c r="F579" s="24"/>
      <c r="G579" s="130"/>
      <c r="H579" s="46"/>
      <c r="I579" s="131"/>
      <c r="J579" s="126"/>
      <c r="K579" s="121"/>
      <c r="L579" s="78"/>
      <c r="M579" s="72">
        <f ca="1">IF(INDIRECT(ADDRESS(ROW(),3))&lt;&gt;"",getIBANchecksum(INDIRECT(ADDRESS(ROW(),3))),98)</f>
        <v>98</v>
      </c>
    </row>
    <row r="580" spans="1:13">
      <c r="A580" s="96">
        <f t="shared" si="9"/>
        <v>561</v>
      </c>
      <c r="B580" s="9"/>
      <c r="C580" s="28"/>
      <c r="D580" s="23"/>
      <c r="E580" s="93"/>
      <c r="F580" s="24"/>
      <c r="G580" s="130"/>
      <c r="H580" s="46"/>
      <c r="I580" s="131"/>
      <c r="J580" s="126"/>
      <c r="K580" s="121"/>
      <c r="L580" s="78"/>
      <c r="M580" s="72">
        <f ca="1">IF(INDIRECT(ADDRESS(ROW(),3))&lt;&gt;"",getIBANchecksum(INDIRECT(ADDRESS(ROW(),3))),98)</f>
        <v>98</v>
      </c>
    </row>
    <row r="581" spans="1:13">
      <c r="A581" s="96">
        <f t="shared" si="9"/>
        <v>562</v>
      </c>
      <c r="B581" s="9"/>
      <c r="C581" s="28"/>
      <c r="D581" s="23"/>
      <c r="E581" s="93"/>
      <c r="F581" s="24"/>
      <c r="G581" s="130"/>
      <c r="H581" s="46"/>
      <c r="I581" s="131"/>
      <c r="J581" s="126"/>
      <c r="K581" s="121"/>
      <c r="L581" s="78"/>
      <c r="M581" s="72">
        <f ca="1">IF(INDIRECT(ADDRESS(ROW(),3))&lt;&gt;"",getIBANchecksum(INDIRECT(ADDRESS(ROW(),3))),98)</f>
        <v>98</v>
      </c>
    </row>
    <row r="582" spans="1:13">
      <c r="A582" s="96">
        <f t="shared" si="9"/>
        <v>563</v>
      </c>
      <c r="B582" s="9"/>
      <c r="C582" s="28"/>
      <c r="D582" s="23"/>
      <c r="E582" s="93"/>
      <c r="F582" s="24"/>
      <c r="G582" s="130"/>
      <c r="H582" s="46"/>
      <c r="I582" s="131"/>
      <c r="J582" s="126"/>
      <c r="K582" s="121"/>
      <c r="L582" s="78"/>
      <c r="M582" s="72">
        <f ca="1">IF(INDIRECT(ADDRESS(ROW(),3))&lt;&gt;"",getIBANchecksum(INDIRECT(ADDRESS(ROW(),3))),98)</f>
        <v>98</v>
      </c>
    </row>
    <row r="583" spans="1:13">
      <c r="A583" s="96">
        <f t="shared" si="9"/>
        <v>564</v>
      </c>
      <c r="B583" s="9"/>
      <c r="C583" s="28"/>
      <c r="D583" s="23"/>
      <c r="E583" s="93"/>
      <c r="F583" s="24"/>
      <c r="G583" s="130"/>
      <c r="H583" s="46"/>
      <c r="I583" s="131"/>
      <c r="J583" s="126"/>
      <c r="K583" s="121"/>
      <c r="L583" s="78"/>
      <c r="M583" s="72">
        <f ca="1">IF(INDIRECT(ADDRESS(ROW(),3))&lt;&gt;"",getIBANchecksum(INDIRECT(ADDRESS(ROW(),3))),98)</f>
        <v>98</v>
      </c>
    </row>
    <row r="584" spans="1:13">
      <c r="A584" s="96">
        <f t="shared" si="9"/>
        <v>565</v>
      </c>
      <c r="B584" s="9"/>
      <c r="C584" s="28"/>
      <c r="D584" s="23"/>
      <c r="E584" s="93"/>
      <c r="F584" s="24"/>
      <c r="G584" s="130"/>
      <c r="H584" s="46"/>
      <c r="I584" s="131"/>
      <c r="J584" s="126"/>
      <c r="K584" s="121"/>
      <c r="L584" s="78"/>
      <c r="M584" s="72">
        <f ca="1">IF(INDIRECT(ADDRESS(ROW(),3))&lt;&gt;"",getIBANchecksum(INDIRECT(ADDRESS(ROW(),3))),98)</f>
        <v>98</v>
      </c>
    </row>
    <row r="585" spans="1:13">
      <c r="A585" s="96">
        <f t="shared" si="9"/>
        <v>566</v>
      </c>
      <c r="B585" s="9"/>
      <c r="C585" s="28"/>
      <c r="D585" s="23"/>
      <c r="E585" s="93"/>
      <c r="F585" s="24"/>
      <c r="G585" s="130"/>
      <c r="H585" s="46"/>
      <c r="I585" s="131"/>
      <c r="J585" s="126"/>
      <c r="K585" s="121"/>
      <c r="L585" s="78"/>
      <c r="M585" s="72">
        <f ca="1">IF(INDIRECT(ADDRESS(ROW(),3))&lt;&gt;"",getIBANchecksum(INDIRECT(ADDRESS(ROW(),3))),98)</f>
        <v>98</v>
      </c>
    </row>
    <row r="586" spans="1:13">
      <c r="A586" s="96">
        <f t="shared" si="9"/>
        <v>567</v>
      </c>
      <c r="B586" s="9"/>
      <c r="C586" s="28"/>
      <c r="D586" s="23"/>
      <c r="E586" s="93"/>
      <c r="F586" s="24"/>
      <c r="G586" s="130"/>
      <c r="H586" s="46"/>
      <c r="I586" s="131"/>
      <c r="J586" s="126"/>
      <c r="K586" s="121"/>
      <c r="L586" s="78"/>
      <c r="M586" s="72">
        <f ca="1">IF(INDIRECT(ADDRESS(ROW(),3))&lt;&gt;"",getIBANchecksum(INDIRECT(ADDRESS(ROW(),3))),98)</f>
        <v>98</v>
      </c>
    </row>
    <row r="587" spans="1:13">
      <c r="A587" s="96">
        <f t="shared" si="9"/>
        <v>568</v>
      </c>
      <c r="B587" s="9"/>
      <c r="C587" s="28"/>
      <c r="D587" s="23"/>
      <c r="E587" s="93"/>
      <c r="F587" s="24"/>
      <c r="G587" s="130"/>
      <c r="H587" s="46"/>
      <c r="I587" s="131"/>
      <c r="J587" s="126"/>
      <c r="K587" s="121"/>
      <c r="L587" s="78"/>
      <c r="M587" s="72">
        <f ca="1">IF(INDIRECT(ADDRESS(ROW(),3))&lt;&gt;"",getIBANchecksum(INDIRECT(ADDRESS(ROW(),3))),98)</f>
        <v>98</v>
      </c>
    </row>
    <row r="588" spans="1:13">
      <c r="A588" s="96">
        <f t="shared" si="9"/>
        <v>569</v>
      </c>
      <c r="B588" s="9"/>
      <c r="C588" s="28"/>
      <c r="D588" s="23"/>
      <c r="E588" s="93"/>
      <c r="F588" s="24"/>
      <c r="G588" s="130"/>
      <c r="H588" s="46"/>
      <c r="I588" s="131"/>
      <c r="J588" s="126"/>
      <c r="K588" s="121"/>
      <c r="L588" s="78"/>
      <c r="M588" s="72">
        <f ca="1">IF(INDIRECT(ADDRESS(ROW(),3))&lt;&gt;"",getIBANchecksum(INDIRECT(ADDRESS(ROW(),3))),98)</f>
        <v>98</v>
      </c>
    </row>
    <row r="589" spans="1:13">
      <c r="A589" s="96">
        <f t="shared" si="9"/>
        <v>570</v>
      </c>
      <c r="B589" s="9"/>
      <c r="C589" s="28"/>
      <c r="D589" s="23"/>
      <c r="E589" s="93"/>
      <c r="F589" s="24"/>
      <c r="G589" s="130"/>
      <c r="H589" s="46"/>
      <c r="I589" s="131"/>
      <c r="J589" s="126"/>
      <c r="K589" s="121"/>
      <c r="L589" s="78"/>
      <c r="M589" s="72">
        <f ca="1">IF(INDIRECT(ADDRESS(ROW(),3))&lt;&gt;"",getIBANchecksum(INDIRECT(ADDRESS(ROW(),3))),98)</f>
        <v>98</v>
      </c>
    </row>
    <row r="590" spans="1:13">
      <c r="A590" s="96">
        <f t="shared" si="9"/>
        <v>571</v>
      </c>
      <c r="B590" s="9"/>
      <c r="C590" s="28"/>
      <c r="D590" s="23"/>
      <c r="E590" s="93"/>
      <c r="F590" s="24"/>
      <c r="G590" s="130"/>
      <c r="H590" s="46"/>
      <c r="I590" s="131"/>
      <c r="J590" s="126"/>
      <c r="K590" s="121"/>
      <c r="L590" s="78"/>
      <c r="M590" s="72">
        <f ca="1">IF(INDIRECT(ADDRESS(ROW(),3))&lt;&gt;"",getIBANchecksum(INDIRECT(ADDRESS(ROW(),3))),98)</f>
        <v>98</v>
      </c>
    </row>
    <row r="591" spans="1:13">
      <c r="A591" s="96">
        <f t="shared" si="9"/>
        <v>572</v>
      </c>
      <c r="B591" s="9"/>
      <c r="C591" s="28"/>
      <c r="D591" s="23"/>
      <c r="E591" s="93"/>
      <c r="F591" s="24"/>
      <c r="G591" s="130"/>
      <c r="H591" s="46"/>
      <c r="I591" s="131"/>
      <c r="J591" s="126"/>
      <c r="K591" s="121"/>
      <c r="L591" s="78"/>
      <c r="M591" s="72">
        <f ca="1">IF(INDIRECT(ADDRESS(ROW(),3))&lt;&gt;"",getIBANchecksum(INDIRECT(ADDRESS(ROW(),3))),98)</f>
        <v>98</v>
      </c>
    </row>
    <row r="592" spans="1:13">
      <c r="A592" s="96">
        <f t="shared" si="9"/>
        <v>573</v>
      </c>
      <c r="B592" s="9"/>
      <c r="C592" s="28"/>
      <c r="D592" s="23"/>
      <c r="E592" s="93"/>
      <c r="F592" s="24"/>
      <c r="G592" s="130"/>
      <c r="H592" s="46"/>
      <c r="I592" s="131"/>
      <c r="J592" s="126"/>
      <c r="K592" s="121"/>
      <c r="L592" s="78"/>
      <c r="M592" s="72">
        <f ca="1">IF(INDIRECT(ADDRESS(ROW(),3))&lt;&gt;"",getIBANchecksum(INDIRECT(ADDRESS(ROW(),3))),98)</f>
        <v>98</v>
      </c>
    </row>
    <row r="593" spans="1:13">
      <c r="A593" s="96">
        <f t="shared" si="9"/>
        <v>574</v>
      </c>
      <c r="B593" s="9"/>
      <c r="C593" s="28"/>
      <c r="D593" s="23"/>
      <c r="E593" s="93"/>
      <c r="F593" s="24"/>
      <c r="G593" s="130"/>
      <c r="H593" s="46"/>
      <c r="I593" s="131"/>
      <c r="J593" s="126"/>
      <c r="K593" s="121"/>
      <c r="L593" s="78"/>
      <c r="M593" s="72">
        <f ca="1">IF(INDIRECT(ADDRESS(ROW(),3))&lt;&gt;"",getIBANchecksum(INDIRECT(ADDRESS(ROW(),3))),98)</f>
        <v>98</v>
      </c>
    </row>
    <row r="594" spans="1:13">
      <c r="A594" s="96">
        <f t="shared" si="9"/>
        <v>575</v>
      </c>
      <c r="B594" s="9"/>
      <c r="C594" s="28"/>
      <c r="D594" s="23"/>
      <c r="E594" s="93"/>
      <c r="F594" s="24"/>
      <c r="G594" s="130"/>
      <c r="H594" s="46"/>
      <c r="I594" s="131"/>
      <c r="J594" s="126"/>
      <c r="K594" s="121"/>
      <c r="L594" s="78"/>
      <c r="M594" s="72">
        <f ca="1">IF(INDIRECT(ADDRESS(ROW(),3))&lt;&gt;"",getIBANchecksum(INDIRECT(ADDRESS(ROW(),3))),98)</f>
        <v>98</v>
      </c>
    </row>
    <row r="595" spans="1:13">
      <c r="A595" s="96">
        <f t="shared" si="9"/>
        <v>576</v>
      </c>
      <c r="B595" s="9"/>
      <c r="C595" s="28"/>
      <c r="D595" s="23"/>
      <c r="E595" s="93"/>
      <c r="F595" s="24"/>
      <c r="G595" s="130"/>
      <c r="H595" s="46"/>
      <c r="I595" s="131"/>
      <c r="J595" s="126"/>
      <c r="K595" s="121"/>
      <c r="L595" s="78"/>
      <c r="M595" s="72">
        <f ca="1">IF(INDIRECT(ADDRESS(ROW(),3))&lt;&gt;"",getIBANchecksum(INDIRECT(ADDRESS(ROW(),3))),98)</f>
        <v>98</v>
      </c>
    </row>
    <row r="596" spans="1:13">
      <c r="A596" s="96">
        <f t="shared" si="9"/>
        <v>577</v>
      </c>
      <c r="B596" s="9"/>
      <c r="C596" s="28"/>
      <c r="D596" s="23"/>
      <c r="E596" s="93"/>
      <c r="F596" s="24"/>
      <c r="G596" s="130"/>
      <c r="H596" s="46"/>
      <c r="I596" s="131"/>
      <c r="J596" s="126"/>
      <c r="K596" s="121"/>
      <c r="L596" s="78"/>
      <c r="M596" s="72">
        <f ca="1">IF(INDIRECT(ADDRESS(ROW(),3))&lt;&gt;"",getIBANchecksum(INDIRECT(ADDRESS(ROW(),3))),98)</f>
        <v>98</v>
      </c>
    </row>
    <row r="597" spans="1:13">
      <c r="A597" s="96">
        <f t="shared" si="9"/>
        <v>578</v>
      </c>
      <c r="B597" s="9"/>
      <c r="C597" s="28"/>
      <c r="D597" s="23"/>
      <c r="E597" s="93"/>
      <c r="F597" s="24"/>
      <c r="G597" s="130"/>
      <c r="H597" s="46"/>
      <c r="I597" s="131"/>
      <c r="J597" s="126"/>
      <c r="K597" s="121"/>
      <c r="L597" s="78"/>
      <c r="M597" s="72">
        <f ca="1">IF(INDIRECT(ADDRESS(ROW(),3))&lt;&gt;"",getIBANchecksum(INDIRECT(ADDRESS(ROW(),3))),98)</f>
        <v>98</v>
      </c>
    </row>
    <row r="598" spans="1:13">
      <c r="A598" s="96">
        <f t="shared" ref="A598:A661" si="10">A597+1</f>
        <v>579</v>
      </c>
      <c r="B598" s="9"/>
      <c r="C598" s="28"/>
      <c r="D598" s="23"/>
      <c r="E598" s="93"/>
      <c r="F598" s="24"/>
      <c r="G598" s="130"/>
      <c r="H598" s="46"/>
      <c r="I598" s="131"/>
      <c r="J598" s="126"/>
      <c r="K598" s="121"/>
      <c r="L598" s="78"/>
      <c r="M598" s="72">
        <f ca="1">IF(INDIRECT(ADDRESS(ROW(),3))&lt;&gt;"",getIBANchecksum(INDIRECT(ADDRESS(ROW(),3))),98)</f>
        <v>98</v>
      </c>
    </row>
    <row r="599" spans="1:13">
      <c r="A599" s="96">
        <f t="shared" si="10"/>
        <v>580</v>
      </c>
      <c r="B599" s="9"/>
      <c r="C599" s="28"/>
      <c r="D599" s="23"/>
      <c r="E599" s="93"/>
      <c r="F599" s="24"/>
      <c r="G599" s="130"/>
      <c r="H599" s="46"/>
      <c r="I599" s="131"/>
      <c r="J599" s="126"/>
      <c r="K599" s="121"/>
      <c r="L599" s="78"/>
      <c r="M599" s="72">
        <f ca="1">IF(INDIRECT(ADDRESS(ROW(),3))&lt;&gt;"",getIBANchecksum(INDIRECT(ADDRESS(ROW(),3))),98)</f>
        <v>98</v>
      </c>
    </row>
    <row r="600" spans="1:13">
      <c r="A600" s="96">
        <f t="shared" si="10"/>
        <v>581</v>
      </c>
      <c r="B600" s="9"/>
      <c r="C600" s="28"/>
      <c r="D600" s="23"/>
      <c r="E600" s="93"/>
      <c r="F600" s="24"/>
      <c r="G600" s="130"/>
      <c r="H600" s="46"/>
      <c r="I600" s="131"/>
      <c r="J600" s="126"/>
      <c r="K600" s="121"/>
      <c r="L600" s="78"/>
      <c r="M600" s="72">
        <f ca="1">IF(INDIRECT(ADDRESS(ROW(),3))&lt;&gt;"",getIBANchecksum(INDIRECT(ADDRESS(ROW(),3))),98)</f>
        <v>98</v>
      </c>
    </row>
    <row r="601" spans="1:13">
      <c r="A601" s="96">
        <f t="shared" si="10"/>
        <v>582</v>
      </c>
      <c r="B601" s="9"/>
      <c r="C601" s="28"/>
      <c r="D601" s="23"/>
      <c r="E601" s="93"/>
      <c r="F601" s="24"/>
      <c r="G601" s="130"/>
      <c r="H601" s="46"/>
      <c r="I601" s="131"/>
      <c r="J601" s="126"/>
      <c r="K601" s="121"/>
      <c r="L601" s="78"/>
      <c r="M601" s="72">
        <f ca="1">IF(INDIRECT(ADDRESS(ROW(),3))&lt;&gt;"",getIBANchecksum(INDIRECT(ADDRESS(ROW(),3))),98)</f>
        <v>98</v>
      </c>
    </row>
    <row r="602" spans="1:13">
      <c r="A602" s="96">
        <f t="shared" si="10"/>
        <v>583</v>
      </c>
      <c r="B602" s="9"/>
      <c r="C602" s="28"/>
      <c r="D602" s="23"/>
      <c r="E602" s="93"/>
      <c r="F602" s="24"/>
      <c r="G602" s="130"/>
      <c r="H602" s="46"/>
      <c r="I602" s="131"/>
      <c r="J602" s="126"/>
      <c r="K602" s="121"/>
      <c r="L602" s="78"/>
      <c r="M602" s="72">
        <f ca="1">IF(INDIRECT(ADDRESS(ROW(),3))&lt;&gt;"",getIBANchecksum(INDIRECT(ADDRESS(ROW(),3))),98)</f>
        <v>98</v>
      </c>
    </row>
    <row r="603" spans="1:13">
      <c r="A603" s="96">
        <f t="shared" si="10"/>
        <v>584</v>
      </c>
      <c r="B603" s="9"/>
      <c r="C603" s="28"/>
      <c r="D603" s="23"/>
      <c r="E603" s="93"/>
      <c r="F603" s="24"/>
      <c r="G603" s="130"/>
      <c r="H603" s="46"/>
      <c r="I603" s="131"/>
      <c r="J603" s="126"/>
      <c r="K603" s="121"/>
      <c r="L603" s="78"/>
      <c r="M603" s="72">
        <f ca="1">IF(INDIRECT(ADDRESS(ROW(),3))&lt;&gt;"",getIBANchecksum(INDIRECT(ADDRESS(ROW(),3))),98)</f>
        <v>98</v>
      </c>
    </row>
    <row r="604" spans="1:13">
      <c r="A604" s="96">
        <f t="shared" si="10"/>
        <v>585</v>
      </c>
      <c r="B604" s="9"/>
      <c r="C604" s="28"/>
      <c r="D604" s="23"/>
      <c r="E604" s="93"/>
      <c r="F604" s="24"/>
      <c r="G604" s="130"/>
      <c r="H604" s="46"/>
      <c r="I604" s="131"/>
      <c r="J604" s="126"/>
      <c r="K604" s="121"/>
      <c r="L604" s="78"/>
      <c r="M604" s="72">
        <f ca="1">IF(INDIRECT(ADDRESS(ROW(),3))&lt;&gt;"",getIBANchecksum(INDIRECT(ADDRESS(ROW(),3))),98)</f>
        <v>98</v>
      </c>
    </row>
    <row r="605" spans="1:13">
      <c r="A605" s="96">
        <f t="shared" si="10"/>
        <v>586</v>
      </c>
      <c r="B605" s="9"/>
      <c r="C605" s="28"/>
      <c r="D605" s="23"/>
      <c r="E605" s="93"/>
      <c r="F605" s="24"/>
      <c r="G605" s="130"/>
      <c r="H605" s="46"/>
      <c r="I605" s="131"/>
      <c r="J605" s="126"/>
      <c r="K605" s="121"/>
      <c r="L605" s="78"/>
      <c r="M605" s="72">
        <f ca="1">IF(INDIRECT(ADDRESS(ROW(),3))&lt;&gt;"",getIBANchecksum(INDIRECT(ADDRESS(ROW(),3))),98)</f>
        <v>98</v>
      </c>
    </row>
    <row r="606" spans="1:13">
      <c r="A606" s="96">
        <f t="shared" si="10"/>
        <v>587</v>
      </c>
      <c r="B606" s="9"/>
      <c r="C606" s="28"/>
      <c r="D606" s="23"/>
      <c r="E606" s="93"/>
      <c r="F606" s="24"/>
      <c r="G606" s="130"/>
      <c r="H606" s="46"/>
      <c r="I606" s="131"/>
      <c r="J606" s="126"/>
      <c r="K606" s="121"/>
      <c r="L606" s="78"/>
      <c r="M606" s="72">
        <f ca="1">IF(INDIRECT(ADDRESS(ROW(),3))&lt;&gt;"",getIBANchecksum(INDIRECT(ADDRESS(ROW(),3))),98)</f>
        <v>98</v>
      </c>
    </row>
    <row r="607" spans="1:13">
      <c r="A607" s="96">
        <f t="shared" si="10"/>
        <v>588</v>
      </c>
      <c r="B607" s="9"/>
      <c r="C607" s="28"/>
      <c r="D607" s="23"/>
      <c r="E607" s="93"/>
      <c r="F607" s="24"/>
      <c r="G607" s="130"/>
      <c r="H607" s="46"/>
      <c r="I607" s="131"/>
      <c r="J607" s="126"/>
      <c r="K607" s="121"/>
      <c r="L607" s="78"/>
      <c r="M607" s="72">
        <f ca="1">IF(INDIRECT(ADDRESS(ROW(),3))&lt;&gt;"",getIBANchecksum(INDIRECT(ADDRESS(ROW(),3))),98)</f>
        <v>98</v>
      </c>
    </row>
    <row r="608" spans="1:13">
      <c r="A608" s="96">
        <f t="shared" si="10"/>
        <v>589</v>
      </c>
      <c r="B608" s="9"/>
      <c r="C608" s="28"/>
      <c r="D608" s="23"/>
      <c r="E608" s="93"/>
      <c r="F608" s="24"/>
      <c r="G608" s="130"/>
      <c r="H608" s="46"/>
      <c r="I608" s="131"/>
      <c r="J608" s="126"/>
      <c r="K608" s="121"/>
      <c r="L608" s="78"/>
      <c r="M608" s="72">
        <f ca="1">IF(INDIRECT(ADDRESS(ROW(),3))&lt;&gt;"",getIBANchecksum(INDIRECT(ADDRESS(ROW(),3))),98)</f>
        <v>98</v>
      </c>
    </row>
    <row r="609" spans="1:13">
      <c r="A609" s="96">
        <f t="shared" si="10"/>
        <v>590</v>
      </c>
      <c r="B609" s="9"/>
      <c r="C609" s="28"/>
      <c r="D609" s="23"/>
      <c r="E609" s="93"/>
      <c r="F609" s="24"/>
      <c r="G609" s="130"/>
      <c r="H609" s="46"/>
      <c r="I609" s="131"/>
      <c r="J609" s="126"/>
      <c r="K609" s="121"/>
      <c r="L609" s="78"/>
      <c r="M609" s="72">
        <f ca="1">IF(INDIRECT(ADDRESS(ROW(),3))&lt;&gt;"",getIBANchecksum(INDIRECT(ADDRESS(ROW(),3))),98)</f>
        <v>98</v>
      </c>
    </row>
    <row r="610" spans="1:13">
      <c r="A610" s="96">
        <f t="shared" si="10"/>
        <v>591</v>
      </c>
      <c r="B610" s="9"/>
      <c r="C610" s="28"/>
      <c r="D610" s="23"/>
      <c r="E610" s="93"/>
      <c r="F610" s="24"/>
      <c r="G610" s="130"/>
      <c r="H610" s="46"/>
      <c r="I610" s="131"/>
      <c r="J610" s="126"/>
      <c r="K610" s="121"/>
      <c r="L610" s="78"/>
      <c r="M610" s="72">
        <f ca="1">IF(INDIRECT(ADDRESS(ROW(),3))&lt;&gt;"",getIBANchecksum(INDIRECT(ADDRESS(ROW(),3))),98)</f>
        <v>98</v>
      </c>
    </row>
    <row r="611" spans="1:13">
      <c r="A611" s="96">
        <f t="shared" si="10"/>
        <v>592</v>
      </c>
      <c r="B611" s="9"/>
      <c r="C611" s="28"/>
      <c r="D611" s="23"/>
      <c r="E611" s="93"/>
      <c r="F611" s="24"/>
      <c r="G611" s="130"/>
      <c r="H611" s="46"/>
      <c r="I611" s="131"/>
      <c r="J611" s="126"/>
      <c r="K611" s="121"/>
      <c r="L611" s="78"/>
      <c r="M611" s="72">
        <f ca="1">IF(INDIRECT(ADDRESS(ROW(),3))&lt;&gt;"",getIBANchecksum(INDIRECT(ADDRESS(ROW(),3))),98)</f>
        <v>98</v>
      </c>
    </row>
    <row r="612" spans="1:13">
      <c r="A612" s="96">
        <f t="shared" si="10"/>
        <v>593</v>
      </c>
      <c r="B612" s="9"/>
      <c r="C612" s="28"/>
      <c r="D612" s="23"/>
      <c r="E612" s="93"/>
      <c r="F612" s="24"/>
      <c r="G612" s="130"/>
      <c r="H612" s="46"/>
      <c r="I612" s="131"/>
      <c r="J612" s="126"/>
      <c r="K612" s="121"/>
      <c r="L612" s="78"/>
      <c r="M612" s="72">
        <f ca="1">IF(INDIRECT(ADDRESS(ROW(),3))&lt;&gt;"",getIBANchecksum(INDIRECT(ADDRESS(ROW(),3))),98)</f>
        <v>98</v>
      </c>
    </row>
    <row r="613" spans="1:13">
      <c r="A613" s="96">
        <f t="shared" si="10"/>
        <v>594</v>
      </c>
      <c r="B613" s="9"/>
      <c r="C613" s="28"/>
      <c r="D613" s="23"/>
      <c r="E613" s="93"/>
      <c r="F613" s="24"/>
      <c r="G613" s="130"/>
      <c r="H613" s="46"/>
      <c r="I613" s="131"/>
      <c r="J613" s="126"/>
      <c r="K613" s="121"/>
      <c r="L613" s="78"/>
      <c r="M613" s="72">
        <f ca="1">IF(INDIRECT(ADDRESS(ROW(),3))&lt;&gt;"",getIBANchecksum(INDIRECT(ADDRESS(ROW(),3))),98)</f>
        <v>98</v>
      </c>
    </row>
    <row r="614" spans="1:13">
      <c r="A614" s="96">
        <f t="shared" si="10"/>
        <v>595</v>
      </c>
      <c r="B614" s="9"/>
      <c r="C614" s="28"/>
      <c r="D614" s="23"/>
      <c r="E614" s="93"/>
      <c r="F614" s="24"/>
      <c r="G614" s="130"/>
      <c r="H614" s="46"/>
      <c r="I614" s="131"/>
      <c r="J614" s="126"/>
      <c r="K614" s="121"/>
      <c r="L614" s="78"/>
      <c r="M614" s="72">
        <f ca="1">IF(INDIRECT(ADDRESS(ROW(),3))&lt;&gt;"",getIBANchecksum(INDIRECT(ADDRESS(ROW(),3))),98)</f>
        <v>98</v>
      </c>
    </row>
    <row r="615" spans="1:13">
      <c r="A615" s="96">
        <f t="shared" si="10"/>
        <v>596</v>
      </c>
      <c r="B615" s="9"/>
      <c r="C615" s="28"/>
      <c r="D615" s="23"/>
      <c r="E615" s="93"/>
      <c r="F615" s="24"/>
      <c r="G615" s="130"/>
      <c r="H615" s="46"/>
      <c r="I615" s="131"/>
      <c r="J615" s="126"/>
      <c r="K615" s="121"/>
      <c r="L615" s="78"/>
      <c r="M615" s="72">
        <f ca="1">IF(INDIRECT(ADDRESS(ROW(),3))&lt;&gt;"",getIBANchecksum(INDIRECT(ADDRESS(ROW(),3))),98)</f>
        <v>98</v>
      </c>
    </row>
    <row r="616" spans="1:13">
      <c r="A616" s="96">
        <f t="shared" si="10"/>
        <v>597</v>
      </c>
      <c r="B616" s="9"/>
      <c r="C616" s="28"/>
      <c r="D616" s="23"/>
      <c r="E616" s="93"/>
      <c r="F616" s="24"/>
      <c r="G616" s="130"/>
      <c r="H616" s="46"/>
      <c r="I616" s="131"/>
      <c r="J616" s="126"/>
      <c r="K616" s="121"/>
      <c r="L616" s="78"/>
      <c r="M616" s="72">
        <f ca="1">IF(INDIRECT(ADDRESS(ROW(),3))&lt;&gt;"",getIBANchecksum(INDIRECT(ADDRESS(ROW(),3))),98)</f>
        <v>98</v>
      </c>
    </row>
    <row r="617" spans="1:13">
      <c r="A617" s="96">
        <f t="shared" si="10"/>
        <v>598</v>
      </c>
      <c r="B617" s="9"/>
      <c r="C617" s="28"/>
      <c r="D617" s="23"/>
      <c r="E617" s="93"/>
      <c r="F617" s="24"/>
      <c r="G617" s="130"/>
      <c r="H617" s="46"/>
      <c r="I617" s="131"/>
      <c r="J617" s="126"/>
      <c r="K617" s="121"/>
      <c r="L617" s="78"/>
      <c r="M617" s="72">
        <f ca="1">IF(INDIRECT(ADDRESS(ROW(),3))&lt;&gt;"",getIBANchecksum(INDIRECT(ADDRESS(ROW(),3))),98)</f>
        <v>98</v>
      </c>
    </row>
    <row r="618" spans="1:13">
      <c r="A618" s="96">
        <f t="shared" si="10"/>
        <v>599</v>
      </c>
      <c r="B618" s="9"/>
      <c r="C618" s="28"/>
      <c r="D618" s="23"/>
      <c r="E618" s="93"/>
      <c r="F618" s="24"/>
      <c r="G618" s="130"/>
      <c r="H618" s="46"/>
      <c r="I618" s="131"/>
      <c r="J618" s="126"/>
      <c r="K618" s="121"/>
      <c r="L618" s="78"/>
      <c r="M618" s="72">
        <f ca="1">IF(INDIRECT(ADDRESS(ROW(),3))&lt;&gt;"",getIBANchecksum(INDIRECT(ADDRESS(ROW(),3))),98)</f>
        <v>98</v>
      </c>
    </row>
    <row r="619" spans="1:13">
      <c r="A619" s="96">
        <f t="shared" si="10"/>
        <v>600</v>
      </c>
      <c r="B619" s="9"/>
      <c r="C619" s="28"/>
      <c r="D619" s="23"/>
      <c r="E619" s="93"/>
      <c r="F619" s="24"/>
      <c r="G619" s="130"/>
      <c r="H619" s="46"/>
      <c r="I619" s="131"/>
      <c r="J619" s="126"/>
      <c r="K619" s="121"/>
      <c r="L619" s="78"/>
      <c r="M619" s="72">
        <f ca="1">IF(INDIRECT(ADDRESS(ROW(),3))&lt;&gt;"",getIBANchecksum(INDIRECT(ADDRESS(ROW(),3))),98)</f>
        <v>98</v>
      </c>
    </row>
    <row r="620" spans="1:13">
      <c r="A620" s="96">
        <f t="shared" si="10"/>
        <v>601</v>
      </c>
      <c r="B620" s="9"/>
      <c r="C620" s="28"/>
      <c r="D620" s="23"/>
      <c r="E620" s="93"/>
      <c r="F620" s="24"/>
      <c r="G620" s="130"/>
      <c r="H620" s="46"/>
      <c r="I620" s="131"/>
      <c r="J620" s="126"/>
      <c r="K620" s="121"/>
      <c r="L620" s="78"/>
      <c r="M620" s="72">
        <f ca="1">IF(INDIRECT(ADDRESS(ROW(),3))&lt;&gt;"",getIBANchecksum(INDIRECT(ADDRESS(ROW(),3))),98)</f>
        <v>98</v>
      </c>
    </row>
    <row r="621" spans="1:13">
      <c r="A621" s="96">
        <f t="shared" si="10"/>
        <v>602</v>
      </c>
      <c r="B621" s="9"/>
      <c r="C621" s="28"/>
      <c r="D621" s="23"/>
      <c r="E621" s="93"/>
      <c r="F621" s="24"/>
      <c r="G621" s="130"/>
      <c r="H621" s="46"/>
      <c r="I621" s="131"/>
      <c r="J621" s="126"/>
      <c r="K621" s="121"/>
      <c r="L621" s="78"/>
      <c r="M621" s="72">
        <f ca="1">IF(INDIRECT(ADDRESS(ROW(),3))&lt;&gt;"",getIBANchecksum(INDIRECT(ADDRESS(ROW(),3))),98)</f>
        <v>98</v>
      </c>
    </row>
    <row r="622" spans="1:13">
      <c r="A622" s="96">
        <f t="shared" si="10"/>
        <v>603</v>
      </c>
      <c r="B622" s="9"/>
      <c r="C622" s="28"/>
      <c r="D622" s="23"/>
      <c r="E622" s="93"/>
      <c r="F622" s="24"/>
      <c r="G622" s="130"/>
      <c r="H622" s="46"/>
      <c r="I622" s="131"/>
      <c r="J622" s="126"/>
      <c r="K622" s="121"/>
      <c r="L622" s="78"/>
      <c r="M622" s="72">
        <f ca="1">IF(INDIRECT(ADDRESS(ROW(),3))&lt;&gt;"",getIBANchecksum(INDIRECT(ADDRESS(ROW(),3))),98)</f>
        <v>98</v>
      </c>
    </row>
    <row r="623" spans="1:13">
      <c r="A623" s="96">
        <f t="shared" si="10"/>
        <v>604</v>
      </c>
      <c r="B623" s="9"/>
      <c r="C623" s="28"/>
      <c r="D623" s="23"/>
      <c r="E623" s="93"/>
      <c r="F623" s="24"/>
      <c r="G623" s="130"/>
      <c r="H623" s="46"/>
      <c r="I623" s="131"/>
      <c r="J623" s="126"/>
      <c r="K623" s="121"/>
      <c r="L623" s="78"/>
      <c r="M623" s="72">
        <f ca="1">IF(INDIRECT(ADDRESS(ROW(),3))&lt;&gt;"",getIBANchecksum(INDIRECT(ADDRESS(ROW(),3))),98)</f>
        <v>98</v>
      </c>
    </row>
    <row r="624" spans="1:13">
      <c r="A624" s="96">
        <f t="shared" si="10"/>
        <v>605</v>
      </c>
      <c r="B624" s="9"/>
      <c r="C624" s="28"/>
      <c r="D624" s="23"/>
      <c r="E624" s="93"/>
      <c r="F624" s="24"/>
      <c r="G624" s="130"/>
      <c r="H624" s="46"/>
      <c r="I624" s="131"/>
      <c r="J624" s="126"/>
      <c r="K624" s="121"/>
      <c r="L624" s="78"/>
      <c r="M624" s="72">
        <f ca="1">IF(INDIRECT(ADDRESS(ROW(),3))&lt;&gt;"",getIBANchecksum(INDIRECT(ADDRESS(ROW(),3))),98)</f>
        <v>98</v>
      </c>
    </row>
    <row r="625" spans="1:13">
      <c r="A625" s="96">
        <f t="shared" si="10"/>
        <v>606</v>
      </c>
      <c r="B625" s="9"/>
      <c r="C625" s="28"/>
      <c r="D625" s="23"/>
      <c r="E625" s="93"/>
      <c r="F625" s="24"/>
      <c r="G625" s="130"/>
      <c r="H625" s="46"/>
      <c r="I625" s="131"/>
      <c r="J625" s="126"/>
      <c r="K625" s="121"/>
      <c r="L625" s="78"/>
      <c r="M625" s="72">
        <f ca="1">IF(INDIRECT(ADDRESS(ROW(),3))&lt;&gt;"",getIBANchecksum(INDIRECT(ADDRESS(ROW(),3))),98)</f>
        <v>98</v>
      </c>
    </row>
    <row r="626" spans="1:13">
      <c r="A626" s="96">
        <f t="shared" si="10"/>
        <v>607</v>
      </c>
      <c r="B626" s="9"/>
      <c r="C626" s="28"/>
      <c r="D626" s="23"/>
      <c r="E626" s="93"/>
      <c r="F626" s="24"/>
      <c r="G626" s="130"/>
      <c r="H626" s="46"/>
      <c r="I626" s="131"/>
      <c r="J626" s="126"/>
      <c r="K626" s="121"/>
      <c r="L626" s="78"/>
      <c r="M626" s="72">
        <f ca="1">IF(INDIRECT(ADDRESS(ROW(),3))&lt;&gt;"",getIBANchecksum(INDIRECT(ADDRESS(ROW(),3))),98)</f>
        <v>98</v>
      </c>
    </row>
    <row r="627" spans="1:13">
      <c r="A627" s="96">
        <f t="shared" si="10"/>
        <v>608</v>
      </c>
      <c r="B627" s="9"/>
      <c r="C627" s="28"/>
      <c r="D627" s="23"/>
      <c r="E627" s="93"/>
      <c r="F627" s="24"/>
      <c r="G627" s="130"/>
      <c r="H627" s="46"/>
      <c r="I627" s="131"/>
      <c r="J627" s="126"/>
      <c r="K627" s="121"/>
      <c r="L627" s="78"/>
      <c r="M627" s="72">
        <f ca="1">IF(INDIRECT(ADDRESS(ROW(),3))&lt;&gt;"",getIBANchecksum(INDIRECT(ADDRESS(ROW(),3))),98)</f>
        <v>98</v>
      </c>
    </row>
    <row r="628" spans="1:13">
      <c r="A628" s="96">
        <f t="shared" si="10"/>
        <v>609</v>
      </c>
      <c r="B628" s="9"/>
      <c r="C628" s="28"/>
      <c r="D628" s="23"/>
      <c r="E628" s="93"/>
      <c r="F628" s="24"/>
      <c r="G628" s="130"/>
      <c r="H628" s="46"/>
      <c r="I628" s="131"/>
      <c r="J628" s="126"/>
      <c r="K628" s="121"/>
      <c r="L628" s="78"/>
      <c r="M628" s="72">
        <f ca="1">IF(INDIRECT(ADDRESS(ROW(),3))&lt;&gt;"",getIBANchecksum(INDIRECT(ADDRESS(ROW(),3))),98)</f>
        <v>98</v>
      </c>
    </row>
    <row r="629" spans="1:13">
      <c r="A629" s="96">
        <f t="shared" si="10"/>
        <v>610</v>
      </c>
      <c r="B629" s="9"/>
      <c r="C629" s="28"/>
      <c r="D629" s="23"/>
      <c r="E629" s="93"/>
      <c r="F629" s="24"/>
      <c r="G629" s="130"/>
      <c r="H629" s="46"/>
      <c r="I629" s="131"/>
      <c r="J629" s="126"/>
      <c r="K629" s="121"/>
      <c r="L629" s="78"/>
      <c r="M629" s="72">
        <f ca="1">IF(INDIRECT(ADDRESS(ROW(),3))&lt;&gt;"",getIBANchecksum(INDIRECT(ADDRESS(ROW(),3))),98)</f>
        <v>98</v>
      </c>
    </row>
    <row r="630" spans="1:13">
      <c r="A630" s="96">
        <f t="shared" si="10"/>
        <v>611</v>
      </c>
      <c r="B630" s="9"/>
      <c r="C630" s="28"/>
      <c r="D630" s="23"/>
      <c r="E630" s="93"/>
      <c r="F630" s="24"/>
      <c r="G630" s="130"/>
      <c r="H630" s="46"/>
      <c r="I630" s="131"/>
      <c r="J630" s="126"/>
      <c r="K630" s="121"/>
      <c r="L630" s="78"/>
      <c r="M630" s="72">
        <f ca="1">IF(INDIRECT(ADDRESS(ROW(),3))&lt;&gt;"",getIBANchecksum(INDIRECT(ADDRESS(ROW(),3))),98)</f>
        <v>98</v>
      </c>
    </row>
    <row r="631" spans="1:13">
      <c r="A631" s="96">
        <f t="shared" si="10"/>
        <v>612</v>
      </c>
      <c r="B631" s="9"/>
      <c r="C631" s="28"/>
      <c r="D631" s="23"/>
      <c r="E631" s="93"/>
      <c r="F631" s="24"/>
      <c r="G631" s="130"/>
      <c r="H631" s="46"/>
      <c r="I631" s="131"/>
      <c r="J631" s="126"/>
      <c r="K631" s="121"/>
      <c r="L631" s="78"/>
      <c r="M631" s="72">
        <f ca="1">IF(INDIRECT(ADDRESS(ROW(),3))&lt;&gt;"",getIBANchecksum(INDIRECT(ADDRESS(ROW(),3))),98)</f>
        <v>98</v>
      </c>
    </row>
    <row r="632" spans="1:13">
      <c r="A632" s="96">
        <f t="shared" si="10"/>
        <v>613</v>
      </c>
      <c r="B632" s="9"/>
      <c r="C632" s="28"/>
      <c r="D632" s="23"/>
      <c r="E632" s="93"/>
      <c r="F632" s="24"/>
      <c r="G632" s="130"/>
      <c r="H632" s="46"/>
      <c r="I632" s="131"/>
      <c r="J632" s="126"/>
      <c r="K632" s="121"/>
      <c r="L632" s="78"/>
      <c r="M632" s="72">
        <f ca="1">IF(INDIRECT(ADDRESS(ROW(),3))&lt;&gt;"",getIBANchecksum(INDIRECT(ADDRESS(ROW(),3))),98)</f>
        <v>98</v>
      </c>
    </row>
    <row r="633" spans="1:13">
      <c r="A633" s="96">
        <f t="shared" si="10"/>
        <v>614</v>
      </c>
      <c r="B633" s="9"/>
      <c r="C633" s="28"/>
      <c r="D633" s="23"/>
      <c r="E633" s="93"/>
      <c r="F633" s="24"/>
      <c r="G633" s="130"/>
      <c r="H633" s="46"/>
      <c r="I633" s="131"/>
      <c r="J633" s="126"/>
      <c r="K633" s="121"/>
      <c r="L633" s="78"/>
      <c r="M633" s="72">
        <f ca="1">IF(INDIRECT(ADDRESS(ROW(),3))&lt;&gt;"",getIBANchecksum(INDIRECT(ADDRESS(ROW(),3))),98)</f>
        <v>98</v>
      </c>
    </row>
    <row r="634" spans="1:13">
      <c r="A634" s="96">
        <f t="shared" si="10"/>
        <v>615</v>
      </c>
      <c r="B634" s="9"/>
      <c r="C634" s="28"/>
      <c r="D634" s="23"/>
      <c r="E634" s="93"/>
      <c r="F634" s="24"/>
      <c r="G634" s="130"/>
      <c r="H634" s="46"/>
      <c r="I634" s="131"/>
      <c r="J634" s="126"/>
      <c r="K634" s="121"/>
      <c r="L634" s="78"/>
      <c r="M634" s="72">
        <f ca="1">IF(INDIRECT(ADDRESS(ROW(),3))&lt;&gt;"",getIBANchecksum(INDIRECT(ADDRESS(ROW(),3))),98)</f>
        <v>98</v>
      </c>
    </row>
    <row r="635" spans="1:13">
      <c r="A635" s="96">
        <f t="shared" si="10"/>
        <v>616</v>
      </c>
      <c r="B635" s="9"/>
      <c r="C635" s="28"/>
      <c r="D635" s="23"/>
      <c r="E635" s="93"/>
      <c r="F635" s="24"/>
      <c r="G635" s="130"/>
      <c r="H635" s="46"/>
      <c r="I635" s="131"/>
      <c r="J635" s="126"/>
      <c r="K635" s="121"/>
      <c r="L635" s="78"/>
      <c r="M635" s="72">
        <f ca="1">IF(INDIRECT(ADDRESS(ROW(),3))&lt;&gt;"",getIBANchecksum(INDIRECT(ADDRESS(ROW(),3))),98)</f>
        <v>98</v>
      </c>
    </row>
    <row r="636" spans="1:13">
      <c r="A636" s="96">
        <f t="shared" si="10"/>
        <v>617</v>
      </c>
      <c r="B636" s="9"/>
      <c r="C636" s="28"/>
      <c r="D636" s="23"/>
      <c r="E636" s="93"/>
      <c r="F636" s="24"/>
      <c r="G636" s="130"/>
      <c r="H636" s="46"/>
      <c r="I636" s="131"/>
      <c r="J636" s="126"/>
      <c r="K636" s="121"/>
      <c r="L636" s="78"/>
      <c r="M636" s="72">
        <f ca="1">IF(INDIRECT(ADDRESS(ROW(),3))&lt;&gt;"",getIBANchecksum(INDIRECT(ADDRESS(ROW(),3))),98)</f>
        <v>98</v>
      </c>
    </row>
    <row r="637" spans="1:13">
      <c r="A637" s="96">
        <f t="shared" si="10"/>
        <v>618</v>
      </c>
      <c r="B637" s="9"/>
      <c r="C637" s="28"/>
      <c r="D637" s="23"/>
      <c r="E637" s="93"/>
      <c r="F637" s="24"/>
      <c r="G637" s="130"/>
      <c r="H637" s="46"/>
      <c r="I637" s="131"/>
      <c r="J637" s="126"/>
      <c r="K637" s="121"/>
      <c r="L637" s="78"/>
      <c r="M637" s="72">
        <f ca="1">IF(INDIRECT(ADDRESS(ROW(),3))&lt;&gt;"",getIBANchecksum(INDIRECT(ADDRESS(ROW(),3))),98)</f>
        <v>98</v>
      </c>
    </row>
    <row r="638" spans="1:13">
      <c r="A638" s="96">
        <f t="shared" si="10"/>
        <v>619</v>
      </c>
      <c r="B638" s="9"/>
      <c r="C638" s="28"/>
      <c r="D638" s="23"/>
      <c r="E638" s="93"/>
      <c r="F638" s="24"/>
      <c r="G638" s="130"/>
      <c r="H638" s="46"/>
      <c r="I638" s="131"/>
      <c r="J638" s="126"/>
      <c r="K638" s="121"/>
      <c r="L638" s="78"/>
      <c r="M638" s="72">
        <f ca="1">IF(INDIRECT(ADDRESS(ROW(),3))&lt;&gt;"",getIBANchecksum(INDIRECT(ADDRESS(ROW(),3))),98)</f>
        <v>98</v>
      </c>
    </row>
    <row r="639" spans="1:13">
      <c r="A639" s="96">
        <f t="shared" si="10"/>
        <v>620</v>
      </c>
      <c r="B639" s="9"/>
      <c r="C639" s="28"/>
      <c r="D639" s="23"/>
      <c r="E639" s="93"/>
      <c r="F639" s="24"/>
      <c r="G639" s="130"/>
      <c r="H639" s="46"/>
      <c r="I639" s="131"/>
      <c r="J639" s="126"/>
      <c r="K639" s="121"/>
      <c r="L639" s="78"/>
      <c r="M639" s="72">
        <f ca="1">IF(INDIRECT(ADDRESS(ROW(),3))&lt;&gt;"",getIBANchecksum(INDIRECT(ADDRESS(ROW(),3))),98)</f>
        <v>98</v>
      </c>
    </row>
    <row r="640" spans="1:13">
      <c r="A640" s="96">
        <f t="shared" si="10"/>
        <v>621</v>
      </c>
      <c r="B640" s="9"/>
      <c r="C640" s="28"/>
      <c r="D640" s="23"/>
      <c r="E640" s="93"/>
      <c r="F640" s="24"/>
      <c r="G640" s="130"/>
      <c r="H640" s="46"/>
      <c r="I640" s="131"/>
      <c r="J640" s="126"/>
      <c r="K640" s="121"/>
      <c r="L640" s="78"/>
      <c r="M640" s="72">
        <f ca="1">IF(INDIRECT(ADDRESS(ROW(),3))&lt;&gt;"",getIBANchecksum(INDIRECT(ADDRESS(ROW(),3))),98)</f>
        <v>98</v>
      </c>
    </row>
    <row r="641" spans="1:13">
      <c r="A641" s="96">
        <f t="shared" si="10"/>
        <v>622</v>
      </c>
      <c r="B641" s="9"/>
      <c r="C641" s="28"/>
      <c r="D641" s="23"/>
      <c r="E641" s="93"/>
      <c r="F641" s="24"/>
      <c r="G641" s="130"/>
      <c r="H641" s="46"/>
      <c r="I641" s="131"/>
      <c r="J641" s="126"/>
      <c r="K641" s="121"/>
      <c r="L641" s="78"/>
      <c r="M641" s="72">
        <f ca="1">IF(INDIRECT(ADDRESS(ROW(),3))&lt;&gt;"",getIBANchecksum(INDIRECT(ADDRESS(ROW(),3))),98)</f>
        <v>98</v>
      </c>
    </row>
    <row r="642" spans="1:13">
      <c r="A642" s="96">
        <f t="shared" si="10"/>
        <v>623</v>
      </c>
      <c r="B642" s="9"/>
      <c r="C642" s="28"/>
      <c r="D642" s="23"/>
      <c r="E642" s="93"/>
      <c r="F642" s="24"/>
      <c r="G642" s="130"/>
      <c r="H642" s="46"/>
      <c r="I642" s="131"/>
      <c r="J642" s="126"/>
      <c r="K642" s="121"/>
      <c r="L642" s="78"/>
      <c r="M642" s="72">
        <f ca="1">IF(INDIRECT(ADDRESS(ROW(),3))&lt;&gt;"",getIBANchecksum(INDIRECT(ADDRESS(ROW(),3))),98)</f>
        <v>98</v>
      </c>
    </row>
    <row r="643" spans="1:13">
      <c r="A643" s="96">
        <f t="shared" si="10"/>
        <v>624</v>
      </c>
      <c r="B643" s="9"/>
      <c r="C643" s="28"/>
      <c r="D643" s="23"/>
      <c r="E643" s="93"/>
      <c r="F643" s="24"/>
      <c r="G643" s="130"/>
      <c r="H643" s="46"/>
      <c r="I643" s="131"/>
      <c r="J643" s="126"/>
      <c r="K643" s="121"/>
      <c r="L643" s="78"/>
      <c r="M643" s="72">
        <f ca="1">IF(INDIRECT(ADDRESS(ROW(),3))&lt;&gt;"",getIBANchecksum(INDIRECT(ADDRESS(ROW(),3))),98)</f>
        <v>98</v>
      </c>
    </row>
    <row r="644" spans="1:13">
      <c r="A644" s="96">
        <f t="shared" si="10"/>
        <v>625</v>
      </c>
      <c r="B644" s="9"/>
      <c r="C644" s="28"/>
      <c r="D644" s="23"/>
      <c r="E644" s="93"/>
      <c r="F644" s="24"/>
      <c r="G644" s="130"/>
      <c r="H644" s="46"/>
      <c r="I644" s="131"/>
      <c r="J644" s="126"/>
      <c r="K644" s="121"/>
      <c r="L644" s="78"/>
      <c r="M644" s="72">
        <f ca="1">IF(INDIRECT(ADDRESS(ROW(),3))&lt;&gt;"",getIBANchecksum(INDIRECT(ADDRESS(ROW(),3))),98)</f>
        <v>98</v>
      </c>
    </row>
    <row r="645" spans="1:13">
      <c r="A645" s="96">
        <f t="shared" si="10"/>
        <v>626</v>
      </c>
      <c r="B645" s="9"/>
      <c r="C645" s="28"/>
      <c r="D645" s="23"/>
      <c r="E645" s="93"/>
      <c r="F645" s="24"/>
      <c r="G645" s="130"/>
      <c r="H645" s="46"/>
      <c r="I645" s="131"/>
      <c r="J645" s="126"/>
      <c r="K645" s="121"/>
      <c r="L645" s="78"/>
      <c r="M645" s="72">
        <f ca="1">IF(INDIRECT(ADDRESS(ROW(),3))&lt;&gt;"",getIBANchecksum(INDIRECT(ADDRESS(ROW(),3))),98)</f>
        <v>98</v>
      </c>
    </row>
    <row r="646" spans="1:13">
      <c r="A646" s="96">
        <f t="shared" si="10"/>
        <v>627</v>
      </c>
      <c r="B646" s="9"/>
      <c r="C646" s="28"/>
      <c r="D646" s="23"/>
      <c r="E646" s="93"/>
      <c r="F646" s="24"/>
      <c r="G646" s="130"/>
      <c r="H646" s="46"/>
      <c r="I646" s="131"/>
      <c r="J646" s="126"/>
      <c r="K646" s="121"/>
      <c r="L646" s="78"/>
      <c r="M646" s="72">
        <f ca="1">IF(INDIRECT(ADDRESS(ROW(),3))&lt;&gt;"",getIBANchecksum(INDIRECT(ADDRESS(ROW(),3))),98)</f>
        <v>98</v>
      </c>
    </row>
    <row r="647" spans="1:13">
      <c r="A647" s="96">
        <f t="shared" si="10"/>
        <v>628</v>
      </c>
      <c r="B647" s="9"/>
      <c r="C647" s="28"/>
      <c r="D647" s="23"/>
      <c r="E647" s="93"/>
      <c r="F647" s="24"/>
      <c r="G647" s="130"/>
      <c r="H647" s="46"/>
      <c r="I647" s="131"/>
      <c r="J647" s="126"/>
      <c r="K647" s="121"/>
      <c r="L647" s="78"/>
      <c r="M647" s="72">
        <f ca="1">IF(INDIRECT(ADDRESS(ROW(),3))&lt;&gt;"",getIBANchecksum(INDIRECT(ADDRESS(ROW(),3))),98)</f>
        <v>98</v>
      </c>
    </row>
    <row r="648" spans="1:13">
      <c r="A648" s="96">
        <f t="shared" si="10"/>
        <v>629</v>
      </c>
      <c r="B648" s="9"/>
      <c r="C648" s="28"/>
      <c r="D648" s="23"/>
      <c r="E648" s="93"/>
      <c r="F648" s="24"/>
      <c r="G648" s="130"/>
      <c r="H648" s="46"/>
      <c r="I648" s="131"/>
      <c r="J648" s="126"/>
      <c r="K648" s="121"/>
      <c r="L648" s="78"/>
      <c r="M648" s="72">
        <f ca="1">IF(INDIRECT(ADDRESS(ROW(),3))&lt;&gt;"",getIBANchecksum(INDIRECT(ADDRESS(ROW(),3))),98)</f>
        <v>98</v>
      </c>
    </row>
    <row r="649" spans="1:13">
      <c r="A649" s="96">
        <f t="shared" si="10"/>
        <v>630</v>
      </c>
      <c r="B649" s="9"/>
      <c r="C649" s="28"/>
      <c r="D649" s="23"/>
      <c r="E649" s="93"/>
      <c r="F649" s="24"/>
      <c r="G649" s="130"/>
      <c r="H649" s="46"/>
      <c r="I649" s="131"/>
      <c r="J649" s="126"/>
      <c r="K649" s="121"/>
      <c r="L649" s="78"/>
      <c r="M649" s="72">
        <f ca="1">IF(INDIRECT(ADDRESS(ROW(),3))&lt;&gt;"",getIBANchecksum(INDIRECT(ADDRESS(ROW(),3))),98)</f>
        <v>98</v>
      </c>
    </row>
    <row r="650" spans="1:13">
      <c r="A650" s="96">
        <f t="shared" si="10"/>
        <v>631</v>
      </c>
      <c r="B650" s="9"/>
      <c r="C650" s="28"/>
      <c r="D650" s="23"/>
      <c r="E650" s="93"/>
      <c r="F650" s="24"/>
      <c r="G650" s="130"/>
      <c r="H650" s="46"/>
      <c r="I650" s="131"/>
      <c r="J650" s="126"/>
      <c r="K650" s="121"/>
      <c r="L650" s="78"/>
      <c r="M650" s="72">
        <f ca="1">IF(INDIRECT(ADDRESS(ROW(),3))&lt;&gt;"",getIBANchecksum(INDIRECT(ADDRESS(ROW(),3))),98)</f>
        <v>98</v>
      </c>
    </row>
    <row r="651" spans="1:13">
      <c r="A651" s="96">
        <f t="shared" si="10"/>
        <v>632</v>
      </c>
      <c r="B651" s="9"/>
      <c r="C651" s="28"/>
      <c r="D651" s="23"/>
      <c r="E651" s="93"/>
      <c r="F651" s="24"/>
      <c r="G651" s="130"/>
      <c r="H651" s="46"/>
      <c r="I651" s="131"/>
      <c r="J651" s="126"/>
      <c r="K651" s="121"/>
      <c r="L651" s="78"/>
      <c r="M651" s="72">
        <f ca="1">IF(INDIRECT(ADDRESS(ROW(),3))&lt;&gt;"",getIBANchecksum(INDIRECT(ADDRESS(ROW(),3))),98)</f>
        <v>98</v>
      </c>
    </row>
    <row r="652" spans="1:13">
      <c r="A652" s="96">
        <f t="shared" si="10"/>
        <v>633</v>
      </c>
      <c r="B652" s="9"/>
      <c r="C652" s="28"/>
      <c r="D652" s="23"/>
      <c r="E652" s="93"/>
      <c r="F652" s="24"/>
      <c r="G652" s="130"/>
      <c r="H652" s="46"/>
      <c r="I652" s="131"/>
      <c r="J652" s="126"/>
      <c r="K652" s="121"/>
      <c r="L652" s="78"/>
      <c r="M652" s="72">
        <f ca="1">IF(INDIRECT(ADDRESS(ROW(),3))&lt;&gt;"",getIBANchecksum(INDIRECT(ADDRESS(ROW(),3))),98)</f>
        <v>98</v>
      </c>
    </row>
    <row r="653" spans="1:13">
      <c r="A653" s="96">
        <f t="shared" si="10"/>
        <v>634</v>
      </c>
      <c r="B653" s="9"/>
      <c r="C653" s="28"/>
      <c r="D653" s="23"/>
      <c r="E653" s="93"/>
      <c r="F653" s="24"/>
      <c r="G653" s="130"/>
      <c r="H653" s="46"/>
      <c r="I653" s="131"/>
      <c r="J653" s="126"/>
      <c r="K653" s="121"/>
      <c r="L653" s="78"/>
      <c r="M653" s="72">
        <f ca="1">IF(INDIRECT(ADDRESS(ROW(),3))&lt;&gt;"",getIBANchecksum(INDIRECT(ADDRESS(ROW(),3))),98)</f>
        <v>98</v>
      </c>
    </row>
    <row r="654" spans="1:13">
      <c r="A654" s="96">
        <f t="shared" si="10"/>
        <v>635</v>
      </c>
      <c r="B654" s="9"/>
      <c r="C654" s="28"/>
      <c r="D654" s="23"/>
      <c r="E654" s="93"/>
      <c r="F654" s="24"/>
      <c r="G654" s="130"/>
      <c r="H654" s="46"/>
      <c r="I654" s="131"/>
      <c r="J654" s="126"/>
      <c r="K654" s="121"/>
      <c r="L654" s="78"/>
      <c r="M654" s="72">
        <f ca="1">IF(INDIRECT(ADDRESS(ROW(),3))&lt;&gt;"",getIBANchecksum(INDIRECT(ADDRESS(ROW(),3))),98)</f>
        <v>98</v>
      </c>
    </row>
    <row r="655" spans="1:13">
      <c r="A655" s="96">
        <f t="shared" si="10"/>
        <v>636</v>
      </c>
      <c r="B655" s="9"/>
      <c r="C655" s="28"/>
      <c r="D655" s="23"/>
      <c r="E655" s="93"/>
      <c r="F655" s="24"/>
      <c r="G655" s="130"/>
      <c r="H655" s="46"/>
      <c r="I655" s="131"/>
      <c r="J655" s="126"/>
      <c r="K655" s="121"/>
      <c r="L655" s="78"/>
      <c r="M655" s="72">
        <f ca="1">IF(INDIRECT(ADDRESS(ROW(),3))&lt;&gt;"",getIBANchecksum(INDIRECT(ADDRESS(ROW(),3))),98)</f>
        <v>98</v>
      </c>
    </row>
    <row r="656" spans="1:13">
      <c r="A656" s="96">
        <f t="shared" si="10"/>
        <v>637</v>
      </c>
      <c r="B656" s="9"/>
      <c r="C656" s="28"/>
      <c r="D656" s="23"/>
      <c r="E656" s="93"/>
      <c r="F656" s="24"/>
      <c r="G656" s="130"/>
      <c r="H656" s="46"/>
      <c r="I656" s="131"/>
      <c r="J656" s="126"/>
      <c r="K656" s="121"/>
      <c r="L656" s="78"/>
      <c r="M656" s="72">
        <f ca="1">IF(INDIRECT(ADDRESS(ROW(),3))&lt;&gt;"",getIBANchecksum(INDIRECT(ADDRESS(ROW(),3))),98)</f>
        <v>98</v>
      </c>
    </row>
    <row r="657" spans="1:13">
      <c r="A657" s="96">
        <f t="shared" si="10"/>
        <v>638</v>
      </c>
      <c r="B657" s="9"/>
      <c r="C657" s="28"/>
      <c r="D657" s="23"/>
      <c r="E657" s="93"/>
      <c r="F657" s="24"/>
      <c r="G657" s="130"/>
      <c r="H657" s="46"/>
      <c r="I657" s="131"/>
      <c r="J657" s="126"/>
      <c r="K657" s="121"/>
      <c r="L657" s="78"/>
      <c r="M657" s="72">
        <f ca="1">IF(INDIRECT(ADDRESS(ROW(),3))&lt;&gt;"",getIBANchecksum(INDIRECT(ADDRESS(ROW(),3))),98)</f>
        <v>98</v>
      </c>
    </row>
    <row r="658" spans="1:13">
      <c r="A658" s="96">
        <f t="shared" si="10"/>
        <v>639</v>
      </c>
      <c r="B658" s="9"/>
      <c r="C658" s="28"/>
      <c r="D658" s="23"/>
      <c r="E658" s="93"/>
      <c r="F658" s="24"/>
      <c r="G658" s="130"/>
      <c r="H658" s="46"/>
      <c r="I658" s="131"/>
      <c r="J658" s="126"/>
      <c r="K658" s="121"/>
      <c r="L658" s="78"/>
      <c r="M658" s="72">
        <f ca="1">IF(INDIRECT(ADDRESS(ROW(),3))&lt;&gt;"",getIBANchecksum(INDIRECT(ADDRESS(ROW(),3))),98)</f>
        <v>98</v>
      </c>
    </row>
    <row r="659" spans="1:13">
      <c r="A659" s="96">
        <f t="shared" si="10"/>
        <v>640</v>
      </c>
      <c r="B659" s="9"/>
      <c r="C659" s="28"/>
      <c r="D659" s="23"/>
      <c r="E659" s="93"/>
      <c r="F659" s="24"/>
      <c r="G659" s="130"/>
      <c r="H659" s="46"/>
      <c r="I659" s="131"/>
      <c r="J659" s="126"/>
      <c r="K659" s="121"/>
      <c r="L659" s="78"/>
      <c r="M659" s="72">
        <f ca="1">IF(INDIRECT(ADDRESS(ROW(),3))&lt;&gt;"",getIBANchecksum(INDIRECT(ADDRESS(ROW(),3))),98)</f>
        <v>98</v>
      </c>
    </row>
    <row r="660" spans="1:13">
      <c r="A660" s="96">
        <f t="shared" si="10"/>
        <v>641</v>
      </c>
      <c r="B660" s="9"/>
      <c r="C660" s="28"/>
      <c r="D660" s="23"/>
      <c r="E660" s="93"/>
      <c r="F660" s="24"/>
      <c r="G660" s="130"/>
      <c r="H660" s="46"/>
      <c r="I660" s="131"/>
      <c r="J660" s="126"/>
      <c r="K660" s="121"/>
      <c r="L660" s="78"/>
      <c r="M660" s="72">
        <f ca="1">IF(INDIRECT(ADDRESS(ROW(),3))&lt;&gt;"",getIBANchecksum(INDIRECT(ADDRESS(ROW(),3))),98)</f>
        <v>98</v>
      </c>
    </row>
    <row r="661" spans="1:13">
      <c r="A661" s="96">
        <f t="shared" si="10"/>
        <v>642</v>
      </c>
      <c r="B661" s="9"/>
      <c r="C661" s="28"/>
      <c r="D661" s="23"/>
      <c r="E661" s="93"/>
      <c r="F661" s="24"/>
      <c r="G661" s="130"/>
      <c r="H661" s="46"/>
      <c r="I661" s="131"/>
      <c r="J661" s="126"/>
      <c r="K661" s="121"/>
      <c r="L661" s="78"/>
      <c r="M661" s="72">
        <f ca="1">IF(INDIRECT(ADDRESS(ROW(),3))&lt;&gt;"",getIBANchecksum(INDIRECT(ADDRESS(ROW(),3))),98)</f>
        <v>98</v>
      </c>
    </row>
    <row r="662" spans="1:13">
      <c r="A662" s="96">
        <f t="shared" ref="A662:A725" si="11">A661+1</f>
        <v>643</v>
      </c>
      <c r="B662" s="9"/>
      <c r="C662" s="28"/>
      <c r="D662" s="23"/>
      <c r="E662" s="93"/>
      <c r="F662" s="24"/>
      <c r="G662" s="130"/>
      <c r="H662" s="46"/>
      <c r="I662" s="131"/>
      <c r="J662" s="126"/>
      <c r="K662" s="121"/>
      <c r="L662" s="78"/>
      <c r="M662" s="72">
        <f ca="1">IF(INDIRECT(ADDRESS(ROW(),3))&lt;&gt;"",getIBANchecksum(INDIRECT(ADDRESS(ROW(),3))),98)</f>
        <v>98</v>
      </c>
    </row>
    <row r="663" spans="1:13">
      <c r="A663" s="96">
        <f t="shared" si="11"/>
        <v>644</v>
      </c>
      <c r="B663" s="9"/>
      <c r="C663" s="28"/>
      <c r="D663" s="23"/>
      <c r="E663" s="93"/>
      <c r="F663" s="24"/>
      <c r="G663" s="130"/>
      <c r="H663" s="46"/>
      <c r="I663" s="131"/>
      <c r="J663" s="126"/>
      <c r="K663" s="121"/>
      <c r="L663" s="78"/>
      <c r="M663" s="72">
        <f ca="1">IF(INDIRECT(ADDRESS(ROW(),3))&lt;&gt;"",getIBANchecksum(INDIRECT(ADDRESS(ROW(),3))),98)</f>
        <v>98</v>
      </c>
    </row>
    <row r="664" spans="1:13">
      <c r="A664" s="96">
        <f t="shared" si="11"/>
        <v>645</v>
      </c>
      <c r="B664" s="9"/>
      <c r="C664" s="28"/>
      <c r="D664" s="23"/>
      <c r="E664" s="93"/>
      <c r="F664" s="24"/>
      <c r="G664" s="130"/>
      <c r="H664" s="46"/>
      <c r="I664" s="131"/>
      <c r="J664" s="126"/>
      <c r="K664" s="121"/>
      <c r="L664" s="78"/>
      <c r="M664" s="72">
        <f ca="1">IF(INDIRECT(ADDRESS(ROW(),3))&lt;&gt;"",getIBANchecksum(INDIRECT(ADDRESS(ROW(),3))),98)</f>
        <v>98</v>
      </c>
    </row>
    <row r="665" spans="1:13">
      <c r="A665" s="96">
        <f t="shared" si="11"/>
        <v>646</v>
      </c>
      <c r="B665" s="9"/>
      <c r="C665" s="28"/>
      <c r="D665" s="23"/>
      <c r="E665" s="93"/>
      <c r="F665" s="24"/>
      <c r="G665" s="130"/>
      <c r="H665" s="46"/>
      <c r="I665" s="131"/>
      <c r="J665" s="126"/>
      <c r="K665" s="121"/>
      <c r="L665" s="78"/>
      <c r="M665" s="72">
        <f ca="1">IF(INDIRECT(ADDRESS(ROW(),3))&lt;&gt;"",getIBANchecksum(INDIRECT(ADDRESS(ROW(),3))),98)</f>
        <v>98</v>
      </c>
    </row>
    <row r="666" spans="1:13">
      <c r="A666" s="96">
        <f t="shared" si="11"/>
        <v>647</v>
      </c>
      <c r="B666" s="9"/>
      <c r="C666" s="28"/>
      <c r="D666" s="23"/>
      <c r="E666" s="93"/>
      <c r="F666" s="24"/>
      <c r="G666" s="130"/>
      <c r="H666" s="46"/>
      <c r="I666" s="131"/>
      <c r="J666" s="126"/>
      <c r="K666" s="121"/>
      <c r="L666" s="78"/>
      <c r="M666" s="72">
        <f ca="1">IF(INDIRECT(ADDRESS(ROW(),3))&lt;&gt;"",getIBANchecksum(INDIRECT(ADDRESS(ROW(),3))),98)</f>
        <v>98</v>
      </c>
    </row>
    <row r="667" spans="1:13">
      <c r="A667" s="96">
        <f t="shared" si="11"/>
        <v>648</v>
      </c>
      <c r="B667" s="9"/>
      <c r="C667" s="28"/>
      <c r="D667" s="23"/>
      <c r="E667" s="93"/>
      <c r="F667" s="24"/>
      <c r="G667" s="130"/>
      <c r="H667" s="46"/>
      <c r="I667" s="131"/>
      <c r="J667" s="126"/>
      <c r="K667" s="121"/>
      <c r="L667" s="78"/>
      <c r="M667" s="72">
        <f ca="1">IF(INDIRECT(ADDRESS(ROW(),3))&lt;&gt;"",getIBANchecksum(INDIRECT(ADDRESS(ROW(),3))),98)</f>
        <v>98</v>
      </c>
    </row>
    <row r="668" spans="1:13">
      <c r="A668" s="96">
        <f t="shared" si="11"/>
        <v>649</v>
      </c>
      <c r="B668" s="9"/>
      <c r="C668" s="28"/>
      <c r="D668" s="23"/>
      <c r="E668" s="93"/>
      <c r="F668" s="24"/>
      <c r="G668" s="130"/>
      <c r="H668" s="46"/>
      <c r="I668" s="131"/>
      <c r="J668" s="126"/>
      <c r="K668" s="121"/>
      <c r="L668" s="78"/>
      <c r="M668" s="72">
        <f ca="1">IF(INDIRECT(ADDRESS(ROW(),3))&lt;&gt;"",getIBANchecksum(INDIRECT(ADDRESS(ROW(),3))),98)</f>
        <v>98</v>
      </c>
    </row>
    <row r="669" spans="1:13">
      <c r="A669" s="96">
        <f t="shared" si="11"/>
        <v>650</v>
      </c>
      <c r="B669" s="9"/>
      <c r="C669" s="28"/>
      <c r="D669" s="23"/>
      <c r="E669" s="93"/>
      <c r="F669" s="24"/>
      <c r="G669" s="130"/>
      <c r="H669" s="46"/>
      <c r="I669" s="131"/>
      <c r="J669" s="126"/>
      <c r="K669" s="121"/>
      <c r="L669" s="78"/>
      <c r="M669" s="72">
        <f ca="1">IF(INDIRECT(ADDRESS(ROW(),3))&lt;&gt;"",getIBANchecksum(INDIRECT(ADDRESS(ROW(),3))),98)</f>
        <v>98</v>
      </c>
    </row>
    <row r="670" spans="1:13">
      <c r="A670" s="96">
        <f t="shared" si="11"/>
        <v>651</v>
      </c>
      <c r="B670" s="9"/>
      <c r="C670" s="28"/>
      <c r="D670" s="23"/>
      <c r="E670" s="93"/>
      <c r="F670" s="24"/>
      <c r="G670" s="130"/>
      <c r="H670" s="46"/>
      <c r="I670" s="131"/>
      <c r="J670" s="126"/>
      <c r="K670" s="121"/>
      <c r="L670" s="78"/>
      <c r="M670" s="72">
        <f ca="1">IF(INDIRECT(ADDRESS(ROW(),3))&lt;&gt;"",getIBANchecksum(INDIRECT(ADDRESS(ROW(),3))),98)</f>
        <v>98</v>
      </c>
    </row>
    <row r="671" spans="1:13">
      <c r="A671" s="96">
        <f t="shared" si="11"/>
        <v>652</v>
      </c>
      <c r="B671" s="9"/>
      <c r="C671" s="28"/>
      <c r="D671" s="23"/>
      <c r="E671" s="93"/>
      <c r="F671" s="24"/>
      <c r="G671" s="130"/>
      <c r="H671" s="46"/>
      <c r="I671" s="131"/>
      <c r="J671" s="126"/>
      <c r="K671" s="121"/>
      <c r="L671" s="78"/>
      <c r="M671" s="72">
        <f ca="1">IF(INDIRECT(ADDRESS(ROW(),3))&lt;&gt;"",getIBANchecksum(INDIRECT(ADDRESS(ROW(),3))),98)</f>
        <v>98</v>
      </c>
    </row>
    <row r="672" spans="1:13">
      <c r="A672" s="96">
        <f t="shared" si="11"/>
        <v>653</v>
      </c>
      <c r="B672" s="9"/>
      <c r="C672" s="28"/>
      <c r="D672" s="23"/>
      <c r="E672" s="93"/>
      <c r="F672" s="24"/>
      <c r="G672" s="130"/>
      <c r="H672" s="46"/>
      <c r="I672" s="131"/>
      <c r="J672" s="126"/>
      <c r="K672" s="121"/>
      <c r="L672" s="78"/>
      <c r="M672" s="72">
        <f ca="1">IF(INDIRECT(ADDRESS(ROW(),3))&lt;&gt;"",getIBANchecksum(INDIRECT(ADDRESS(ROW(),3))),98)</f>
        <v>98</v>
      </c>
    </row>
    <row r="673" spans="1:13">
      <c r="A673" s="96">
        <f t="shared" si="11"/>
        <v>654</v>
      </c>
      <c r="B673" s="9"/>
      <c r="C673" s="28"/>
      <c r="D673" s="23"/>
      <c r="E673" s="93"/>
      <c r="F673" s="24"/>
      <c r="G673" s="130"/>
      <c r="H673" s="46"/>
      <c r="I673" s="131"/>
      <c r="J673" s="126"/>
      <c r="K673" s="121"/>
      <c r="L673" s="78"/>
      <c r="M673" s="72">
        <f ca="1">IF(INDIRECT(ADDRESS(ROW(),3))&lt;&gt;"",getIBANchecksum(INDIRECT(ADDRESS(ROW(),3))),98)</f>
        <v>98</v>
      </c>
    </row>
    <row r="674" spans="1:13">
      <c r="A674" s="96">
        <f t="shared" si="11"/>
        <v>655</v>
      </c>
      <c r="B674" s="9"/>
      <c r="C674" s="28"/>
      <c r="D674" s="23"/>
      <c r="E674" s="93"/>
      <c r="F674" s="24"/>
      <c r="G674" s="130"/>
      <c r="H674" s="46"/>
      <c r="I674" s="131"/>
      <c r="J674" s="126"/>
      <c r="K674" s="121"/>
      <c r="L674" s="78"/>
      <c r="M674" s="72">
        <f ca="1">IF(INDIRECT(ADDRESS(ROW(),3))&lt;&gt;"",getIBANchecksum(INDIRECT(ADDRESS(ROW(),3))),98)</f>
        <v>98</v>
      </c>
    </row>
    <row r="675" spans="1:13">
      <c r="A675" s="96">
        <f t="shared" si="11"/>
        <v>656</v>
      </c>
      <c r="B675" s="9"/>
      <c r="C675" s="28"/>
      <c r="D675" s="23"/>
      <c r="E675" s="93"/>
      <c r="F675" s="24"/>
      <c r="G675" s="130"/>
      <c r="H675" s="46"/>
      <c r="I675" s="131"/>
      <c r="J675" s="126"/>
      <c r="K675" s="121"/>
      <c r="L675" s="78"/>
      <c r="M675" s="72">
        <f ca="1">IF(INDIRECT(ADDRESS(ROW(),3))&lt;&gt;"",getIBANchecksum(INDIRECT(ADDRESS(ROW(),3))),98)</f>
        <v>98</v>
      </c>
    </row>
    <row r="676" spans="1:13">
      <c r="A676" s="96">
        <f t="shared" si="11"/>
        <v>657</v>
      </c>
      <c r="B676" s="9"/>
      <c r="C676" s="28"/>
      <c r="D676" s="23"/>
      <c r="E676" s="93"/>
      <c r="F676" s="24"/>
      <c r="G676" s="130"/>
      <c r="H676" s="46"/>
      <c r="I676" s="131"/>
      <c r="J676" s="126"/>
      <c r="K676" s="121"/>
      <c r="L676" s="78"/>
      <c r="M676" s="72">
        <f ca="1">IF(INDIRECT(ADDRESS(ROW(),3))&lt;&gt;"",getIBANchecksum(INDIRECT(ADDRESS(ROW(),3))),98)</f>
        <v>98</v>
      </c>
    </row>
    <row r="677" spans="1:13">
      <c r="A677" s="96">
        <f t="shared" si="11"/>
        <v>658</v>
      </c>
      <c r="B677" s="9"/>
      <c r="C677" s="28"/>
      <c r="D677" s="23"/>
      <c r="E677" s="93"/>
      <c r="F677" s="24"/>
      <c r="G677" s="130"/>
      <c r="H677" s="46"/>
      <c r="I677" s="131"/>
      <c r="J677" s="126"/>
      <c r="K677" s="121"/>
      <c r="L677" s="78"/>
      <c r="M677" s="72">
        <f ca="1">IF(INDIRECT(ADDRESS(ROW(),3))&lt;&gt;"",getIBANchecksum(INDIRECT(ADDRESS(ROW(),3))),98)</f>
        <v>98</v>
      </c>
    </row>
    <row r="678" spans="1:13">
      <c r="A678" s="96">
        <f t="shared" si="11"/>
        <v>659</v>
      </c>
      <c r="B678" s="9"/>
      <c r="C678" s="28"/>
      <c r="D678" s="23"/>
      <c r="E678" s="93"/>
      <c r="F678" s="24"/>
      <c r="G678" s="130"/>
      <c r="H678" s="46"/>
      <c r="I678" s="131"/>
      <c r="J678" s="126"/>
      <c r="K678" s="121"/>
      <c r="L678" s="78"/>
      <c r="M678" s="72">
        <f ca="1">IF(INDIRECT(ADDRESS(ROW(),3))&lt;&gt;"",getIBANchecksum(INDIRECT(ADDRESS(ROW(),3))),98)</f>
        <v>98</v>
      </c>
    </row>
    <row r="679" spans="1:13">
      <c r="A679" s="96">
        <f t="shared" si="11"/>
        <v>660</v>
      </c>
      <c r="B679" s="9"/>
      <c r="C679" s="28"/>
      <c r="D679" s="23"/>
      <c r="E679" s="93"/>
      <c r="F679" s="24"/>
      <c r="G679" s="130"/>
      <c r="H679" s="46"/>
      <c r="I679" s="131"/>
      <c r="J679" s="126"/>
      <c r="K679" s="121"/>
      <c r="L679" s="78"/>
      <c r="M679" s="72">
        <f ca="1">IF(INDIRECT(ADDRESS(ROW(),3))&lt;&gt;"",getIBANchecksum(INDIRECT(ADDRESS(ROW(),3))),98)</f>
        <v>98</v>
      </c>
    </row>
    <row r="680" spans="1:13">
      <c r="A680" s="96">
        <f t="shared" si="11"/>
        <v>661</v>
      </c>
      <c r="B680" s="9"/>
      <c r="C680" s="28"/>
      <c r="D680" s="23"/>
      <c r="E680" s="93"/>
      <c r="F680" s="24"/>
      <c r="G680" s="130"/>
      <c r="H680" s="46"/>
      <c r="I680" s="131"/>
      <c r="J680" s="126"/>
      <c r="K680" s="121"/>
      <c r="L680" s="78"/>
      <c r="M680" s="72">
        <f ca="1">IF(INDIRECT(ADDRESS(ROW(),3))&lt;&gt;"",getIBANchecksum(INDIRECT(ADDRESS(ROW(),3))),98)</f>
        <v>98</v>
      </c>
    </row>
    <row r="681" spans="1:13">
      <c r="A681" s="96">
        <f t="shared" si="11"/>
        <v>662</v>
      </c>
      <c r="B681" s="9"/>
      <c r="C681" s="28"/>
      <c r="D681" s="23"/>
      <c r="E681" s="93"/>
      <c r="F681" s="24"/>
      <c r="G681" s="130"/>
      <c r="H681" s="46"/>
      <c r="I681" s="131"/>
      <c r="J681" s="126"/>
      <c r="K681" s="121"/>
      <c r="L681" s="78"/>
      <c r="M681" s="72">
        <f ca="1">IF(INDIRECT(ADDRESS(ROW(),3))&lt;&gt;"",getIBANchecksum(INDIRECT(ADDRESS(ROW(),3))),98)</f>
        <v>98</v>
      </c>
    </row>
    <row r="682" spans="1:13">
      <c r="A682" s="96">
        <f t="shared" si="11"/>
        <v>663</v>
      </c>
      <c r="B682" s="9"/>
      <c r="C682" s="28"/>
      <c r="D682" s="23"/>
      <c r="E682" s="93"/>
      <c r="F682" s="24"/>
      <c r="G682" s="130"/>
      <c r="H682" s="46"/>
      <c r="I682" s="131"/>
      <c r="J682" s="126"/>
      <c r="K682" s="121"/>
      <c r="L682" s="78"/>
      <c r="M682" s="72">
        <f ca="1">IF(INDIRECT(ADDRESS(ROW(),3))&lt;&gt;"",getIBANchecksum(INDIRECT(ADDRESS(ROW(),3))),98)</f>
        <v>98</v>
      </c>
    </row>
    <row r="683" spans="1:13">
      <c r="A683" s="96">
        <f t="shared" si="11"/>
        <v>664</v>
      </c>
      <c r="B683" s="9"/>
      <c r="C683" s="28"/>
      <c r="D683" s="23"/>
      <c r="E683" s="93"/>
      <c r="F683" s="24"/>
      <c r="G683" s="130"/>
      <c r="H683" s="46"/>
      <c r="I683" s="131"/>
      <c r="J683" s="126"/>
      <c r="K683" s="121"/>
      <c r="L683" s="78"/>
      <c r="M683" s="72">
        <f ca="1">IF(INDIRECT(ADDRESS(ROW(),3))&lt;&gt;"",getIBANchecksum(INDIRECT(ADDRESS(ROW(),3))),98)</f>
        <v>98</v>
      </c>
    </row>
    <row r="684" spans="1:13">
      <c r="A684" s="96">
        <f t="shared" si="11"/>
        <v>665</v>
      </c>
      <c r="B684" s="9"/>
      <c r="C684" s="28"/>
      <c r="D684" s="23"/>
      <c r="E684" s="93"/>
      <c r="F684" s="24"/>
      <c r="G684" s="130"/>
      <c r="H684" s="46"/>
      <c r="I684" s="131"/>
      <c r="J684" s="126"/>
      <c r="K684" s="121"/>
      <c r="L684" s="78"/>
      <c r="M684" s="72">
        <f ca="1">IF(INDIRECT(ADDRESS(ROW(),3))&lt;&gt;"",getIBANchecksum(INDIRECT(ADDRESS(ROW(),3))),98)</f>
        <v>98</v>
      </c>
    </row>
    <row r="685" spans="1:13">
      <c r="A685" s="96">
        <f t="shared" si="11"/>
        <v>666</v>
      </c>
      <c r="B685" s="9"/>
      <c r="C685" s="28"/>
      <c r="D685" s="23"/>
      <c r="E685" s="93"/>
      <c r="F685" s="24"/>
      <c r="G685" s="130"/>
      <c r="H685" s="46"/>
      <c r="I685" s="131"/>
      <c r="J685" s="126"/>
      <c r="K685" s="121"/>
      <c r="L685" s="78"/>
      <c r="M685" s="72">
        <f ca="1">IF(INDIRECT(ADDRESS(ROW(),3))&lt;&gt;"",getIBANchecksum(INDIRECT(ADDRESS(ROW(),3))),98)</f>
        <v>98</v>
      </c>
    </row>
    <row r="686" spans="1:13">
      <c r="A686" s="96">
        <f t="shared" si="11"/>
        <v>667</v>
      </c>
      <c r="B686" s="9"/>
      <c r="C686" s="28"/>
      <c r="D686" s="23"/>
      <c r="E686" s="93"/>
      <c r="F686" s="24"/>
      <c r="G686" s="130"/>
      <c r="H686" s="46"/>
      <c r="I686" s="131"/>
      <c r="J686" s="126"/>
      <c r="K686" s="121"/>
      <c r="L686" s="78"/>
      <c r="M686" s="72">
        <f ca="1">IF(INDIRECT(ADDRESS(ROW(),3))&lt;&gt;"",getIBANchecksum(INDIRECT(ADDRESS(ROW(),3))),98)</f>
        <v>98</v>
      </c>
    </row>
    <row r="687" spans="1:13">
      <c r="A687" s="96">
        <f t="shared" si="11"/>
        <v>668</v>
      </c>
      <c r="B687" s="9"/>
      <c r="C687" s="28"/>
      <c r="D687" s="23"/>
      <c r="E687" s="93"/>
      <c r="F687" s="24"/>
      <c r="G687" s="130"/>
      <c r="H687" s="46"/>
      <c r="I687" s="131"/>
      <c r="J687" s="126"/>
      <c r="K687" s="121"/>
      <c r="L687" s="78"/>
      <c r="M687" s="72">
        <f ca="1">IF(INDIRECT(ADDRESS(ROW(),3))&lt;&gt;"",getIBANchecksum(INDIRECT(ADDRESS(ROW(),3))),98)</f>
        <v>98</v>
      </c>
    </row>
    <row r="688" spans="1:13">
      <c r="A688" s="96">
        <f t="shared" si="11"/>
        <v>669</v>
      </c>
      <c r="B688" s="9"/>
      <c r="C688" s="28"/>
      <c r="D688" s="23"/>
      <c r="E688" s="93"/>
      <c r="F688" s="24"/>
      <c r="G688" s="130"/>
      <c r="H688" s="46"/>
      <c r="I688" s="131"/>
      <c r="J688" s="126"/>
      <c r="K688" s="121"/>
      <c r="L688" s="78"/>
      <c r="M688" s="72">
        <f ca="1">IF(INDIRECT(ADDRESS(ROW(),3))&lt;&gt;"",getIBANchecksum(INDIRECT(ADDRESS(ROW(),3))),98)</f>
        <v>98</v>
      </c>
    </row>
    <row r="689" spans="1:13">
      <c r="A689" s="96">
        <f t="shared" si="11"/>
        <v>670</v>
      </c>
      <c r="B689" s="9"/>
      <c r="C689" s="28"/>
      <c r="D689" s="23"/>
      <c r="E689" s="93"/>
      <c r="F689" s="24"/>
      <c r="G689" s="130"/>
      <c r="H689" s="46"/>
      <c r="I689" s="131"/>
      <c r="J689" s="126"/>
      <c r="K689" s="121"/>
      <c r="L689" s="78"/>
      <c r="M689" s="72">
        <f ca="1">IF(INDIRECT(ADDRESS(ROW(),3))&lt;&gt;"",getIBANchecksum(INDIRECT(ADDRESS(ROW(),3))),98)</f>
        <v>98</v>
      </c>
    </row>
    <row r="690" spans="1:13">
      <c r="A690" s="96">
        <f t="shared" si="11"/>
        <v>671</v>
      </c>
      <c r="B690" s="9"/>
      <c r="C690" s="28"/>
      <c r="D690" s="23"/>
      <c r="E690" s="93"/>
      <c r="F690" s="24"/>
      <c r="G690" s="130"/>
      <c r="H690" s="46"/>
      <c r="I690" s="131"/>
      <c r="J690" s="126"/>
      <c r="K690" s="121"/>
      <c r="L690" s="78"/>
      <c r="M690" s="72">
        <f ca="1">IF(INDIRECT(ADDRESS(ROW(),3))&lt;&gt;"",getIBANchecksum(INDIRECT(ADDRESS(ROW(),3))),98)</f>
        <v>98</v>
      </c>
    </row>
    <row r="691" spans="1:13">
      <c r="A691" s="96">
        <f t="shared" si="11"/>
        <v>672</v>
      </c>
      <c r="B691" s="9"/>
      <c r="C691" s="28"/>
      <c r="D691" s="23"/>
      <c r="E691" s="93"/>
      <c r="F691" s="24"/>
      <c r="G691" s="130"/>
      <c r="H691" s="46"/>
      <c r="I691" s="131"/>
      <c r="J691" s="126"/>
      <c r="K691" s="121"/>
      <c r="L691" s="78"/>
      <c r="M691" s="72">
        <f ca="1">IF(INDIRECT(ADDRESS(ROW(),3))&lt;&gt;"",getIBANchecksum(INDIRECT(ADDRESS(ROW(),3))),98)</f>
        <v>98</v>
      </c>
    </row>
    <row r="692" spans="1:13">
      <c r="A692" s="96">
        <f t="shared" si="11"/>
        <v>673</v>
      </c>
      <c r="B692" s="9"/>
      <c r="C692" s="28"/>
      <c r="D692" s="23"/>
      <c r="E692" s="93"/>
      <c r="F692" s="24"/>
      <c r="G692" s="130"/>
      <c r="H692" s="46"/>
      <c r="I692" s="131"/>
      <c r="J692" s="126"/>
      <c r="K692" s="121"/>
      <c r="L692" s="78"/>
      <c r="M692" s="72">
        <f ca="1">IF(INDIRECT(ADDRESS(ROW(),3))&lt;&gt;"",getIBANchecksum(INDIRECT(ADDRESS(ROW(),3))),98)</f>
        <v>98</v>
      </c>
    </row>
    <row r="693" spans="1:13">
      <c r="A693" s="96">
        <f t="shared" si="11"/>
        <v>674</v>
      </c>
      <c r="B693" s="9"/>
      <c r="C693" s="28"/>
      <c r="D693" s="23"/>
      <c r="E693" s="93"/>
      <c r="F693" s="24"/>
      <c r="G693" s="130"/>
      <c r="H693" s="46"/>
      <c r="I693" s="131"/>
      <c r="J693" s="126"/>
      <c r="K693" s="121"/>
      <c r="L693" s="78"/>
      <c r="M693" s="72">
        <f ca="1">IF(INDIRECT(ADDRESS(ROW(),3))&lt;&gt;"",getIBANchecksum(INDIRECT(ADDRESS(ROW(),3))),98)</f>
        <v>98</v>
      </c>
    </row>
    <row r="694" spans="1:13">
      <c r="A694" s="96">
        <f t="shared" si="11"/>
        <v>675</v>
      </c>
      <c r="B694" s="9"/>
      <c r="C694" s="28"/>
      <c r="D694" s="23"/>
      <c r="E694" s="93"/>
      <c r="F694" s="24"/>
      <c r="G694" s="130"/>
      <c r="H694" s="46"/>
      <c r="I694" s="131"/>
      <c r="J694" s="126"/>
      <c r="K694" s="121"/>
      <c r="L694" s="78"/>
      <c r="M694" s="72">
        <f ca="1">IF(INDIRECT(ADDRESS(ROW(),3))&lt;&gt;"",getIBANchecksum(INDIRECT(ADDRESS(ROW(),3))),98)</f>
        <v>98</v>
      </c>
    </row>
    <row r="695" spans="1:13">
      <c r="A695" s="96">
        <f t="shared" si="11"/>
        <v>676</v>
      </c>
      <c r="B695" s="9"/>
      <c r="C695" s="28"/>
      <c r="D695" s="23"/>
      <c r="E695" s="93"/>
      <c r="F695" s="24"/>
      <c r="G695" s="130"/>
      <c r="H695" s="46"/>
      <c r="I695" s="131"/>
      <c r="J695" s="126"/>
      <c r="K695" s="121"/>
      <c r="L695" s="78"/>
      <c r="M695" s="72">
        <f ca="1">IF(INDIRECT(ADDRESS(ROW(),3))&lt;&gt;"",getIBANchecksum(INDIRECT(ADDRESS(ROW(),3))),98)</f>
        <v>98</v>
      </c>
    </row>
    <row r="696" spans="1:13">
      <c r="A696" s="96">
        <f t="shared" si="11"/>
        <v>677</v>
      </c>
      <c r="B696" s="9"/>
      <c r="C696" s="28"/>
      <c r="D696" s="23"/>
      <c r="E696" s="93"/>
      <c r="F696" s="24"/>
      <c r="G696" s="130"/>
      <c r="H696" s="46"/>
      <c r="I696" s="131"/>
      <c r="J696" s="126"/>
      <c r="K696" s="121"/>
      <c r="L696" s="78"/>
      <c r="M696" s="72">
        <f ca="1">IF(INDIRECT(ADDRESS(ROW(),3))&lt;&gt;"",getIBANchecksum(INDIRECT(ADDRESS(ROW(),3))),98)</f>
        <v>98</v>
      </c>
    </row>
    <row r="697" spans="1:13">
      <c r="A697" s="96">
        <f t="shared" si="11"/>
        <v>678</v>
      </c>
      <c r="B697" s="9"/>
      <c r="C697" s="28"/>
      <c r="D697" s="23"/>
      <c r="E697" s="93"/>
      <c r="F697" s="24"/>
      <c r="G697" s="130"/>
      <c r="H697" s="46"/>
      <c r="I697" s="131"/>
      <c r="J697" s="126"/>
      <c r="K697" s="121"/>
      <c r="L697" s="78"/>
      <c r="M697" s="72">
        <f ca="1">IF(INDIRECT(ADDRESS(ROW(),3))&lt;&gt;"",getIBANchecksum(INDIRECT(ADDRESS(ROW(),3))),98)</f>
        <v>98</v>
      </c>
    </row>
    <row r="698" spans="1:13">
      <c r="A698" s="96">
        <f t="shared" si="11"/>
        <v>679</v>
      </c>
      <c r="B698" s="9"/>
      <c r="C698" s="28"/>
      <c r="D698" s="23"/>
      <c r="E698" s="93"/>
      <c r="F698" s="24"/>
      <c r="G698" s="130"/>
      <c r="H698" s="46"/>
      <c r="I698" s="131"/>
      <c r="J698" s="126"/>
      <c r="K698" s="121"/>
      <c r="L698" s="78"/>
      <c r="M698" s="72">
        <f ca="1">IF(INDIRECT(ADDRESS(ROW(),3))&lt;&gt;"",getIBANchecksum(INDIRECT(ADDRESS(ROW(),3))),98)</f>
        <v>98</v>
      </c>
    </row>
    <row r="699" spans="1:13">
      <c r="A699" s="96">
        <f t="shared" si="11"/>
        <v>680</v>
      </c>
      <c r="B699" s="9"/>
      <c r="C699" s="28"/>
      <c r="D699" s="23"/>
      <c r="E699" s="93"/>
      <c r="F699" s="24"/>
      <c r="G699" s="130"/>
      <c r="H699" s="46"/>
      <c r="I699" s="131"/>
      <c r="J699" s="126"/>
      <c r="K699" s="121"/>
      <c r="L699" s="78"/>
      <c r="M699" s="72">
        <f ca="1">IF(INDIRECT(ADDRESS(ROW(),3))&lt;&gt;"",getIBANchecksum(INDIRECT(ADDRESS(ROW(),3))),98)</f>
        <v>98</v>
      </c>
    </row>
    <row r="700" spans="1:13">
      <c r="A700" s="96">
        <f t="shared" si="11"/>
        <v>681</v>
      </c>
      <c r="B700" s="9"/>
      <c r="C700" s="28"/>
      <c r="D700" s="23"/>
      <c r="E700" s="93"/>
      <c r="F700" s="24"/>
      <c r="G700" s="130"/>
      <c r="H700" s="46"/>
      <c r="I700" s="131"/>
      <c r="J700" s="126"/>
      <c r="K700" s="121"/>
      <c r="L700" s="78"/>
      <c r="M700" s="72">
        <f ca="1">IF(INDIRECT(ADDRESS(ROW(),3))&lt;&gt;"",getIBANchecksum(INDIRECT(ADDRESS(ROW(),3))),98)</f>
        <v>98</v>
      </c>
    </row>
    <row r="701" spans="1:13">
      <c r="A701" s="96">
        <f t="shared" si="11"/>
        <v>682</v>
      </c>
      <c r="B701" s="9"/>
      <c r="C701" s="28"/>
      <c r="D701" s="23"/>
      <c r="E701" s="93"/>
      <c r="F701" s="24"/>
      <c r="G701" s="130"/>
      <c r="H701" s="46"/>
      <c r="I701" s="131"/>
      <c r="J701" s="126"/>
      <c r="K701" s="121"/>
      <c r="L701" s="78"/>
      <c r="M701" s="72">
        <f ca="1">IF(INDIRECT(ADDRESS(ROW(),3))&lt;&gt;"",getIBANchecksum(INDIRECT(ADDRESS(ROW(),3))),98)</f>
        <v>98</v>
      </c>
    </row>
    <row r="702" spans="1:13">
      <c r="A702" s="96">
        <f t="shared" si="11"/>
        <v>683</v>
      </c>
      <c r="B702" s="9"/>
      <c r="C702" s="28"/>
      <c r="D702" s="23"/>
      <c r="E702" s="93"/>
      <c r="F702" s="24"/>
      <c r="G702" s="130"/>
      <c r="H702" s="46"/>
      <c r="I702" s="131"/>
      <c r="J702" s="126"/>
      <c r="K702" s="121"/>
      <c r="L702" s="78"/>
      <c r="M702" s="72">
        <f ca="1">IF(INDIRECT(ADDRESS(ROW(),3))&lt;&gt;"",getIBANchecksum(INDIRECT(ADDRESS(ROW(),3))),98)</f>
        <v>98</v>
      </c>
    </row>
    <row r="703" spans="1:13">
      <c r="A703" s="96">
        <f t="shared" si="11"/>
        <v>684</v>
      </c>
      <c r="B703" s="9"/>
      <c r="C703" s="28"/>
      <c r="D703" s="23"/>
      <c r="E703" s="93"/>
      <c r="F703" s="24"/>
      <c r="G703" s="130"/>
      <c r="H703" s="46"/>
      <c r="I703" s="131"/>
      <c r="J703" s="126"/>
      <c r="K703" s="121"/>
      <c r="L703" s="78"/>
      <c r="M703" s="72">
        <f ca="1">IF(INDIRECT(ADDRESS(ROW(),3))&lt;&gt;"",getIBANchecksum(INDIRECT(ADDRESS(ROW(),3))),98)</f>
        <v>98</v>
      </c>
    </row>
    <row r="704" spans="1:13">
      <c r="A704" s="96">
        <f t="shared" si="11"/>
        <v>685</v>
      </c>
      <c r="B704" s="9"/>
      <c r="C704" s="28"/>
      <c r="D704" s="23"/>
      <c r="E704" s="93"/>
      <c r="F704" s="24"/>
      <c r="G704" s="130"/>
      <c r="H704" s="46"/>
      <c r="I704" s="131"/>
      <c r="J704" s="126"/>
      <c r="K704" s="121"/>
      <c r="L704" s="78"/>
      <c r="M704" s="72">
        <f ca="1">IF(INDIRECT(ADDRESS(ROW(),3))&lt;&gt;"",getIBANchecksum(INDIRECT(ADDRESS(ROW(),3))),98)</f>
        <v>98</v>
      </c>
    </row>
    <row r="705" spans="1:13">
      <c r="A705" s="96">
        <f t="shared" si="11"/>
        <v>686</v>
      </c>
      <c r="B705" s="9"/>
      <c r="C705" s="28"/>
      <c r="D705" s="23"/>
      <c r="E705" s="93"/>
      <c r="F705" s="24"/>
      <c r="G705" s="130"/>
      <c r="H705" s="46"/>
      <c r="I705" s="131"/>
      <c r="J705" s="126"/>
      <c r="K705" s="121"/>
      <c r="L705" s="78"/>
      <c r="M705" s="72">
        <f ca="1">IF(INDIRECT(ADDRESS(ROW(),3))&lt;&gt;"",getIBANchecksum(INDIRECT(ADDRESS(ROW(),3))),98)</f>
        <v>98</v>
      </c>
    </row>
    <row r="706" spans="1:13">
      <c r="A706" s="96">
        <f t="shared" si="11"/>
        <v>687</v>
      </c>
      <c r="B706" s="9"/>
      <c r="C706" s="28"/>
      <c r="D706" s="23"/>
      <c r="E706" s="93"/>
      <c r="F706" s="24"/>
      <c r="G706" s="130"/>
      <c r="H706" s="46"/>
      <c r="I706" s="131"/>
      <c r="J706" s="126"/>
      <c r="K706" s="121"/>
      <c r="L706" s="78"/>
      <c r="M706" s="72">
        <f ca="1">IF(INDIRECT(ADDRESS(ROW(),3))&lt;&gt;"",getIBANchecksum(INDIRECT(ADDRESS(ROW(),3))),98)</f>
        <v>98</v>
      </c>
    </row>
    <row r="707" spans="1:13">
      <c r="A707" s="96">
        <f t="shared" si="11"/>
        <v>688</v>
      </c>
      <c r="B707" s="9"/>
      <c r="C707" s="28"/>
      <c r="D707" s="23"/>
      <c r="E707" s="93"/>
      <c r="F707" s="24"/>
      <c r="G707" s="130"/>
      <c r="H707" s="46"/>
      <c r="I707" s="131"/>
      <c r="J707" s="126"/>
      <c r="K707" s="121"/>
      <c r="L707" s="78"/>
      <c r="M707" s="72">
        <f ca="1">IF(INDIRECT(ADDRESS(ROW(),3))&lt;&gt;"",getIBANchecksum(INDIRECT(ADDRESS(ROW(),3))),98)</f>
        <v>98</v>
      </c>
    </row>
    <row r="708" spans="1:13">
      <c r="A708" s="96">
        <f t="shared" si="11"/>
        <v>689</v>
      </c>
      <c r="B708" s="9"/>
      <c r="C708" s="28"/>
      <c r="D708" s="23"/>
      <c r="E708" s="93"/>
      <c r="F708" s="24"/>
      <c r="G708" s="130"/>
      <c r="H708" s="46"/>
      <c r="I708" s="131"/>
      <c r="J708" s="126"/>
      <c r="K708" s="121"/>
      <c r="L708" s="78"/>
      <c r="M708" s="72">
        <f ca="1">IF(INDIRECT(ADDRESS(ROW(),3))&lt;&gt;"",getIBANchecksum(INDIRECT(ADDRESS(ROW(),3))),98)</f>
        <v>98</v>
      </c>
    </row>
    <row r="709" spans="1:13">
      <c r="A709" s="96">
        <f t="shared" si="11"/>
        <v>690</v>
      </c>
      <c r="B709" s="9"/>
      <c r="C709" s="28"/>
      <c r="D709" s="23"/>
      <c r="E709" s="93"/>
      <c r="F709" s="24"/>
      <c r="G709" s="130"/>
      <c r="H709" s="46"/>
      <c r="I709" s="131"/>
      <c r="J709" s="126"/>
      <c r="K709" s="121"/>
      <c r="L709" s="78"/>
      <c r="M709" s="72">
        <f ca="1">IF(INDIRECT(ADDRESS(ROW(),3))&lt;&gt;"",getIBANchecksum(INDIRECT(ADDRESS(ROW(),3))),98)</f>
        <v>98</v>
      </c>
    </row>
    <row r="710" spans="1:13">
      <c r="A710" s="96">
        <f t="shared" si="11"/>
        <v>691</v>
      </c>
      <c r="B710" s="9"/>
      <c r="C710" s="28"/>
      <c r="D710" s="23"/>
      <c r="E710" s="93"/>
      <c r="F710" s="24"/>
      <c r="G710" s="130"/>
      <c r="H710" s="46"/>
      <c r="I710" s="131"/>
      <c r="J710" s="126"/>
      <c r="K710" s="121"/>
      <c r="L710" s="78"/>
      <c r="M710" s="72">
        <f ca="1">IF(INDIRECT(ADDRESS(ROW(),3))&lt;&gt;"",getIBANchecksum(INDIRECT(ADDRESS(ROW(),3))),98)</f>
        <v>98</v>
      </c>
    </row>
    <row r="711" spans="1:13">
      <c r="A711" s="96">
        <f t="shared" si="11"/>
        <v>692</v>
      </c>
      <c r="B711" s="9"/>
      <c r="C711" s="28"/>
      <c r="D711" s="23"/>
      <c r="E711" s="93"/>
      <c r="F711" s="24"/>
      <c r="G711" s="130"/>
      <c r="H711" s="46"/>
      <c r="I711" s="131"/>
      <c r="J711" s="126"/>
      <c r="K711" s="121"/>
      <c r="L711" s="78"/>
      <c r="M711" s="72">
        <f ca="1">IF(INDIRECT(ADDRESS(ROW(),3))&lt;&gt;"",getIBANchecksum(INDIRECT(ADDRESS(ROW(),3))),98)</f>
        <v>98</v>
      </c>
    </row>
    <row r="712" spans="1:13">
      <c r="A712" s="96">
        <f t="shared" si="11"/>
        <v>693</v>
      </c>
      <c r="B712" s="9"/>
      <c r="C712" s="28"/>
      <c r="D712" s="23"/>
      <c r="E712" s="93"/>
      <c r="F712" s="24"/>
      <c r="G712" s="130"/>
      <c r="H712" s="46"/>
      <c r="I712" s="131"/>
      <c r="J712" s="126"/>
      <c r="K712" s="121"/>
      <c r="L712" s="78"/>
      <c r="M712" s="72">
        <f ca="1">IF(INDIRECT(ADDRESS(ROW(),3))&lt;&gt;"",getIBANchecksum(INDIRECT(ADDRESS(ROW(),3))),98)</f>
        <v>98</v>
      </c>
    </row>
    <row r="713" spans="1:13">
      <c r="A713" s="96">
        <f t="shared" si="11"/>
        <v>694</v>
      </c>
      <c r="B713" s="9"/>
      <c r="C713" s="28"/>
      <c r="D713" s="23"/>
      <c r="E713" s="93"/>
      <c r="F713" s="24"/>
      <c r="G713" s="130"/>
      <c r="H713" s="46"/>
      <c r="I713" s="131"/>
      <c r="J713" s="126"/>
      <c r="K713" s="121"/>
      <c r="L713" s="78"/>
      <c r="M713" s="72">
        <f ca="1">IF(INDIRECT(ADDRESS(ROW(),3))&lt;&gt;"",getIBANchecksum(INDIRECT(ADDRESS(ROW(),3))),98)</f>
        <v>98</v>
      </c>
    </row>
    <row r="714" spans="1:13">
      <c r="A714" s="96">
        <f t="shared" si="11"/>
        <v>695</v>
      </c>
      <c r="B714" s="9"/>
      <c r="C714" s="28"/>
      <c r="D714" s="23"/>
      <c r="E714" s="93"/>
      <c r="F714" s="24"/>
      <c r="G714" s="130"/>
      <c r="H714" s="46"/>
      <c r="I714" s="131"/>
      <c r="J714" s="126"/>
      <c r="K714" s="121"/>
      <c r="L714" s="78"/>
      <c r="M714" s="72">
        <f ca="1">IF(INDIRECT(ADDRESS(ROW(),3))&lt;&gt;"",getIBANchecksum(INDIRECT(ADDRESS(ROW(),3))),98)</f>
        <v>98</v>
      </c>
    </row>
    <row r="715" spans="1:13">
      <c r="A715" s="96">
        <f t="shared" si="11"/>
        <v>696</v>
      </c>
      <c r="B715" s="9"/>
      <c r="C715" s="28"/>
      <c r="D715" s="23"/>
      <c r="E715" s="93"/>
      <c r="F715" s="24"/>
      <c r="G715" s="130"/>
      <c r="H715" s="46"/>
      <c r="I715" s="131"/>
      <c r="J715" s="126"/>
      <c r="K715" s="121"/>
      <c r="L715" s="78"/>
      <c r="M715" s="72">
        <f ca="1">IF(INDIRECT(ADDRESS(ROW(),3))&lt;&gt;"",getIBANchecksum(INDIRECT(ADDRESS(ROW(),3))),98)</f>
        <v>98</v>
      </c>
    </row>
    <row r="716" spans="1:13">
      <c r="A716" s="96">
        <f t="shared" si="11"/>
        <v>697</v>
      </c>
      <c r="B716" s="9"/>
      <c r="C716" s="28"/>
      <c r="D716" s="23"/>
      <c r="E716" s="93"/>
      <c r="F716" s="24"/>
      <c r="G716" s="130"/>
      <c r="H716" s="46"/>
      <c r="I716" s="131"/>
      <c r="J716" s="126"/>
      <c r="K716" s="121"/>
      <c r="L716" s="78"/>
      <c r="M716" s="72">
        <f ca="1">IF(INDIRECT(ADDRESS(ROW(),3))&lt;&gt;"",getIBANchecksum(INDIRECT(ADDRESS(ROW(),3))),98)</f>
        <v>98</v>
      </c>
    </row>
    <row r="717" spans="1:13">
      <c r="A717" s="96">
        <f t="shared" si="11"/>
        <v>698</v>
      </c>
      <c r="B717" s="9"/>
      <c r="C717" s="28"/>
      <c r="D717" s="23"/>
      <c r="E717" s="93"/>
      <c r="F717" s="24"/>
      <c r="G717" s="130"/>
      <c r="H717" s="46"/>
      <c r="I717" s="131"/>
      <c r="J717" s="126"/>
      <c r="K717" s="121"/>
      <c r="L717" s="78"/>
      <c r="M717" s="72">
        <f ca="1">IF(INDIRECT(ADDRESS(ROW(),3))&lt;&gt;"",getIBANchecksum(INDIRECT(ADDRESS(ROW(),3))),98)</f>
        <v>98</v>
      </c>
    </row>
    <row r="718" spans="1:13">
      <c r="A718" s="96">
        <f t="shared" si="11"/>
        <v>699</v>
      </c>
      <c r="B718" s="9"/>
      <c r="C718" s="28"/>
      <c r="D718" s="23"/>
      <c r="E718" s="93"/>
      <c r="F718" s="24"/>
      <c r="G718" s="130"/>
      <c r="H718" s="46"/>
      <c r="I718" s="131"/>
      <c r="J718" s="126"/>
      <c r="K718" s="121"/>
      <c r="L718" s="78"/>
      <c r="M718" s="72">
        <f ca="1">IF(INDIRECT(ADDRESS(ROW(),3))&lt;&gt;"",getIBANchecksum(INDIRECT(ADDRESS(ROW(),3))),98)</f>
        <v>98</v>
      </c>
    </row>
    <row r="719" spans="1:13">
      <c r="A719" s="96">
        <f t="shared" si="11"/>
        <v>700</v>
      </c>
      <c r="B719" s="9"/>
      <c r="C719" s="28"/>
      <c r="D719" s="23"/>
      <c r="E719" s="93"/>
      <c r="F719" s="24"/>
      <c r="G719" s="130"/>
      <c r="H719" s="46"/>
      <c r="I719" s="131"/>
      <c r="J719" s="126"/>
      <c r="K719" s="121"/>
      <c r="L719" s="78"/>
      <c r="M719" s="72">
        <f ca="1">IF(INDIRECT(ADDRESS(ROW(),3))&lt;&gt;"",getIBANchecksum(INDIRECT(ADDRESS(ROW(),3))),98)</f>
        <v>98</v>
      </c>
    </row>
    <row r="720" spans="1:13">
      <c r="A720" s="96">
        <f t="shared" si="11"/>
        <v>701</v>
      </c>
      <c r="B720" s="9"/>
      <c r="C720" s="28"/>
      <c r="D720" s="23"/>
      <c r="E720" s="93"/>
      <c r="F720" s="24"/>
      <c r="G720" s="130"/>
      <c r="H720" s="46"/>
      <c r="I720" s="131"/>
      <c r="J720" s="126"/>
      <c r="K720" s="121"/>
      <c r="L720" s="78"/>
      <c r="M720" s="72">
        <f ca="1">IF(INDIRECT(ADDRESS(ROW(),3))&lt;&gt;"",getIBANchecksum(INDIRECT(ADDRESS(ROW(),3))),98)</f>
        <v>98</v>
      </c>
    </row>
    <row r="721" spans="1:13">
      <c r="A721" s="96">
        <f t="shared" si="11"/>
        <v>702</v>
      </c>
      <c r="B721" s="9"/>
      <c r="C721" s="28"/>
      <c r="D721" s="23"/>
      <c r="E721" s="93"/>
      <c r="F721" s="24"/>
      <c r="G721" s="130"/>
      <c r="H721" s="46"/>
      <c r="I721" s="131"/>
      <c r="J721" s="126"/>
      <c r="K721" s="121"/>
      <c r="L721" s="78"/>
      <c r="M721" s="72">
        <f ca="1">IF(INDIRECT(ADDRESS(ROW(),3))&lt;&gt;"",getIBANchecksum(INDIRECT(ADDRESS(ROW(),3))),98)</f>
        <v>98</v>
      </c>
    </row>
    <row r="722" spans="1:13">
      <c r="A722" s="96">
        <f t="shared" si="11"/>
        <v>703</v>
      </c>
      <c r="B722" s="9"/>
      <c r="C722" s="28"/>
      <c r="D722" s="23"/>
      <c r="E722" s="93"/>
      <c r="F722" s="24"/>
      <c r="G722" s="130"/>
      <c r="H722" s="46"/>
      <c r="I722" s="131"/>
      <c r="J722" s="126"/>
      <c r="K722" s="121"/>
      <c r="L722" s="78"/>
      <c r="M722" s="72">
        <f ca="1">IF(INDIRECT(ADDRESS(ROW(),3))&lt;&gt;"",getIBANchecksum(INDIRECT(ADDRESS(ROW(),3))),98)</f>
        <v>98</v>
      </c>
    </row>
    <row r="723" spans="1:13">
      <c r="A723" s="96">
        <f t="shared" si="11"/>
        <v>704</v>
      </c>
      <c r="B723" s="9"/>
      <c r="C723" s="28"/>
      <c r="D723" s="23"/>
      <c r="E723" s="93"/>
      <c r="F723" s="24"/>
      <c r="G723" s="130"/>
      <c r="H723" s="46"/>
      <c r="I723" s="131"/>
      <c r="J723" s="126"/>
      <c r="K723" s="121"/>
      <c r="L723" s="78"/>
      <c r="M723" s="72">
        <f ca="1">IF(INDIRECT(ADDRESS(ROW(),3))&lt;&gt;"",getIBANchecksum(INDIRECT(ADDRESS(ROW(),3))),98)</f>
        <v>98</v>
      </c>
    </row>
    <row r="724" spans="1:13">
      <c r="A724" s="96">
        <f t="shared" si="11"/>
        <v>705</v>
      </c>
      <c r="B724" s="9"/>
      <c r="C724" s="28"/>
      <c r="D724" s="23"/>
      <c r="E724" s="93"/>
      <c r="F724" s="24"/>
      <c r="G724" s="130"/>
      <c r="H724" s="46"/>
      <c r="I724" s="131"/>
      <c r="J724" s="126"/>
      <c r="K724" s="121"/>
      <c r="L724" s="78"/>
      <c r="M724" s="72">
        <f ca="1">IF(INDIRECT(ADDRESS(ROW(),3))&lt;&gt;"",getIBANchecksum(INDIRECT(ADDRESS(ROW(),3))),98)</f>
        <v>98</v>
      </c>
    </row>
    <row r="725" spans="1:13">
      <c r="A725" s="96">
        <f t="shared" si="11"/>
        <v>706</v>
      </c>
      <c r="B725" s="9"/>
      <c r="C725" s="28"/>
      <c r="D725" s="23"/>
      <c r="E725" s="93"/>
      <c r="F725" s="24"/>
      <c r="G725" s="130"/>
      <c r="H725" s="46"/>
      <c r="I725" s="131"/>
      <c r="J725" s="126"/>
      <c r="K725" s="121"/>
      <c r="L725" s="78"/>
      <c r="M725" s="72">
        <f ca="1">IF(INDIRECT(ADDRESS(ROW(),3))&lt;&gt;"",getIBANchecksum(INDIRECT(ADDRESS(ROW(),3))),98)</f>
        <v>98</v>
      </c>
    </row>
    <row r="726" spans="1:13">
      <c r="A726" s="96">
        <f t="shared" ref="A726:A789" si="12">A725+1</f>
        <v>707</v>
      </c>
      <c r="B726" s="9"/>
      <c r="C726" s="28"/>
      <c r="D726" s="23"/>
      <c r="E726" s="93"/>
      <c r="F726" s="24"/>
      <c r="G726" s="130"/>
      <c r="H726" s="46"/>
      <c r="I726" s="131"/>
      <c r="J726" s="126"/>
      <c r="K726" s="121"/>
      <c r="L726" s="78"/>
      <c r="M726" s="72">
        <f ca="1">IF(INDIRECT(ADDRESS(ROW(),3))&lt;&gt;"",getIBANchecksum(INDIRECT(ADDRESS(ROW(),3))),98)</f>
        <v>98</v>
      </c>
    </row>
    <row r="727" spans="1:13">
      <c r="A727" s="96">
        <f t="shared" si="12"/>
        <v>708</v>
      </c>
      <c r="B727" s="9"/>
      <c r="C727" s="28"/>
      <c r="D727" s="23"/>
      <c r="E727" s="93"/>
      <c r="F727" s="24"/>
      <c r="G727" s="130"/>
      <c r="H727" s="46"/>
      <c r="I727" s="131"/>
      <c r="J727" s="126"/>
      <c r="K727" s="121"/>
      <c r="L727" s="78"/>
      <c r="M727" s="72">
        <f ca="1">IF(INDIRECT(ADDRESS(ROW(),3))&lt;&gt;"",getIBANchecksum(INDIRECT(ADDRESS(ROW(),3))),98)</f>
        <v>98</v>
      </c>
    </row>
    <row r="728" spans="1:13">
      <c r="A728" s="96">
        <f t="shared" si="12"/>
        <v>709</v>
      </c>
      <c r="B728" s="9"/>
      <c r="C728" s="28"/>
      <c r="D728" s="23"/>
      <c r="E728" s="93"/>
      <c r="F728" s="24"/>
      <c r="G728" s="130"/>
      <c r="H728" s="46"/>
      <c r="I728" s="131"/>
      <c r="J728" s="126"/>
      <c r="K728" s="121"/>
      <c r="L728" s="78"/>
      <c r="M728" s="72">
        <f ca="1">IF(INDIRECT(ADDRESS(ROW(),3))&lt;&gt;"",getIBANchecksum(INDIRECT(ADDRESS(ROW(),3))),98)</f>
        <v>98</v>
      </c>
    </row>
    <row r="729" spans="1:13">
      <c r="A729" s="96">
        <f t="shared" si="12"/>
        <v>710</v>
      </c>
      <c r="B729" s="9"/>
      <c r="C729" s="28"/>
      <c r="D729" s="23"/>
      <c r="E729" s="93"/>
      <c r="F729" s="24"/>
      <c r="G729" s="130"/>
      <c r="H729" s="46"/>
      <c r="I729" s="131"/>
      <c r="J729" s="126"/>
      <c r="K729" s="121"/>
      <c r="L729" s="78"/>
      <c r="M729" s="72">
        <f ca="1">IF(INDIRECT(ADDRESS(ROW(),3))&lt;&gt;"",getIBANchecksum(INDIRECT(ADDRESS(ROW(),3))),98)</f>
        <v>98</v>
      </c>
    </row>
    <row r="730" spans="1:13">
      <c r="A730" s="96">
        <f t="shared" si="12"/>
        <v>711</v>
      </c>
      <c r="B730" s="9"/>
      <c r="C730" s="28"/>
      <c r="D730" s="23"/>
      <c r="E730" s="93"/>
      <c r="F730" s="24"/>
      <c r="G730" s="130"/>
      <c r="H730" s="46"/>
      <c r="I730" s="131"/>
      <c r="J730" s="126"/>
      <c r="K730" s="121"/>
      <c r="L730" s="78"/>
      <c r="M730" s="72">
        <f ca="1">IF(INDIRECT(ADDRESS(ROW(),3))&lt;&gt;"",getIBANchecksum(INDIRECT(ADDRESS(ROW(),3))),98)</f>
        <v>98</v>
      </c>
    </row>
    <row r="731" spans="1:13">
      <c r="A731" s="96">
        <f t="shared" si="12"/>
        <v>712</v>
      </c>
      <c r="B731" s="9"/>
      <c r="C731" s="28"/>
      <c r="D731" s="23"/>
      <c r="E731" s="93"/>
      <c r="F731" s="24"/>
      <c r="G731" s="130"/>
      <c r="H731" s="46"/>
      <c r="I731" s="131"/>
      <c r="J731" s="126"/>
      <c r="K731" s="121"/>
      <c r="L731" s="78"/>
      <c r="M731" s="72">
        <f ca="1">IF(INDIRECT(ADDRESS(ROW(),3))&lt;&gt;"",getIBANchecksum(INDIRECT(ADDRESS(ROW(),3))),98)</f>
        <v>98</v>
      </c>
    </row>
    <row r="732" spans="1:13">
      <c r="A732" s="96">
        <f t="shared" si="12"/>
        <v>713</v>
      </c>
      <c r="B732" s="9"/>
      <c r="C732" s="28"/>
      <c r="D732" s="23"/>
      <c r="E732" s="93"/>
      <c r="F732" s="24"/>
      <c r="G732" s="130"/>
      <c r="H732" s="46"/>
      <c r="I732" s="131"/>
      <c r="J732" s="126"/>
      <c r="K732" s="121"/>
      <c r="L732" s="78"/>
      <c r="M732" s="72">
        <f ca="1">IF(INDIRECT(ADDRESS(ROW(),3))&lt;&gt;"",getIBANchecksum(INDIRECT(ADDRESS(ROW(),3))),98)</f>
        <v>98</v>
      </c>
    </row>
    <row r="733" spans="1:13">
      <c r="A733" s="96">
        <f t="shared" si="12"/>
        <v>714</v>
      </c>
      <c r="B733" s="9"/>
      <c r="C733" s="28"/>
      <c r="D733" s="23"/>
      <c r="E733" s="93"/>
      <c r="F733" s="24"/>
      <c r="G733" s="130"/>
      <c r="H733" s="46"/>
      <c r="I733" s="131"/>
      <c r="J733" s="126"/>
      <c r="K733" s="121"/>
      <c r="L733" s="78"/>
      <c r="M733" s="72">
        <f ca="1">IF(INDIRECT(ADDRESS(ROW(),3))&lt;&gt;"",getIBANchecksum(INDIRECT(ADDRESS(ROW(),3))),98)</f>
        <v>98</v>
      </c>
    </row>
    <row r="734" spans="1:13">
      <c r="A734" s="96">
        <f t="shared" si="12"/>
        <v>715</v>
      </c>
      <c r="B734" s="9"/>
      <c r="C734" s="28"/>
      <c r="D734" s="23"/>
      <c r="E734" s="93"/>
      <c r="F734" s="24"/>
      <c r="G734" s="130"/>
      <c r="H734" s="46"/>
      <c r="I734" s="131"/>
      <c r="J734" s="126"/>
      <c r="K734" s="121"/>
      <c r="L734" s="78"/>
      <c r="M734" s="72">
        <f ca="1">IF(INDIRECT(ADDRESS(ROW(),3))&lt;&gt;"",getIBANchecksum(INDIRECT(ADDRESS(ROW(),3))),98)</f>
        <v>98</v>
      </c>
    </row>
    <row r="735" spans="1:13">
      <c r="A735" s="96">
        <f t="shared" si="12"/>
        <v>716</v>
      </c>
      <c r="B735" s="9"/>
      <c r="C735" s="28"/>
      <c r="D735" s="23"/>
      <c r="E735" s="93"/>
      <c r="F735" s="24"/>
      <c r="G735" s="130"/>
      <c r="H735" s="46"/>
      <c r="I735" s="131"/>
      <c r="J735" s="126"/>
      <c r="K735" s="121"/>
      <c r="L735" s="78"/>
      <c r="M735" s="72">
        <f ca="1">IF(INDIRECT(ADDRESS(ROW(),3))&lt;&gt;"",getIBANchecksum(INDIRECT(ADDRESS(ROW(),3))),98)</f>
        <v>98</v>
      </c>
    </row>
    <row r="736" spans="1:13">
      <c r="A736" s="96">
        <f t="shared" si="12"/>
        <v>717</v>
      </c>
      <c r="B736" s="9"/>
      <c r="C736" s="28"/>
      <c r="D736" s="23"/>
      <c r="E736" s="93"/>
      <c r="F736" s="24"/>
      <c r="G736" s="130"/>
      <c r="H736" s="46"/>
      <c r="I736" s="131"/>
      <c r="J736" s="126"/>
      <c r="K736" s="121"/>
      <c r="L736" s="78"/>
      <c r="M736" s="72">
        <f ca="1">IF(INDIRECT(ADDRESS(ROW(),3))&lt;&gt;"",getIBANchecksum(INDIRECT(ADDRESS(ROW(),3))),98)</f>
        <v>98</v>
      </c>
    </row>
    <row r="737" spans="1:13">
      <c r="A737" s="96">
        <f t="shared" si="12"/>
        <v>718</v>
      </c>
      <c r="B737" s="9"/>
      <c r="C737" s="28"/>
      <c r="D737" s="23"/>
      <c r="E737" s="93"/>
      <c r="F737" s="24"/>
      <c r="G737" s="130"/>
      <c r="H737" s="46"/>
      <c r="I737" s="131"/>
      <c r="J737" s="126"/>
      <c r="K737" s="121"/>
      <c r="L737" s="78"/>
      <c r="M737" s="72">
        <f ca="1">IF(INDIRECT(ADDRESS(ROW(),3))&lt;&gt;"",getIBANchecksum(INDIRECT(ADDRESS(ROW(),3))),98)</f>
        <v>98</v>
      </c>
    </row>
    <row r="738" spans="1:13">
      <c r="A738" s="96">
        <f t="shared" si="12"/>
        <v>719</v>
      </c>
      <c r="B738" s="9"/>
      <c r="C738" s="28"/>
      <c r="D738" s="23"/>
      <c r="E738" s="93"/>
      <c r="F738" s="24"/>
      <c r="G738" s="130"/>
      <c r="H738" s="46"/>
      <c r="I738" s="131"/>
      <c r="J738" s="126"/>
      <c r="K738" s="121"/>
      <c r="L738" s="78"/>
      <c r="M738" s="72">
        <f ca="1">IF(INDIRECT(ADDRESS(ROW(),3))&lt;&gt;"",getIBANchecksum(INDIRECT(ADDRESS(ROW(),3))),98)</f>
        <v>98</v>
      </c>
    </row>
    <row r="739" spans="1:13">
      <c r="A739" s="96">
        <f t="shared" si="12"/>
        <v>720</v>
      </c>
      <c r="B739" s="9"/>
      <c r="C739" s="28"/>
      <c r="D739" s="23"/>
      <c r="E739" s="93"/>
      <c r="F739" s="24"/>
      <c r="G739" s="130"/>
      <c r="H739" s="46"/>
      <c r="I739" s="131"/>
      <c r="J739" s="126"/>
      <c r="K739" s="121"/>
      <c r="L739" s="78"/>
      <c r="M739" s="72">
        <f ca="1">IF(INDIRECT(ADDRESS(ROW(),3))&lt;&gt;"",getIBANchecksum(INDIRECT(ADDRESS(ROW(),3))),98)</f>
        <v>98</v>
      </c>
    </row>
    <row r="740" spans="1:13">
      <c r="A740" s="96">
        <f t="shared" si="12"/>
        <v>721</v>
      </c>
      <c r="B740" s="9"/>
      <c r="C740" s="28"/>
      <c r="D740" s="23"/>
      <c r="E740" s="93"/>
      <c r="F740" s="24"/>
      <c r="G740" s="130"/>
      <c r="H740" s="46"/>
      <c r="I740" s="131"/>
      <c r="J740" s="126"/>
      <c r="K740" s="121"/>
      <c r="L740" s="78"/>
      <c r="M740" s="72">
        <f ca="1">IF(INDIRECT(ADDRESS(ROW(),3))&lt;&gt;"",getIBANchecksum(INDIRECT(ADDRESS(ROW(),3))),98)</f>
        <v>98</v>
      </c>
    </row>
    <row r="741" spans="1:13">
      <c r="A741" s="96">
        <f t="shared" si="12"/>
        <v>722</v>
      </c>
      <c r="B741" s="9"/>
      <c r="C741" s="28"/>
      <c r="D741" s="23"/>
      <c r="E741" s="93"/>
      <c r="F741" s="24"/>
      <c r="G741" s="130"/>
      <c r="H741" s="46"/>
      <c r="I741" s="131"/>
      <c r="J741" s="126"/>
      <c r="K741" s="121"/>
      <c r="L741" s="78"/>
      <c r="M741" s="72">
        <f ca="1">IF(INDIRECT(ADDRESS(ROW(),3))&lt;&gt;"",getIBANchecksum(INDIRECT(ADDRESS(ROW(),3))),98)</f>
        <v>98</v>
      </c>
    </row>
    <row r="742" spans="1:13">
      <c r="A742" s="96">
        <f t="shared" si="12"/>
        <v>723</v>
      </c>
      <c r="B742" s="9"/>
      <c r="C742" s="28"/>
      <c r="D742" s="23"/>
      <c r="E742" s="93"/>
      <c r="F742" s="24"/>
      <c r="G742" s="130"/>
      <c r="H742" s="46"/>
      <c r="I742" s="131"/>
      <c r="J742" s="126"/>
      <c r="K742" s="121"/>
      <c r="L742" s="78"/>
      <c r="M742" s="72">
        <f ca="1">IF(INDIRECT(ADDRESS(ROW(),3))&lt;&gt;"",getIBANchecksum(INDIRECT(ADDRESS(ROW(),3))),98)</f>
        <v>98</v>
      </c>
    </row>
    <row r="743" spans="1:13">
      <c r="A743" s="96">
        <f t="shared" si="12"/>
        <v>724</v>
      </c>
      <c r="B743" s="9"/>
      <c r="C743" s="28"/>
      <c r="D743" s="23"/>
      <c r="E743" s="93"/>
      <c r="F743" s="24"/>
      <c r="G743" s="130"/>
      <c r="H743" s="46"/>
      <c r="I743" s="131"/>
      <c r="J743" s="126"/>
      <c r="K743" s="121"/>
      <c r="L743" s="78"/>
      <c r="M743" s="72">
        <f ca="1">IF(INDIRECT(ADDRESS(ROW(),3))&lt;&gt;"",getIBANchecksum(INDIRECT(ADDRESS(ROW(),3))),98)</f>
        <v>98</v>
      </c>
    </row>
    <row r="744" spans="1:13">
      <c r="A744" s="96">
        <f t="shared" si="12"/>
        <v>725</v>
      </c>
      <c r="B744" s="9"/>
      <c r="C744" s="28"/>
      <c r="D744" s="23"/>
      <c r="E744" s="93"/>
      <c r="F744" s="24"/>
      <c r="G744" s="130"/>
      <c r="H744" s="46"/>
      <c r="I744" s="131"/>
      <c r="J744" s="126"/>
      <c r="K744" s="121"/>
      <c r="L744" s="78"/>
      <c r="M744" s="72">
        <f ca="1">IF(INDIRECT(ADDRESS(ROW(),3))&lt;&gt;"",getIBANchecksum(INDIRECT(ADDRESS(ROW(),3))),98)</f>
        <v>98</v>
      </c>
    </row>
    <row r="745" spans="1:13">
      <c r="A745" s="96">
        <f t="shared" si="12"/>
        <v>726</v>
      </c>
      <c r="B745" s="9"/>
      <c r="C745" s="28"/>
      <c r="D745" s="23"/>
      <c r="E745" s="93"/>
      <c r="F745" s="24"/>
      <c r="G745" s="130"/>
      <c r="H745" s="46"/>
      <c r="I745" s="131"/>
      <c r="J745" s="126"/>
      <c r="K745" s="121"/>
      <c r="L745" s="78"/>
      <c r="M745" s="72">
        <f ca="1">IF(INDIRECT(ADDRESS(ROW(),3))&lt;&gt;"",getIBANchecksum(INDIRECT(ADDRESS(ROW(),3))),98)</f>
        <v>98</v>
      </c>
    </row>
    <row r="746" spans="1:13">
      <c r="A746" s="96">
        <f t="shared" si="12"/>
        <v>727</v>
      </c>
      <c r="B746" s="9"/>
      <c r="C746" s="28"/>
      <c r="D746" s="23"/>
      <c r="E746" s="93"/>
      <c r="F746" s="24"/>
      <c r="G746" s="130"/>
      <c r="H746" s="46"/>
      <c r="I746" s="131"/>
      <c r="J746" s="126"/>
      <c r="K746" s="121"/>
      <c r="L746" s="78"/>
      <c r="M746" s="72">
        <f ca="1">IF(INDIRECT(ADDRESS(ROW(),3))&lt;&gt;"",getIBANchecksum(INDIRECT(ADDRESS(ROW(),3))),98)</f>
        <v>98</v>
      </c>
    </row>
    <row r="747" spans="1:13">
      <c r="A747" s="96">
        <f t="shared" si="12"/>
        <v>728</v>
      </c>
      <c r="B747" s="9"/>
      <c r="C747" s="28"/>
      <c r="D747" s="23"/>
      <c r="E747" s="93"/>
      <c r="F747" s="24"/>
      <c r="G747" s="130"/>
      <c r="H747" s="46"/>
      <c r="I747" s="131"/>
      <c r="J747" s="126"/>
      <c r="K747" s="121"/>
      <c r="L747" s="78"/>
      <c r="M747" s="72">
        <f ca="1">IF(INDIRECT(ADDRESS(ROW(),3))&lt;&gt;"",getIBANchecksum(INDIRECT(ADDRESS(ROW(),3))),98)</f>
        <v>98</v>
      </c>
    </row>
    <row r="748" spans="1:13">
      <c r="A748" s="96">
        <f t="shared" si="12"/>
        <v>729</v>
      </c>
      <c r="B748" s="9"/>
      <c r="C748" s="28"/>
      <c r="D748" s="23"/>
      <c r="E748" s="93"/>
      <c r="F748" s="24"/>
      <c r="G748" s="130"/>
      <c r="H748" s="46"/>
      <c r="I748" s="131"/>
      <c r="J748" s="126"/>
      <c r="K748" s="121"/>
      <c r="L748" s="78"/>
      <c r="M748" s="72">
        <f ca="1">IF(INDIRECT(ADDRESS(ROW(),3))&lt;&gt;"",getIBANchecksum(INDIRECT(ADDRESS(ROW(),3))),98)</f>
        <v>98</v>
      </c>
    </row>
    <row r="749" spans="1:13">
      <c r="A749" s="96">
        <f t="shared" si="12"/>
        <v>730</v>
      </c>
      <c r="B749" s="9"/>
      <c r="C749" s="28"/>
      <c r="D749" s="23"/>
      <c r="E749" s="93"/>
      <c r="F749" s="24"/>
      <c r="G749" s="130"/>
      <c r="H749" s="46"/>
      <c r="I749" s="131"/>
      <c r="J749" s="126"/>
      <c r="K749" s="121"/>
      <c r="L749" s="78"/>
      <c r="M749" s="72">
        <f ca="1">IF(INDIRECT(ADDRESS(ROW(),3))&lt;&gt;"",getIBANchecksum(INDIRECT(ADDRESS(ROW(),3))),98)</f>
        <v>98</v>
      </c>
    </row>
    <row r="750" spans="1:13">
      <c r="A750" s="96">
        <f t="shared" si="12"/>
        <v>731</v>
      </c>
      <c r="B750" s="9"/>
      <c r="C750" s="28"/>
      <c r="D750" s="23"/>
      <c r="E750" s="93"/>
      <c r="F750" s="24"/>
      <c r="G750" s="130"/>
      <c r="H750" s="46"/>
      <c r="I750" s="131"/>
      <c r="J750" s="126"/>
      <c r="K750" s="121"/>
      <c r="L750" s="78"/>
      <c r="M750" s="72">
        <f ca="1">IF(INDIRECT(ADDRESS(ROW(),3))&lt;&gt;"",getIBANchecksum(INDIRECT(ADDRESS(ROW(),3))),98)</f>
        <v>98</v>
      </c>
    </row>
    <row r="751" spans="1:13">
      <c r="A751" s="96">
        <f t="shared" si="12"/>
        <v>732</v>
      </c>
      <c r="B751" s="9"/>
      <c r="C751" s="28"/>
      <c r="D751" s="23"/>
      <c r="E751" s="93"/>
      <c r="F751" s="24"/>
      <c r="G751" s="130"/>
      <c r="H751" s="46"/>
      <c r="I751" s="131"/>
      <c r="J751" s="126"/>
      <c r="K751" s="121"/>
      <c r="L751" s="78"/>
      <c r="M751" s="72">
        <f ca="1">IF(INDIRECT(ADDRESS(ROW(),3))&lt;&gt;"",getIBANchecksum(INDIRECT(ADDRESS(ROW(),3))),98)</f>
        <v>98</v>
      </c>
    </row>
    <row r="752" spans="1:13">
      <c r="A752" s="96">
        <f t="shared" si="12"/>
        <v>733</v>
      </c>
      <c r="B752" s="9"/>
      <c r="C752" s="28"/>
      <c r="D752" s="23"/>
      <c r="E752" s="93"/>
      <c r="F752" s="24"/>
      <c r="G752" s="130"/>
      <c r="H752" s="46"/>
      <c r="I752" s="131"/>
      <c r="J752" s="126"/>
      <c r="K752" s="121"/>
      <c r="L752" s="78"/>
      <c r="M752" s="72">
        <f ca="1">IF(INDIRECT(ADDRESS(ROW(),3))&lt;&gt;"",getIBANchecksum(INDIRECT(ADDRESS(ROW(),3))),98)</f>
        <v>98</v>
      </c>
    </row>
    <row r="753" spans="1:13">
      <c r="A753" s="96">
        <f t="shared" si="12"/>
        <v>734</v>
      </c>
      <c r="B753" s="9"/>
      <c r="C753" s="28"/>
      <c r="D753" s="23"/>
      <c r="E753" s="93"/>
      <c r="F753" s="24"/>
      <c r="G753" s="130"/>
      <c r="H753" s="46"/>
      <c r="I753" s="131"/>
      <c r="J753" s="126"/>
      <c r="K753" s="121"/>
      <c r="L753" s="78"/>
      <c r="M753" s="72">
        <f ca="1">IF(INDIRECT(ADDRESS(ROW(),3))&lt;&gt;"",getIBANchecksum(INDIRECT(ADDRESS(ROW(),3))),98)</f>
        <v>98</v>
      </c>
    </row>
    <row r="754" spans="1:13">
      <c r="A754" s="96">
        <f t="shared" si="12"/>
        <v>735</v>
      </c>
      <c r="B754" s="9"/>
      <c r="C754" s="28"/>
      <c r="D754" s="23"/>
      <c r="E754" s="93"/>
      <c r="F754" s="24"/>
      <c r="G754" s="130"/>
      <c r="H754" s="46"/>
      <c r="I754" s="131"/>
      <c r="J754" s="126"/>
      <c r="K754" s="121"/>
      <c r="L754" s="78"/>
      <c r="M754" s="72">
        <f ca="1">IF(INDIRECT(ADDRESS(ROW(),3))&lt;&gt;"",getIBANchecksum(INDIRECT(ADDRESS(ROW(),3))),98)</f>
        <v>98</v>
      </c>
    </row>
    <row r="755" spans="1:13">
      <c r="A755" s="96">
        <f t="shared" si="12"/>
        <v>736</v>
      </c>
      <c r="B755" s="9"/>
      <c r="C755" s="28"/>
      <c r="D755" s="23"/>
      <c r="E755" s="93"/>
      <c r="F755" s="24"/>
      <c r="G755" s="130"/>
      <c r="H755" s="46"/>
      <c r="I755" s="131"/>
      <c r="J755" s="126"/>
      <c r="K755" s="121"/>
      <c r="L755" s="78"/>
      <c r="M755" s="72">
        <f ca="1">IF(INDIRECT(ADDRESS(ROW(),3))&lt;&gt;"",getIBANchecksum(INDIRECT(ADDRESS(ROW(),3))),98)</f>
        <v>98</v>
      </c>
    </row>
    <row r="756" spans="1:13">
      <c r="A756" s="96">
        <f t="shared" si="12"/>
        <v>737</v>
      </c>
      <c r="B756" s="9"/>
      <c r="C756" s="28"/>
      <c r="D756" s="23"/>
      <c r="E756" s="93"/>
      <c r="F756" s="24"/>
      <c r="G756" s="130"/>
      <c r="H756" s="46"/>
      <c r="I756" s="131"/>
      <c r="J756" s="126"/>
      <c r="K756" s="121"/>
      <c r="L756" s="78"/>
      <c r="M756" s="72">
        <f ca="1">IF(INDIRECT(ADDRESS(ROW(),3))&lt;&gt;"",getIBANchecksum(INDIRECT(ADDRESS(ROW(),3))),98)</f>
        <v>98</v>
      </c>
    </row>
    <row r="757" spans="1:13">
      <c r="A757" s="96">
        <f t="shared" si="12"/>
        <v>738</v>
      </c>
      <c r="B757" s="9"/>
      <c r="C757" s="28"/>
      <c r="D757" s="23"/>
      <c r="E757" s="93"/>
      <c r="F757" s="24"/>
      <c r="G757" s="130"/>
      <c r="H757" s="46"/>
      <c r="I757" s="131"/>
      <c r="J757" s="126"/>
      <c r="K757" s="121"/>
      <c r="L757" s="78"/>
      <c r="M757" s="72">
        <f ca="1">IF(INDIRECT(ADDRESS(ROW(),3))&lt;&gt;"",getIBANchecksum(INDIRECT(ADDRESS(ROW(),3))),98)</f>
        <v>98</v>
      </c>
    </row>
    <row r="758" spans="1:13">
      <c r="A758" s="96">
        <f t="shared" si="12"/>
        <v>739</v>
      </c>
      <c r="B758" s="9"/>
      <c r="C758" s="28"/>
      <c r="D758" s="23"/>
      <c r="E758" s="93"/>
      <c r="F758" s="24"/>
      <c r="G758" s="130"/>
      <c r="H758" s="46"/>
      <c r="I758" s="131"/>
      <c r="J758" s="126"/>
      <c r="K758" s="121"/>
      <c r="L758" s="78"/>
      <c r="M758" s="72">
        <f ca="1">IF(INDIRECT(ADDRESS(ROW(),3))&lt;&gt;"",getIBANchecksum(INDIRECT(ADDRESS(ROW(),3))),98)</f>
        <v>98</v>
      </c>
    </row>
    <row r="759" spans="1:13">
      <c r="A759" s="96">
        <f t="shared" si="12"/>
        <v>740</v>
      </c>
      <c r="B759" s="9"/>
      <c r="C759" s="28"/>
      <c r="D759" s="23"/>
      <c r="E759" s="93"/>
      <c r="F759" s="24"/>
      <c r="G759" s="130"/>
      <c r="H759" s="46"/>
      <c r="I759" s="131"/>
      <c r="J759" s="126"/>
      <c r="K759" s="121"/>
      <c r="L759" s="78"/>
      <c r="M759" s="72">
        <f ca="1">IF(INDIRECT(ADDRESS(ROW(),3))&lt;&gt;"",getIBANchecksum(INDIRECT(ADDRESS(ROW(),3))),98)</f>
        <v>98</v>
      </c>
    </row>
    <row r="760" spans="1:13">
      <c r="A760" s="96">
        <f t="shared" si="12"/>
        <v>741</v>
      </c>
      <c r="B760" s="9"/>
      <c r="C760" s="28"/>
      <c r="D760" s="23"/>
      <c r="E760" s="93"/>
      <c r="F760" s="24"/>
      <c r="G760" s="130"/>
      <c r="H760" s="46"/>
      <c r="I760" s="131"/>
      <c r="J760" s="126"/>
      <c r="K760" s="121"/>
      <c r="L760" s="78"/>
      <c r="M760" s="72">
        <f ca="1">IF(INDIRECT(ADDRESS(ROW(),3))&lt;&gt;"",getIBANchecksum(INDIRECT(ADDRESS(ROW(),3))),98)</f>
        <v>98</v>
      </c>
    </row>
    <row r="761" spans="1:13">
      <c r="A761" s="96">
        <f t="shared" si="12"/>
        <v>742</v>
      </c>
      <c r="B761" s="9"/>
      <c r="C761" s="28"/>
      <c r="D761" s="23"/>
      <c r="E761" s="93"/>
      <c r="F761" s="24"/>
      <c r="G761" s="130"/>
      <c r="H761" s="46"/>
      <c r="I761" s="131"/>
      <c r="J761" s="126"/>
      <c r="K761" s="121"/>
      <c r="L761" s="78"/>
      <c r="M761" s="72">
        <f ca="1">IF(INDIRECT(ADDRESS(ROW(),3))&lt;&gt;"",getIBANchecksum(INDIRECT(ADDRESS(ROW(),3))),98)</f>
        <v>98</v>
      </c>
    </row>
    <row r="762" spans="1:13">
      <c r="A762" s="96">
        <f t="shared" si="12"/>
        <v>743</v>
      </c>
      <c r="B762" s="9"/>
      <c r="C762" s="28"/>
      <c r="D762" s="23"/>
      <c r="E762" s="93"/>
      <c r="F762" s="24"/>
      <c r="G762" s="130"/>
      <c r="H762" s="46"/>
      <c r="I762" s="131"/>
      <c r="J762" s="126"/>
      <c r="K762" s="121"/>
      <c r="L762" s="78"/>
      <c r="M762" s="72">
        <f ca="1">IF(INDIRECT(ADDRESS(ROW(),3))&lt;&gt;"",getIBANchecksum(INDIRECT(ADDRESS(ROW(),3))),98)</f>
        <v>98</v>
      </c>
    </row>
    <row r="763" spans="1:13">
      <c r="A763" s="96">
        <f t="shared" si="12"/>
        <v>744</v>
      </c>
      <c r="B763" s="9"/>
      <c r="C763" s="28"/>
      <c r="D763" s="23"/>
      <c r="E763" s="93"/>
      <c r="F763" s="24"/>
      <c r="G763" s="130"/>
      <c r="H763" s="46"/>
      <c r="I763" s="131"/>
      <c r="J763" s="126"/>
      <c r="K763" s="121"/>
      <c r="L763" s="78"/>
      <c r="M763" s="72">
        <f ca="1">IF(INDIRECT(ADDRESS(ROW(),3))&lt;&gt;"",getIBANchecksum(INDIRECT(ADDRESS(ROW(),3))),98)</f>
        <v>98</v>
      </c>
    </row>
    <row r="764" spans="1:13">
      <c r="A764" s="96">
        <f t="shared" si="12"/>
        <v>745</v>
      </c>
      <c r="B764" s="9"/>
      <c r="C764" s="28"/>
      <c r="D764" s="23"/>
      <c r="E764" s="93"/>
      <c r="F764" s="24"/>
      <c r="G764" s="130"/>
      <c r="H764" s="46"/>
      <c r="I764" s="131"/>
      <c r="J764" s="126"/>
      <c r="K764" s="121"/>
      <c r="L764" s="78"/>
      <c r="M764" s="72">
        <f ca="1">IF(INDIRECT(ADDRESS(ROW(),3))&lt;&gt;"",getIBANchecksum(INDIRECT(ADDRESS(ROW(),3))),98)</f>
        <v>98</v>
      </c>
    </row>
    <row r="765" spans="1:13">
      <c r="A765" s="96">
        <f t="shared" si="12"/>
        <v>746</v>
      </c>
      <c r="B765" s="9"/>
      <c r="C765" s="28"/>
      <c r="D765" s="23"/>
      <c r="E765" s="93"/>
      <c r="F765" s="24"/>
      <c r="G765" s="130"/>
      <c r="H765" s="46"/>
      <c r="I765" s="131"/>
      <c r="J765" s="126"/>
      <c r="K765" s="121"/>
      <c r="L765" s="78"/>
      <c r="M765" s="72">
        <f ca="1">IF(INDIRECT(ADDRESS(ROW(),3))&lt;&gt;"",getIBANchecksum(INDIRECT(ADDRESS(ROW(),3))),98)</f>
        <v>98</v>
      </c>
    </row>
    <row r="766" spans="1:13">
      <c r="A766" s="96">
        <f t="shared" si="12"/>
        <v>747</v>
      </c>
      <c r="B766" s="9"/>
      <c r="C766" s="28"/>
      <c r="D766" s="23"/>
      <c r="E766" s="93"/>
      <c r="F766" s="24"/>
      <c r="G766" s="130"/>
      <c r="H766" s="46"/>
      <c r="I766" s="131"/>
      <c r="J766" s="126"/>
      <c r="K766" s="121"/>
      <c r="L766" s="78"/>
      <c r="M766" s="72">
        <f ca="1">IF(INDIRECT(ADDRESS(ROW(),3))&lt;&gt;"",getIBANchecksum(INDIRECT(ADDRESS(ROW(),3))),98)</f>
        <v>98</v>
      </c>
    </row>
    <row r="767" spans="1:13">
      <c r="A767" s="96">
        <f t="shared" si="12"/>
        <v>748</v>
      </c>
      <c r="B767" s="9"/>
      <c r="C767" s="28"/>
      <c r="D767" s="23"/>
      <c r="E767" s="93"/>
      <c r="F767" s="24"/>
      <c r="G767" s="130"/>
      <c r="H767" s="46"/>
      <c r="I767" s="131"/>
      <c r="J767" s="126"/>
      <c r="K767" s="121"/>
      <c r="L767" s="78"/>
      <c r="M767" s="72">
        <f ca="1">IF(INDIRECT(ADDRESS(ROW(),3))&lt;&gt;"",getIBANchecksum(INDIRECT(ADDRESS(ROW(),3))),98)</f>
        <v>98</v>
      </c>
    </row>
    <row r="768" spans="1:13">
      <c r="A768" s="96">
        <f t="shared" si="12"/>
        <v>749</v>
      </c>
      <c r="B768" s="9"/>
      <c r="C768" s="28"/>
      <c r="D768" s="23"/>
      <c r="E768" s="93"/>
      <c r="F768" s="24"/>
      <c r="G768" s="130"/>
      <c r="H768" s="46"/>
      <c r="I768" s="131"/>
      <c r="J768" s="126"/>
      <c r="K768" s="121"/>
      <c r="L768" s="78"/>
      <c r="M768" s="72">
        <f ca="1">IF(INDIRECT(ADDRESS(ROW(),3))&lt;&gt;"",getIBANchecksum(INDIRECT(ADDRESS(ROW(),3))),98)</f>
        <v>98</v>
      </c>
    </row>
    <row r="769" spans="1:13">
      <c r="A769" s="96">
        <f t="shared" si="12"/>
        <v>750</v>
      </c>
      <c r="B769" s="9"/>
      <c r="C769" s="28"/>
      <c r="D769" s="23"/>
      <c r="E769" s="93"/>
      <c r="F769" s="24"/>
      <c r="G769" s="130"/>
      <c r="H769" s="46"/>
      <c r="I769" s="131"/>
      <c r="J769" s="126"/>
      <c r="K769" s="121"/>
      <c r="L769" s="78"/>
      <c r="M769" s="72">
        <f ca="1">IF(INDIRECT(ADDRESS(ROW(),3))&lt;&gt;"",getIBANchecksum(INDIRECT(ADDRESS(ROW(),3))),98)</f>
        <v>98</v>
      </c>
    </row>
    <row r="770" spans="1:13">
      <c r="A770" s="96">
        <f t="shared" si="12"/>
        <v>751</v>
      </c>
      <c r="B770" s="9"/>
      <c r="C770" s="28"/>
      <c r="D770" s="23"/>
      <c r="E770" s="93"/>
      <c r="F770" s="24"/>
      <c r="G770" s="130"/>
      <c r="H770" s="46"/>
      <c r="I770" s="131"/>
      <c r="J770" s="126"/>
      <c r="K770" s="121"/>
      <c r="L770" s="78"/>
      <c r="M770" s="72">
        <f ca="1">IF(INDIRECT(ADDRESS(ROW(),3))&lt;&gt;"",getIBANchecksum(INDIRECT(ADDRESS(ROW(),3))),98)</f>
        <v>98</v>
      </c>
    </row>
    <row r="771" spans="1:13">
      <c r="A771" s="96">
        <f t="shared" si="12"/>
        <v>752</v>
      </c>
      <c r="B771" s="9"/>
      <c r="C771" s="28"/>
      <c r="D771" s="23"/>
      <c r="E771" s="93"/>
      <c r="F771" s="24"/>
      <c r="G771" s="130"/>
      <c r="H771" s="46"/>
      <c r="I771" s="131"/>
      <c r="J771" s="126"/>
      <c r="K771" s="121"/>
      <c r="L771" s="78"/>
      <c r="M771" s="72">
        <f ca="1">IF(INDIRECT(ADDRESS(ROW(),3))&lt;&gt;"",getIBANchecksum(INDIRECT(ADDRESS(ROW(),3))),98)</f>
        <v>98</v>
      </c>
    </row>
    <row r="772" spans="1:13">
      <c r="A772" s="96">
        <f t="shared" si="12"/>
        <v>753</v>
      </c>
      <c r="B772" s="9"/>
      <c r="C772" s="28"/>
      <c r="D772" s="23"/>
      <c r="E772" s="93"/>
      <c r="F772" s="24"/>
      <c r="G772" s="130"/>
      <c r="H772" s="46"/>
      <c r="I772" s="131"/>
      <c r="J772" s="126"/>
      <c r="K772" s="121"/>
      <c r="L772" s="78"/>
      <c r="M772" s="72">
        <f ca="1">IF(INDIRECT(ADDRESS(ROW(),3))&lt;&gt;"",getIBANchecksum(INDIRECT(ADDRESS(ROW(),3))),98)</f>
        <v>98</v>
      </c>
    </row>
    <row r="773" spans="1:13">
      <c r="A773" s="96">
        <f t="shared" si="12"/>
        <v>754</v>
      </c>
      <c r="B773" s="9"/>
      <c r="C773" s="28"/>
      <c r="D773" s="23"/>
      <c r="E773" s="93"/>
      <c r="F773" s="24"/>
      <c r="G773" s="130"/>
      <c r="H773" s="46"/>
      <c r="I773" s="131"/>
      <c r="J773" s="126"/>
      <c r="K773" s="121"/>
      <c r="L773" s="78"/>
      <c r="M773" s="72">
        <f ca="1">IF(INDIRECT(ADDRESS(ROW(),3))&lt;&gt;"",getIBANchecksum(INDIRECT(ADDRESS(ROW(),3))),98)</f>
        <v>98</v>
      </c>
    </row>
    <row r="774" spans="1:13">
      <c r="A774" s="96">
        <f t="shared" si="12"/>
        <v>755</v>
      </c>
      <c r="B774" s="9"/>
      <c r="C774" s="28"/>
      <c r="D774" s="23"/>
      <c r="E774" s="93"/>
      <c r="F774" s="24"/>
      <c r="G774" s="130"/>
      <c r="H774" s="46"/>
      <c r="I774" s="131"/>
      <c r="J774" s="126"/>
      <c r="K774" s="121"/>
      <c r="L774" s="78"/>
      <c r="M774" s="72">
        <f ca="1">IF(INDIRECT(ADDRESS(ROW(),3))&lt;&gt;"",getIBANchecksum(INDIRECT(ADDRESS(ROW(),3))),98)</f>
        <v>98</v>
      </c>
    </row>
    <row r="775" spans="1:13">
      <c r="A775" s="96">
        <f t="shared" si="12"/>
        <v>756</v>
      </c>
      <c r="B775" s="9"/>
      <c r="C775" s="28"/>
      <c r="D775" s="23"/>
      <c r="E775" s="93"/>
      <c r="F775" s="24"/>
      <c r="G775" s="130"/>
      <c r="H775" s="46"/>
      <c r="I775" s="131"/>
      <c r="J775" s="126"/>
      <c r="K775" s="121"/>
      <c r="L775" s="78"/>
      <c r="M775" s="72">
        <f ca="1">IF(INDIRECT(ADDRESS(ROW(),3))&lt;&gt;"",getIBANchecksum(INDIRECT(ADDRESS(ROW(),3))),98)</f>
        <v>98</v>
      </c>
    </row>
    <row r="776" spans="1:13">
      <c r="A776" s="96">
        <f t="shared" si="12"/>
        <v>757</v>
      </c>
      <c r="B776" s="9"/>
      <c r="C776" s="28"/>
      <c r="D776" s="23"/>
      <c r="E776" s="93"/>
      <c r="F776" s="24"/>
      <c r="G776" s="130"/>
      <c r="H776" s="46"/>
      <c r="I776" s="131"/>
      <c r="J776" s="126"/>
      <c r="K776" s="121"/>
      <c r="L776" s="78"/>
      <c r="M776" s="72">
        <f ca="1">IF(INDIRECT(ADDRESS(ROW(),3))&lt;&gt;"",getIBANchecksum(INDIRECT(ADDRESS(ROW(),3))),98)</f>
        <v>98</v>
      </c>
    </row>
    <row r="777" spans="1:13">
      <c r="A777" s="96">
        <f t="shared" si="12"/>
        <v>758</v>
      </c>
      <c r="B777" s="9"/>
      <c r="C777" s="28"/>
      <c r="D777" s="23"/>
      <c r="E777" s="93"/>
      <c r="F777" s="24"/>
      <c r="G777" s="130"/>
      <c r="H777" s="46"/>
      <c r="I777" s="131"/>
      <c r="J777" s="126"/>
      <c r="K777" s="121"/>
      <c r="L777" s="78"/>
      <c r="M777" s="72">
        <f ca="1">IF(INDIRECT(ADDRESS(ROW(),3))&lt;&gt;"",getIBANchecksum(INDIRECT(ADDRESS(ROW(),3))),98)</f>
        <v>98</v>
      </c>
    </row>
    <row r="778" spans="1:13">
      <c r="A778" s="96">
        <f t="shared" si="12"/>
        <v>759</v>
      </c>
      <c r="B778" s="9"/>
      <c r="C778" s="28"/>
      <c r="D778" s="23"/>
      <c r="E778" s="93"/>
      <c r="F778" s="24"/>
      <c r="G778" s="130"/>
      <c r="H778" s="46"/>
      <c r="I778" s="131"/>
      <c r="J778" s="126"/>
      <c r="K778" s="121"/>
      <c r="L778" s="78"/>
      <c r="M778" s="72">
        <f ca="1">IF(INDIRECT(ADDRESS(ROW(),3))&lt;&gt;"",getIBANchecksum(INDIRECT(ADDRESS(ROW(),3))),98)</f>
        <v>98</v>
      </c>
    </row>
    <row r="779" spans="1:13">
      <c r="A779" s="96">
        <f t="shared" si="12"/>
        <v>760</v>
      </c>
      <c r="B779" s="9"/>
      <c r="C779" s="28"/>
      <c r="D779" s="23"/>
      <c r="E779" s="93"/>
      <c r="F779" s="24"/>
      <c r="G779" s="130"/>
      <c r="H779" s="46"/>
      <c r="I779" s="131"/>
      <c r="J779" s="126"/>
      <c r="K779" s="121"/>
      <c r="L779" s="78"/>
      <c r="M779" s="72">
        <f ca="1">IF(INDIRECT(ADDRESS(ROW(),3))&lt;&gt;"",getIBANchecksum(INDIRECT(ADDRESS(ROW(),3))),98)</f>
        <v>98</v>
      </c>
    </row>
    <row r="780" spans="1:13">
      <c r="A780" s="96">
        <f t="shared" si="12"/>
        <v>761</v>
      </c>
      <c r="B780" s="9"/>
      <c r="C780" s="28"/>
      <c r="D780" s="23"/>
      <c r="E780" s="93"/>
      <c r="F780" s="24"/>
      <c r="G780" s="130"/>
      <c r="H780" s="46"/>
      <c r="I780" s="131"/>
      <c r="J780" s="126"/>
      <c r="K780" s="121"/>
      <c r="L780" s="78"/>
      <c r="M780" s="72">
        <f ca="1">IF(INDIRECT(ADDRESS(ROW(),3))&lt;&gt;"",getIBANchecksum(INDIRECT(ADDRESS(ROW(),3))),98)</f>
        <v>98</v>
      </c>
    </row>
    <row r="781" spans="1:13">
      <c r="A781" s="96">
        <f t="shared" si="12"/>
        <v>762</v>
      </c>
      <c r="B781" s="9"/>
      <c r="C781" s="28"/>
      <c r="D781" s="23"/>
      <c r="E781" s="93"/>
      <c r="F781" s="24"/>
      <c r="G781" s="130"/>
      <c r="H781" s="46"/>
      <c r="I781" s="131"/>
      <c r="J781" s="126"/>
      <c r="K781" s="121"/>
      <c r="L781" s="78"/>
      <c r="M781" s="72">
        <f ca="1">IF(INDIRECT(ADDRESS(ROW(),3))&lt;&gt;"",getIBANchecksum(INDIRECT(ADDRESS(ROW(),3))),98)</f>
        <v>98</v>
      </c>
    </row>
    <row r="782" spans="1:13">
      <c r="A782" s="96">
        <f t="shared" si="12"/>
        <v>763</v>
      </c>
      <c r="B782" s="9"/>
      <c r="C782" s="28"/>
      <c r="D782" s="23"/>
      <c r="E782" s="93"/>
      <c r="F782" s="24"/>
      <c r="G782" s="130"/>
      <c r="H782" s="46"/>
      <c r="I782" s="131"/>
      <c r="J782" s="126"/>
      <c r="K782" s="121"/>
      <c r="L782" s="78"/>
      <c r="M782" s="72">
        <f ca="1">IF(INDIRECT(ADDRESS(ROW(),3))&lt;&gt;"",getIBANchecksum(INDIRECT(ADDRESS(ROW(),3))),98)</f>
        <v>98</v>
      </c>
    </row>
    <row r="783" spans="1:13">
      <c r="A783" s="96">
        <f t="shared" si="12"/>
        <v>764</v>
      </c>
      <c r="B783" s="9"/>
      <c r="C783" s="28"/>
      <c r="D783" s="23"/>
      <c r="E783" s="93"/>
      <c r="F783" s="24"/>
      <c r="G783" s="130"/>
      <c r="H783" s="46"/>
      <c r="I783" s="131"/>
      <c r="J783" s="126"/>
      <c r="K783" s="121"/>
      <c r="L783" s="78"/>
      <c r="M783" s="72">
        <f ca="1">IF(INDIRECT(ADDRESS(ROW(),3))&lt;&gt;"",getIBANchecksum(INDIRECT(ADDRESS(ROW(),3))),98)</f>
        <v>98</v>
      </c>
    </row>
    <row r="784" spans="1:13">
      <c r="A784" s="96">
        <f t="shared" si="12"/>
        <v>765</v>
      </c>
      <c r="B784" s="9"/>
      <c r="C784" s="28"/>
      <c r="D784" s="23"/>
      <c r="E784" s="93"/>
      <c r="F784" s="24"/>
      <c r="G784" s="130"/>
      <c r="H784" s="46"/>
      <c r="I784" s="131"/>
      <c r="J784" s="126"/>
      <c r="K784" s="121"/>
      <c r="L784" s="78"/>
      <c r="M784" s="72">
        <f ca="1">IF(INDIRECT(ADDRESS(ROW(),3))&lt;&gt;"",getIBANchecksum(INDIRECT(ADDRESS(ROW(),3))),98)</f>
        <v>98</v>
      </c>
    </row>
    <row r="785" spans="1:13">
      <c r="A785" s="96">
        <f t="shared" si="12"/>
        <v>766</v>
      </c>
      <c r="B785" s="9"/>
      <c r="C785" s="28"/>
      <c r="D785" s="23"/>
      <c r="E785" s="93"/>
      <c r="F785" s="24"/>
      <c r="G785" s="130"/>
      <c r="H785" s="46"/>
      <c r="I785" s="131"/>
      <c r="J785" s="126"/>
      <c r="K785" s="121"/>
      <c r="L785" s="78"/>
      <c r="M785" s="72">
        <f ca="1">IF(INDIRECT(ADDRESS(ROW(),3))&lt;&gt;"",getIBANchecksum(INDIRECT(ADDRESS(ROW(),3))),98)</f>
        <v>98</v>
      </c>
    </row>
    <row r="786" spans="1:13">
      <c r="A786" s="96">
        <f t="shared" si="12"/>
        <v>767</v>
      </c>
      <c r="B786" s="9"/>
      <c r="C786" s="28"/>
      <c r="D786" s="23"/>
      <c r="E786" s="93"/>
      <c r="F786" s="24"/>
      <c r="G786" s="130"/>
      <c r="H786" s="46"/>
      <c r="I786" s="131"/>
      <c r="J786" s="126"/>
      <c r="K786" s="121"/>
      <c r="L786" s="78"/>
      <c r="M786" s="72">
        <f ca="1">IF(INDIRECT(ADDRESS(ROW(),3))&lt;&gt;"",getIBANchecksum(INDIRECT(ADDRESS(ROW(),3))),98)</f>
        <v>98</v>
      </c>
    </row>
    <row r="787" spans="1:13">
      <c r="A787" s="96">
        <f t="shared" si="12"/>
        <v>768</v>
      </c>
      <c r="B787" s="9"/>
      <c r="C787" s="28"/>
      <c r="D787" s="23"/>
      <c r="E787" s="93"/>
      <c r="F787" s="24"/>
      <c r="G787" s="130"/>
      <c r="H787" s="46"/>
      <c r="I787" s="131"/>
      <c r="J787" s="126"/>
      <c r="K787" s="121"/>
      <c r="L787" s="78"/>
      <c r="M787" s="72">
        <f ca="1">IF(INDIRECT(ADDRESS(ROW(),3))&lt;&gt;"",getIBANchecksum(INDIRECT(ADDRESS(ROW(),3))),98)</f>
        <v>98</v>
      </c>
    </row>
    <row r="788" spans="1:13">
      <c r="A788" s="96">
        <f t="shared" si="12"/>
        <v>769</v>
      </c>
      <c r="B788" s="9"/>
      <c r="C788" s="28"/>
      <c r="D788" s="23"/>
      <c r="E788" s="93"/>
      <c r="F788" s="24"/>
      <c r="G788" s="130"/>
      <c r="H788" s="46"/>
      <c r="I788" s="131"/>
      <c r="J788" s="126"/>
      <c r="K788" s="121"/>
      <c r="L788" s="78"/>
      <c r="M788" s="72">
        <f ca="1">IF(INDIRECT(ADDRESS(ROW(),3))&lt;&gt;"",getIBANchecksum(INDIRECT(ADDRESS(ROW(),3))),98)</f>
        <v>98</v>
      </c>
    </row>
    <row r="789" spans="1:13">
      <c r="A789" s="96">
        <f t="shared" si="12"/>
        <v>770</v>
      </c>
      <c r="B789" s="9"/>
      <c r="C789" s="28"/>
      <c r="D789" s="23"/>
      <c r="E789" s="93"/>
      <c r="F789" s="24"/>
      <c r="G789" s="130"/>
      <c r="H789" s="46"/>
      <c r="I789" s="131"/>
      <c r="J789" s="126"/>
      <c r="K789" s="121"/>
      <c r="L789" s="78"/>
      <c r="M789" s="72">
        <f ca="1">IF(INDIRECT(ADDRESS(ROW(),3))&lt;&gt;"",getIBANchecksum(INDIRECT(ADDRESS(ROW(),3))),98)</f>
        <v>98</v>
      </c>
    </row>
    <row r="790" spans="1:13">
      <c r="A790" s="96">
        <f t="shared" ref="A790:A853" si="13">A789+1</f>
        <v>771</v>
      </c>
      <c r="B790" s="9"/>
      <c r="C790" s="28"/>
      <c r="D790" s="23"/>
      <c r="E790" s="93"/>
      <c r="F790" s="24"/>
      <c r="G790" s="130"/>
      <c r="H790" s="46"/>
      <c r="I790" s="131"/>
      <c r="J790" s="126"/>
      <c r="K790" s="121"/>
      <c r="L790" s="78"/>
      <c r="M790" s="72">
        <f ca="1">IF(INDIRECT(ADDRESS(ROW(),3))&lt;&gt;"",getIBANchecksum(INDIRECT(ADDRESS(ROW(),3))),98)</f>
        <v>98</v>
      </c>
    </row>
    <row r="791" spans="1:13">
      <c r="A791" s="96">
        <f t="shared" si="13"/>
        <v>772</v>
      </c>
      <c r="B791" s="9"/>
      <c r="C791" s="28"/>
      <c r="D791" s="23"/>
      <c r="E791" s="93"/>
      <c r="F791" s="24"/>
      <c r="G791" s="130"/>
      <c r="H791" s="46"/>
      <c r="I791" s="131"/>
      <c r="J791" s="126"/>
      <c r="K791" s="121"/>
      <c r="L791" s="78"/>
      <c r="M791" s="72">
        <f ca="1">IF(INDIRECT(ADDRESS(ROW(),3))&lt;&gt;"",getIBANchecksum(INDIRECT(ADDRESS(ROW(),3))),98)</f>
        <v>98</v>
      </c>
    </row>
    <row r="792" spans="1:13">
      <c r="A792" s="96">
        <f t="shared" si="13"/>
        <v>773</v>
      </c>
      <c r="B792" s="9"/>
      <c r="C792" s="28"/>
      <c r="D792" s="23"/>
      <c r="E792" s="93"/>
      <c r="F792" s="24"/>
      <c r="G792" s="130"/>
      <c r="H792" s="46"/>
      <c r="I792" s="131"/>
      <c r="J792" s="126"/>
      <c r="K792" s="121"/>
      <c r="L792" s="78"/>
      <c r="M792" s="72">
        <f ca="1">IF(INDIRECT(ADDRESS(ROW(),3))&lt;&gt;"",getIBANchecksum(INDIRECT(ADDRESS(ROW(),3))),98)</f>
        <v>98</v>
      </c>
    </row>
    <row r="793" spans="1:13">
      <c r="A793" s="96">
        <f t="shared" si="13"/>
        <v>774</v>
      </c>
      <c r="B793" s="9"/>
      <c r="C793" s="28"/>
      <c r="D793" s="23"/>
      <c r="E793" s="93"/>
      <c r="F793" s="24"/>
      <c r="G793" s="130"/>
      <c r="H793" s="46"/>
      <c r="I793" s="131"/>
      <c r="J793" s="126"/>
      <c r="K793" s="121"/>
      <c r="L793" s="78"/>
      <c r="M793" s="72">
        <f ca="1">IF(INDIRECT(ADDRESS(ROW(),3))&lt;&gt;"",getIBANchecksum(INDIRECT(ADDRESS(ROW(),3))),98)</f>
        <v>98</v>
      </c>
    </row>
    <row r="794" spans="1:13">
      <c r="A794" s="96">
        <f t="shared" si="13"/>
        <v>775</v>
      </c>
      <c r="B794" s="9"/>
      <c r="C794" s="28"/>
      <c r="D794" s="23"/>
      <c r="E794" s="93"/>
      <c r="F794" s="24"/>
      <c r="G794" s="130"/>
      <c r="H794" s="46"/>
      <c r="I794" s="131"/>
      <c r="J794" s="126"/>
      <c r="K794" s="121"/>
      <c r="L794" s="78"/>
      <c r="M794" s="72">
        <f ca="1">IF(INDIRECT(ADDRESS(ROW(),3))&lt;&gt;"",getIBANchecksum(INDIRECT(ADDRESS(ROW(),3))),98)</f>
        <v>98</v>
      </c>
    </row>
    <row r="795" spans="1:13">
      <c r="A795" s="96">
        <f t="shared" si="13"/>
        <v>776</v>
      </c>
      <c r="B795" s="9"/>
      <c r="C795" s="28"/>
      <c r="D795" s="23"/>
      <c r="E795" s="93"/>
      <c r="F795" s="24"/>
      <c r="G795" s="130"/>
      <c r="H795" s="46"/>
      <c r="I795" s="131"/>
      <c r="J795" s="126"/>
      <c r="K795" s="121"/>
      <c r="L795" s="78"/>
      <c r="M795" s="72">
        <f ca="1">IF(INDIRECT(ADDRESS(ROW(),3))&lt;&gt;"",getIBANchecksum(INDIRECT(ADDRESS(ROW(),3))),98)</f>
        <v>98</v>
      </c>
    </row>
    <row r="796" spans="1:13">
      <c r="A796" s="96">
        <f t="shared" si="13"/>
        <v>777</v>
      </c>
      <c r="B796" s="9"/>
      <c r="C796" s="28"/>
      <c r="D796" s="23"/>
      <c r="E796" s="93"/>
      <c r="F796" s="24"/>
      <c r="G796" s="130"/>
      <c r="H796" s="46"/>
      <c r="I796" s="131"/>
      <c r="J796" s="126"/>
      <c r="K796" s="121"/>
      <c r="L796" s="78"/>
      <c r="M796" s="72">
        <f ca="1">IF(INDIRECT(ADDRESS(ROW(),3))&lt;&gt;"",getIBANchecksum(INDIRECT(ADDRESS(ROW(),3))),98)</f>
        <v>98</v>
      </c>
    </row>
    <row r="797" spans="1:13">
      <c r="A797" s="96">
        <f t="shared" si="13"/>
        <v>778</v>
      </c>
      <c r="B797" s="9"/>
      <c r="C797" s="28"/>
      <c r="D797" s="23"/>
      <c r="E797" s="93"/>
      <c r="F797" s="24"/>
      <c r="G797" s="130"/>
      <c r="H797" s="46"/>
      <c r="I797" s="131"/>
      <c r="J797" s="126"/>
      <c r="K797" s="121"/>
      <c r="L797" s="78"/>
      <c r="M797" s="72">
        <f ca="1">IF(INDIRECT(ADDRESS(ROW(),3))&lt;&gt;"",getIBANchecksum(INDIRECT(ADDRESS(ROW(),3))),98)</f>
        <v>98</v>
      </c>
    </row>
    <row r="798" spans="1:13">
      <c r="A798" s="96">
        <f t="shared" si="13"/>
        <v>779</v>
      </c>
      <c r="B798" s="9"/>
      <c r="C798" s="28"/>
      <c r="D798" s="23"/>
      <c r="E798" s="93"/>
      <c r="F798" s="24"/>
      <c r="G798" s="130"/>
      <c r="H798" s="46"/>
      <c r="I798" s="131"/>
      <c r="J798" s="126"/>
      <c r="K798" s="121"/>
      <c r="L798" s="78"/>
      <c r="M798" s="72">
        <f ca="1">IF(INDIRECT(ADDRESS(ROW(),3))&lt;&gt;"",getIBANchecksum(INDIRECT(ADDRESS(ROW(),3))),98)</f>
        <v>98</v>
      </c>
    </row>
    <row r="799" spans="1:13">
      <c r="A799" s="96">
        <f t="shared" si="13"/>
        <v>780</v>
      </c>
      <c r="B799" s="9"/>
      <c r="C799" s="28"/>
      <c r="D799" s="23"/>
      <c r="E799" s="93"/>
      <c r="F799" s="24"/>
      <c r="G799" s="130"/>
      <c r="H799" s="46"/>
      <c r="I799" s="131"/>
      <c r="J799" s="126"/>
      <c r="K799" s="121"/>
      <c r="L799" s="78"/>
      <c r="M799" s="72">
        <f ca="1">IF(INDIRECT(ADDRESS(ROW(),3))&lt;&gt;"",getIBANchecksum(INDIRECT(ADDRESS(ROW(),3))),98)</f>
        <v>98</v>
      </c>
    </row>
    <row r="800" spans="1:13">
      <c r="A800" s="96">
        <f t="shared" si="13"/>
        <v>781</v>
      </c>
      <c r="B800" s="9"/>
      <c r="C800" s="28"/>
      <c r="D800" s="23"/>
      <c r="E800" s="93"/>
      <c r="F800" s="24"/>
      <c r="G800" s="130"/>
      <c r="H800" s="46"/>
      <c r="I800" s="131"/>
      <c r="J800" s="126"/>
      <c r="K800" s="121"/>
      <c r="L800" s="78"/>
      <c r="M800" s="72">
        <f ca="1">IF(INDIRECT(ADDRESS(ROW(),3))&lt;&gt;"",getIBANchecksum(INDIRECT(ADDRESS(ROW(),3))),98)</f>
        <v>98</v>
      </c>
    </row>
    <row r="801" spans="1:13">
      <c r="A801" s="96">
        <f t="shared" si="13"/>
        <v>782</v>
      </c>
      <c r="B801" s="9"/>
      <c r="C801" s="28"/>
      <c r="D801" s="23"/>
      <c r="E801" s="93"/>
      <c r="F801" s="24"/>
      <c r="G801" s="130"/>
      <c r="H801" s="46"/>
      <c r="I801" s="131"/>
      <c r="J801" s="126"/>
      <c r="K801" s="121"/>
      <c r="L801" s="78"/>
      <c r="M801" s="72">
        <f ca="1">IF(INDIRECT(ADDRESS(ROW(),3))&lt;&gt;"",getIBANchecksum(INDIRECT(ADDRESS(ROW(),3))),98)</f>
        <v>98</v>
      </c>
    </row>
    <row r="802" spans="1:13">
      <c r="A802" s="96">
        <f t="shared" si="13"/>
        <v>783</v>
      </c>
      <c r="B802" s="9"/>
      <c r="C802" s="28"/>
      <c r="D802" s="23"/>
      <c r="E802" s="93"/>
      <c r="F802" s="24"/>
      <c r="G802" s="130"/>
      <c r="H802" s="46"/>
      <c r="I802" s="131"/>
      <c r="J802" s="126"/>
      <c r="K802" s="121"/>
      <c r="L802" s="78"/>
      <c r="M802" s="72">
        <f ca="1">IF(INDIRECT(ADDRESS(ROW(),3))&lt;&gt;"",getIBANchecksum(INDIRECT(ADDRESS(ROW(),3))),98)</f>
        <v>98</v>
      </c>
    </row>
    <row r="803" spans="1:13">
      <c r="A803" s="96">
        <f t="shared" si="13"/>
        <v>784</v>
      </c>
      <c r="B803" s="9"/>
      <c r="C803" s="28"/>
      <c r="D803" s="23"/>
      <c r="E803" s="93"/>
      <c r="F803" s="24"/>
      <c r="G803" s="130"/>
      <c r="H803" s="46"/>
      <c r="I803" s="131"/>
      <c r="J803" s="126"/>
      <c r="K803" s="121"/>
      <c r="L803" s="78"/>
      <c r="M803" s="72">
        <f ca="1">IF(INDIRECT(ADDRESS(ROW(),3))&lt;&gt;"",getIBANchecksum(INDIRECT(ADDRESS(ROW(),3))),98)</f>
        <v>98</v>
      </c>
    </row>
    <row r="804" spans="1:13">
      <c r="A804" s="96">
        <f t="shared" si="13"/>
        <v>785</v>
      </c>
      <c r="B804" s="9"/>
      <c r="C804" s="28"/>
      <c r="D804" s="23"/>
      <c r="E804" s="93"/>
      <c r="F804" s="24"/>
      <c r="G804" s="130"/>
      <c r="H804" s="46"/>
      <c r="I804" s="131"/>
      <c r="J804" s="126"/>
      <c r="K804" s="121"/>
      <c r="L804" s="78"/>
      <c r="M804" s="72">
        <f ca="1">IF(INDIRECT(ADDRESS(ROW(),3))&lt;&gt;"",getIBANchecksum(INDIRECT(ADDRESS(ROW(),3))),98)</f>
        <v>98</v>
      </c>
    </row>
    <row r="805" spans="1:13">
      <c r="A805" s="96">
        <f t="shared" si="13"/>
        <v>786</v>
      </c>
      <c r="B805" s="9"/>
      <c r="C805" s="28"/>
      <c r="D805" s="23"/>
      <c r="E805" s="93"/>
      <c r="F805" s="24"/>
      <c r="G805" s="130"/>
      <c r="H805" s="46"/>
      <c r="I805" s="131"/>
      <c r="J805" s="126"/>
      <c r="K805" s="121"/>
      <c r="L805" s="78"/>
      <c r="M805" s="72">
        <f ca="1">IF(INDIRECT(ADDRESS(ROW(),3))&lt;&gt;"",getIBANchecksum(INDIRECT(ADDRESS(ROW(),3))),98)</f>
        <v>98</v>
      </c>
    </row>
    <row r="806" spans="1:13">
      <c r="A806" s="96">
        <f t="shared" si="13"/>
        <v>787</v>
      </c>
      <c r="B806" s="9"/>
      <c r="C806" s="28"/>
      <c r="D806" s="23"/>
      <c r="E806" s="93"/>
      <c r="F806" s="24"/>
      <c r="G806" s="130"/>
      <c r="H806" s="46"/>
      <c r="I806" s="131"/>
      <c r="J806" s="126"/>
      <c r="K806" s="121"/>
      <c r="L806" s="78"/>
      <c r="M806" s="72">
        <f ca="1">IF(INDIRECT(ADDRESS(ROW(),3))&lt;&gt;"",getIBANchecksum(INDIRECT(ADDRESS(ROW(),3))),98)</f>
        <v>98</v>
      </c>
    </row>
    <row r="807" spans="1:13">
      <c r="A807" s="96">
        <f t="shared" si="13"/>
        <v>788</v>
      </c>
      <c r="B807" s="9"/>
      <c r="C807" s="28"/>
      <c r="D807" s="23"/>
      <c r="E807" s="93"/>
      <c r="F807" s="24"/>
      <c r="G807" s="130"/>
      <c r="H807" s="46"/>
      <c r="I807" s="131"/>
      <c r="J807" s="126"/>
      <c r="K807" s="121"/>
      <c r="L807" s="78"/>
      <c r="M807" s="72">
        <f ca="1">IF(INDIRECT(ADDRESS(ROW(),3))&lt;&gt;"",getIBANchecksum(INDIRECT(ADDRESS(ROW(),3))),98)</f>
        <v>98</v>
      </c>
    </row>
    <row r="808" spans="1:13">
      <c r="A808" s="96">
        <f t="shared" si="13"/>
        <v>789</v>
      </c>
      <c r="B808" s="9"/>
      <c r="C808" s="28"/>
      <c r="D808" s="23"/>
      <c r="E808" s="93"/>
      <c r="F808" s="24"/>
      <c r="G808" s="130"/>
      <c r="H808" s="46"/>
      <c r="I808" s="131"/>
      <c r="J808" s="126"/>
      <c r="K808" s="121"/>
      <c r="L808" s="78"/>
      <c r="M808" s="72">
        <f ca="1">IF(INDIRECT(ADDRESS(ROW(),3))&lt;&gt;"",getIBANchecksum(INDIRECT(ADDRESS(ROW(),3))),98)</f>
        <v>98</v>
      </c>
    </row>
    <row r="809" spans="1:13">
      <c r="A809" s="96">
        <f t="shared" si="13"/>
        <v>790</v>
      </c>
      <c r="B809" s="9"/>
      <c r="C809" s="28"/>
      <c r="D809" s="23"/>
      <c r="E809" s="93"/>
      <c r="F809" s="24"/>
      <c r="G809" s="130"/>
      <c r="H809" s="46"/>
      <c r="I809" s="131"/>
      <c r="J809" s="126"/>
      <c r="K809" s="121"/>
      <c r="L809" s="78"/>
      <c r="M809" s="72">
        <f ca="1">IF(INDIRECT(ADDRESS(ROW(),3))&lt;&gt;"",getIBANchecksum(INDIRECT(ADDRESS(ROW(),3))),98)</f>
        <v>98</v>
      </c>
    </row>
    <row r="810" spans="1:13">
      <c r="A810" s="96">
        <f t="shared" si="13"/>
        <v>791</v>
      </c>
      <c r="B810" s="9"/>
      <c r="C810" s="28"/>
      <c r="D810" s="23"/>
      <c r="E810" s="93"/>
      <c r="F810" s="24"/>
      <c r="G810" s="130"/>
      <c r="H810" s="46"/>
      <c r="I810" s="131"/>
      <c r="J810" s="126"/>
      <c r="K810" s="121"/>
      <c r="L810" s="78"/>
      <c r="M810" s="72">
        <f ca="1">IF(INDIRECT(ADDRESS(ROW(),3))&lt;&gt;"",getIBANchecksum(INDIRECT(ADDRESS(ROW(),3))),98)</f>
        <v>98</v>
      </c>
    </row>
    <row r="811" spans="1:13">
      <c r="A811" s="96">
        <f t="shared" si="13"/>
        <v>792</v>
      </c>
      <c r="B811" s="9"/>
      <c r="C811" s="28"/>
      <c r="D811" s="23"/>
      <c r="E811" s="93"/>
      <c r="F811" s="24"/>
      <c r="G811" s="130"/>
      <c r="H811" s="46"/>
      <c r="I811" s="131"/>
      <c r="J811" s="126"/>
      <c r="K811" s="121"/>
      <c r="L811" s="78"/>
      <c r="M811" s="72">
        <f ca="1">IF(INDIRECT(ADDRESS(ROW(),3))&lt;&gt;"",getIBANchecksum(INDIRECT(ADDRESS(ROW(),3))),98)</f>
        <v>98</v>
      </c>
    </row>
    <row r="812" spans="1:13">
      <c r="A812" s="96">
        <f t="shared" si="13"/>
        <v>793</v>
      </c>
      <c r="B812" s="9"/>
      <c r="C812" s="28"/>
      <c r="D812" s="23"/>
      <c r="E812" s="93"/>
      <c r="F812" s="24"/>
      <c r="G812" s="130"/>
      <c r="H812" s="46"/>
      <c r="I812" s="131"/>
      <c r="J812" s="126"/>
      <c r="K812" s="121"/>
      <c r="L812" s="78"/>
      <c r="M812" s="72">
        <f ca="1">IF(INDIRECT(ADDRESS(ROW(),3))&lt;&gt;"",getIBANchecksum(INDIRECT(ADDRESS(ROW(),3))),98)</f>
        <v>98</v>
      </c>
    </row>
    <row r="813" spans="1:13">
      <c r="A813" s="96">
        <f t="shared" si="13"/>
        <v>794</v>
      </c>
      <c r="B813" s="9"/>
      <c r="C813" s="28"/>
      <c r="D813" s="23"/>
      <c r="E813" s="93"/>
      <c r="F813" s="24"/>
      <c r="G813" s="130"/>
      <c r="H813" s="46"/>
      <c r="I813" s="131"/>
      <c r="J813" s="126"/>
      <c r="K813" s="121"/>
      <c r="L813" s="78"/>
      <c r="M813" s="72">
        <f ca="1">IF(INDIRECT(ADDRESS(ROW(),3))&lt;&gt;"",getIBANchecksum(INDIRECT(ADDRESS(ROW(),3))),98)</f>
        <v>98</v>
      </c>
    </row>
    <row r="814" spans="1:13">
      <c r="A814" s="96">
        <f t="shared" si="13"/>
        <v>795</v>
      </c>
      <c r="B814" s="9"/>
      <c r="C814" s="28"/>
      <c r="D814" s="23"/>
      <c r="E814" s="93"/>
      <c r="F814" s="24"/>
      <c r="G814" s="130"/>
      <c r="H814" s="46"/>
      <c r="I814" s="131"/>
      <c r="J814" s="126"/>
      <c r="K814" s="121"/>
      <c r="L814" s="78"/>
      <c r="M814" s="72">
        <f ca="1">IF(INDIRECT(ADDRESS(ROW(),3))&lt;&gt;"",getIBANchecksum(INDIRECT(ADDRESS(ROW(),3))),98)</f>
        <v>98</v>
      </c>
    </row>
    <row r="815" spans="1:13">
      <c r="A815" s="96">
        <f t="shared" si="13"/>
        <v>796</v>
      </c>
      <c r="B815" s="9"/>
      <c r="C815" s="28"/>
      <c r="D815" s="23"/>
      <c r="E815" s="93"/>
      <c r="F815" s="24"/>
      <c r="G815" s="130"/>
      <c r="H815" s="46"/>
      <c r="I815" s="131"/>
      <c r="J815" s="126"/>
      <c r="K815" s="121"/>
      <c r="L815" s="78"/>
      <c r="M815" s="72">
        <f ca="1">IF(INDIRECT(ADDRESS(ROW(),3))&lt;&gt;"",getIBANchecksum(INDIRECT(ADDRESS(ROW(),3))),98)</f>
        <v>98</v>
      </c>
    </row>
    <row r="816" spans="1:13">
      <c r="A816" s="96">
        <f t="shared" si="13"/>
        <v>797</v>
      </c>
      <c r="B816" s="9"/>
      <c r="C816" s="28"/>
      <c r="D816" s="23"/>
      <c r="E816" s="93"/>
      <c r="F816" s="24"/>
      <c r="G816" s="130"/>
      <c r="H816" s="46"/>
      <c r="I816" s="131"/>
      <c r="J816" s="126"/>
      <c r="K816" s="121"/>
      <c r="L816" s="78"/>
      <c r="M816" s="72">
        <f ca="1">IF(INDIRECT(ADDRESS(ROW(),3))&lt;&gt;"",getIBANchecksum(INDIRECT(ADDRESS(ROW(),3))),98)</f>
        <v>98</v>
      </c>
    </row>
    <row r="817" spans="1:13">
      <c r="A817" s="96">
        <f t="shared" si="13"/>
        <v>798</v>
      </c>
      <c r="B817" s="9"/>
      <c r="C817" s="28"/>
      <c r="D817" s="23"/>
      <c r="E817" s="93"/>
      <c r="F817" s="24"/>
      <c r="G817" s="130"/>
      <c r="H817" s="46"/>
      <c r="I817" s="131"/>
      <c r="J817" s="126"/>
      <c r="K817" s="121"/>
      <c r="L817" s="78"/>
      <c r="M817" s="72">
        <f ca="1">IF(INDIRECT(ADDRESS(ROW(),3))&lt;&gt;"",getIBANchecksum(INDIRECT(ADDRESS(ROW(),3))),98)</f>
        <v>98</v>
      </c>
    </row>
    <row r="818" spans="1:13">
      <c r="A818" s="96">
        <f t="shared" si="13"/>
        <v>799</v>
      </c>
      <c r="B818" s="9"/>
      <c r="C818" s="28"/>
      <c r="D818" s="23"/>
      <c r="E818" s="93"/>
      <c r="F818" s="24"/>
      <c r="G818" s="130"/>
      <c r="H818" s="46"/>
      <c r="I818" s="131"/>
      <c r="J818" s="126"/>
      <c r="K818" s="121"/>
      <c r="L818" s="78"/>
      <c r="M818" s="72">
        <f ca="1">IF(INDIRECT(ADDRESS(ROW(),3))&lt;&gt;"",getIBANchecksum(INDIRECT(ADDRESS(ROW(),3))),98)</f>
        <v>98</v>
      </c>
    </row>
    <row r="819" spans="1:13">
      <c r="A819" s="96">
        <f t="shared" si="13"/>
        <v>800</v>
      </c>
      <c r="B819" s="9"/>
      <c r="C819" s="28"/>
      <c r="D819" s="23"/>
      <c r="E819" s="93"/>
      <c r="F819" s="24"/>
      <c r="G819" s="130"/>
      <c r="H819" s="46"/>
      <c r="I819" s="131"/>
      <c r="J819" s="126"/>
      <c r="K819" s="121"/>
      <c r="L819" s="78"/>
      <c r="M819" s="72">
        <f ca="1">IF(INDIRECT(ADDRESS(ROW(),3))&lt;&gt;"",getIBANchecksum(INDIRECT(ADDRESS(ROW(),3))),98)</f>
        <v>98</v>
      </c>
    </row>
    <row r="820" spans="1:13">
      <c r="A820" s="96">
        <f t="shared" si="13"/>
        <v>801</v>
      </c>
      <c r="B820" s="9"/>
      <c r="C820" s="28"/>
      <c r="D820" s="23"/>
      <c r="E820" s="93"/>
      <c r="F820" s="24"/>
      <c r="G820" s="130"/>
      <c r="H820" s="46"/>
      <c r="I820" s="131"/>
      <c r="J820" s="126"/>
      <c r="K820" s="121"/>
      <c r="L820" s="78"/>
      <c r="M820" s="72">
        <f ca="1">IF(INDIRECT(ADDRESS(ROW(),3))&lt;&gt;"",getIBANchecksum(INDIRECT(ADDRESS(ROW(),3))),98)</f>
        <v>98</v>
      </c>
    </row>
    <row r="821" spans="1:13">
      <c r="A821" s="96">
        <f t="shared" si="13"/>
        <v>802</v>
      </c>
      <c r="B821" s="9"/>
      <c r="C821" s="28"/>
      <c r="D821" s="23"/>
      <c r="E821" s="93"/>
      <c r="F821" s="24"/>
      <c r="G821" s="130"/>
      <c r="H821" s="46"/>
      <c r="I821" s="131"/>
      <c r="J821" s="126"/>
      <c r="K821" s="121"/>
      <c r="L821" s="78"/>
      <c r="M821" s="72">
        <f ca="1">IF(INDIRECT(ADDRESS(ROW(),3))&lt;&gt;"",getIBANchecksum(INDIRECT(ADDRESS(ROW(),3))),98)</f>
        <v>98</v>
      </c>
    </row>
    <row r="822" spans="1:13">
      <c r="A822" s="96">
        <f t="shared" si="13"/>
        <v>803</v>
      </c>
      <c r="B822" s="9"/>
      <c r="C822" s="28"/>
      <c r="D822" s="23"/>
      <c r="E822" s="93"/>
      <c r="F822" s="24"/>
      <c r="G822" s="130"/>
      <c r="H822" s="46"/>
      <c r="I822" s="131"/>
      <c r="J822" s="126"/>
      <c r="K822" s="121"/>
      <c r="L822" s="78"/>
      <c r="M822" s="72">
        <f ca="1">IF(INDIRECT(ADDRESS(ROW(),3))&lt;&gt;"",getIBANchecksum(INDIRECT(ADDRESS(ROW(),3))),98)</f>
        <v>98</v>
      </c>
    </row>
    <row r="823" spans="1:13">
      <c r="A823" s="96">
        <f t="shared" si="13"/>
        <v>804</v>
      </c>
      <c r="B823" s="9"/>
      <c r="C823" s="28"/>
      <c r="D823" s="23"/>
      <c r="E823" s="93"/>
      <c r="F823" s="24"/>
      <c r="G823" s="130"/>
      <c r="H823" s="46"/>
      <c r="I823" s="131"/>
      <c r="J823" s="126"/>
      <c r="K823" s="121"/>
      <c r="L823" s="78"/>
      <c r="M823" s="72">
        <f ca="1">IF(INDIRECT(ADDRESS(ROW(),3))&lt;&gt;"",getIBANchecksum(INDIRECT(ADDRESS(ROW(),3))),98)</f>
        <v>98</v>
      </c>
    </row>
    <row r="824" spans="1:13">
      <c r="A824" s="96">
        <f t="shared" si="13"/>
        <v>805</v>
      </c>
      <c r="B824" s="9"/>
      <c r="C824" s="28"/>
      <c r="D824" s="23"/>
      <c r="E824" s="93"/>
      <c r="F824" s="24"/>
      <c r="G824" s="130"/>
      <c r="H824" s="46"/>
      <c r="I824" s="131"/>
      <c r="J824" s="126"/>
      <c r="K824" s="121"/>
      <c r="L824" s="78"/>
      <c r="M824" s="72">
        <f ca="1">IF(INDIRECT(ADDRESS(ROW(),3))&lt;&gt;"",getIBANchecksum(INDIRECT(ADDRESS(ROW(),3))),98)</f>
        <v>98</v>
      </c>
    </row>
    <row r="825" spans="1:13">
      <c r="A825" s="96">
        <f t="shared" si="13"/>
        <v>806</v>
      </c>
      <c r="B825" s="9"/>
      <c r="C825" s="28"/>
      <c r="D825" s="23"/>
      <c r="E825" s="93"/>
      <c r="F825" s="24"/>
      <c r="G825" s="130"/>
      <c r="H825" s="46"/>
      <c r="I825" s="131"/>
      <c r="J825" s="126"/>
      <c r="K825" s="121"/>
      <c r="L825" s="78"/>
      <c r="M825" s="72">
        <f ca="1">IF(INDIRECT(ADDRESS(ROW(),3))&lt;&gt;"",getIBANchecksum(INDIRECT(ADDRESS(ROW(),3))),98)</f>
        <v>98</v>
      </c>
    </row>
    <row r="826" spans="1:13">
      <c r="A826" s="96">
        <f t="shared" si="13"/>
        <v>807</v>
      </c>
      <c r="B826" s="9"/>
      <c r="C826" s="28"/>
      <c r="D826" s="23"/>
      <c r="E826" s="93"/>
      <c r="F826" s="24"/>
      <c r="G826" s="130"/>
      <c r="H826" s="46"/>
      <c r="I826" s="131"/>
      <c r="J826" s="126"/>
      <c r="K826" s="121"/>
      <c r="L826" s="78"/>
      <c r="M826" s="72">
        <f ca="1">IF(INDIRECT(ADDRESS(ROW(),3))&lt;&gt;"",getIBANchecksum(INDIRECT(ADDRESS(ROW(),3))),98)</f>
        <v>98</v>
      </c>
    </row>
    <row r="827" spans="1:13">
      <c r="A827" s="96">
        <f t="shared" si="13"/>
        <v>808</v>
      </c>
      <c r="B827" s="9"/>
      <c r="C827" s="28"/>
      <c r="D827" s="23"/>
      <c r="E827" s="93"/>
      <c r="F827" s="24"/>
      <c r="G827" s="130"/>
      <c r="H827" s="46"/>
      <c r="I827" s="131"/>
      <c r="J827" s="126"/>
      <c r="K827" s="121"/>
      <c r="L827" s="78"/>
      <c r="M827" s="72">
        <f ca="1">IF(INDIRECT(ADDRESS(ROW(),3))&lt;&gt;"",getIBANchecksum(INDIRECT(ADDRESS(ROW(),3))),98)</f>
        <v>98</v>
      </c>
    </row>
    <row r="828" spans="1:13">
      <c r="A828" s="96">
        <f t="shared" si="13"/>
        <v>809</v>
      </c>
      <c r="B828" s="9"/>
      <c r="C828" s="28"/>
      <c r="D828" s="23"/>
      <c r="E828" s="93"/>
      <c r="F828" s="24"/>
      <c r="G828" s="130"/>
      <c r="H828" s="46"/>
      <c r="I828" s="131"/>
      <c r="J828" s="126"/>
      <c r="K828" s="121"/>
      <c r="L828" s="78"/>
      <c r="M828" s="72">
        <f ca="1">IF(INDIRECT(ADDRESS(ROW(),3))&lt;&gt;"",getIBANchecksum(INDIRECT(ADDRESS(ROW(),3))),98)</f>
        <v>98</v>
      </c>
    </row>
    <row r="829" spans="1:13">
      <c r="A829" s="96">
        <f t="shared" si="13"/>
        <v>810</v>
      </c>
      <c r="B829" s="9"/>
      <c r="C829" s="28"/>
      <c r="D829" s="23"/>
      <c r="E829" s="93"/>
      <c r="F829" s="24"/>
      <c r="G829" s="130"/>
      <c r="H829" s="46"/>
      <c r="I829" s="131"/>
      <c r="J829" s="126"/>
      <c r="K829" s="121"/>
      <c r="L829" s="78"/>
      <c r="M829" s="72">
        <f ca="1">IF(INDIRECT(ADDRESS(ROW(),3))&lt;&gt;"",getIBANchecksum(INDIRECT(ADDRESS(ROW(),3))),98)</f>
        <v>98</v>
      </c>
    </row>
    <row r="830" spans="1:13">
      <c r="A830" s="96">
        <f t="shared" si="13"/>
        <v>811</v>
      </c>
      <c r="B830" s="9"/>
      <c r="C830" s="28"/>
      <c r="D830" s="23"/>
      <c r="E830" s="93"/>
      <c r="F830" s="24"/>
      <c r="G830" s="130"/>
      <c r="H830" s="46"/>
      <c r="I830" s="131"/>
      <c r="J830" s="126"/>
      <c r="K830" s="121"/>
      <c r="L830" s="78"/>
      <c r="M830" s="72">
        <f ca="1">IF(INDIRECT(ADDRESS(ROW(),3))&lt;&gt;"",getIBANchecksum(INDIRECT(ADDRESS(ROW(),3))),98)</f>
        <v>98</v>
      </c>
    </row>
    <row r="831" spans="1:13">
      <c r="A831" s="96">
        <f t="shared" si="13"/>
        <v>812</v>
      </c>
      <c r="B831" s="9"/>
      <c r="C831" s="28"/>
      <c r="D831" s="23"/>
      <c r="E831" s="93"/>
      <c r="F831" s="24"/>
      <c r="G831" s="130"/>
      <c r="H831" s="46"/>
      <c r="I831" s="131"/>
      <c r="J831" s="126"/>
      <c r="K831" s="121"/>
      <c r="L831" s="78"/>
      <c r="M831" s="72">
        <f ca="1">IF(INDIRECT(ADDRESS(ROW(),3))&lt;&gt;"",getIBANchecksum(INDIRECT(ADDRESS(ROW(),3))),98)</f>
        <v>98</v>
      </c>
    </row>
    <row r="832" spans="1:13">
      <c r="A832" s="96">
        <f t="shared" si="13"/>
        <v>813</v>
      </c>
      <c r="B832" s="9"/>
      <c r="C832" s="28"/>
      <c r="D832" s="23"/>
      <c r="E832" s="93"/>
      <c r="F832" s="24"/>
      <c r="G832" s="130"/>
      <c r="H832" s="46"/>
      <c r="I832" s="131"/>
      <c r="J832" s="126"/>
      <c r="K832" s="121"/>
      <c r="L832" s="78"/>
      <c r="M832" s="72">
        <f ca="1">IF(INDIRECT(ADDRESS(ROW(),3))&lt;&gt;"",getIBANchecksum(INDIRECT(ADDRESS(ROW(),3))),98)</f>
        <v>98</v>
      </c>
    </row>
    <row r="833" spans="1:13">
      <c r="A833" s="96">
        <f t="shared" si="13"/>
        <v>814</v>
      </c>
      <c r="B833" s="9"/>
      <c r="C833" s="28"/>
      <c r="D833" s="23"/>
      <c r="E833" s="93"/>
      <c r="F833" s="24"/>
      <c r="G833" s="130"/>
      <c r="H833" s="46"/>
      <c r="I833" s="131"/>
      <c r="J833" s="126"/>
      <c r="K833" s="121"/>
      <c r="L833" s="78"/>
      <c r="M833" s="72">
        <f ca="1">IF(INDIRECT(ADDRESS(ROW(),3))&lt;&gt;"",getIBANchecksum(INDIRECT(ADDRESS(ROW(),3))),98)</f>
        <v>98</v>
      </c>
    </row>
    <row r="834" spans="1:13">
      <c r="A834" s="96">
        <f t="shared" si="13"/>
        <v>815</v>
      </c>
      <c r="B834" s="9"/>
      <c r="C834" s="28"/>
      <c r="D834" s="23"/>
      <c r="E834" s="93"/>
      <c r="F834" s="24"/>
      <c r="G834" s="130"/>
      <c r="H834" s="46"/>
      <c r="I834" s="131"/>
      <c r="J834" s="126"/>
      <c r="K834" s="121"/>
      <c r="L834" s="78"/>
      <c r="M834" s="72">
        <f ca="1">IF(INDIRECT(ADDRESS(ROW(),3))&lt;&gt;"",getIBANchecksum(INDIRECT(ADDRESS(ROW(),3))),98)</f>
        <v>98</v>
      </c>
    </row>
    <row r="835" spans="1:13">
      <c r="A835" s="96">
        <f t="shared" si="13"/>
        <v>816</v>
      </c>
      <c r="B835" s="9"/>
      <c r="C835" s="28"/>
      <c r="D835" s="23"/>
      <c r="E835" s="93"/>
      <c r="F835" s="24"/>
      <c r="G835" s="130"/>
      <c r="H835" s="46"/>
      <c r="I835" s="131"/>
      <c r="J835" s="126"/>
      <c r="K835" s="121"/>
      <c r="L835" s="78"/>
      <c r="M835" s="72">
        <f ca="1">IF(INDIRECT(ADDRESS(ROW(),3))&lt;&gt;"",getIBANchecksum(INDIRECT(ADDRESS(ROW(),3))),98)</f>
        <v>98</v>
      </c>
    </row>
    <row r="836" spans="1:13">
      <c r="A836" s="96">
        <f t="shared" si="13"/>
        <v>817</v>
      </c>
      <c r="B836" s="9"/>
      <c r="C836" s="28"/>
      <c r="D836" s="23"/>
      <c r="E836" s="93"/>
      <c r="F836" s="24"/>
      <c r="G836" s="130"/>
      <c r="H836" s="46"/>
      <c r="I836" s="131"/>
      <c r="J836" s="126"/>
      <c r="K836" s="121"/>
      <c r="L836" s="78"/>
      <c r="M836" s="72">
        <f ca="1">IF(INDIRECT(ADDRESS(ROW(),3))&lt;&gt;"",getIBANchecksum(INDIRECT(ADDRESS(ROW(),3))),98)</f>
        <v>98</v>
      </c>
    </row>
    <row r="837" spans="1:13">
      <c r="A837" s="96">
        <f t="shared" si="13"/>
        <v>818</v>
      </c>
      <c r="B837" s="9"/>
      <c r="C837" s="28"/>
      <c r="D837" s="23"/>
      <c r="E837" s="93"/>
      <c r="F837" s="24"/>
      <c r="G837" s="130"/>
      <c r="H837" s="46"/>
      <c r="I837" s="131"/>
      <c r="J837" s="126"/>
      <c r="K837" s="121"/>
      <c r="L837" s="78"/>
      <c r="M837" s="72">
        <f ca="1">IF(INDIRECT(ADDRESS(ROW(),3))&lt;&gt;"",getIBANchecksum(INDIRECT(ADDRESS(ROW(),3))),98)</f>
        <v>98</v>
      </c>
    </row>
    <row r="838" spans="1:13">
      <c r="A838" s="96">
        <f t="shared" si="13"/>
        <v>819</v>
      </c>
      <c r="B838" s="9"/>
      <c r="C838" s="28"/>
      <c r="D838" s="23"/>
      <c r="E838" s="93"/>
      <c r="F838" s="24"/>
      <c r="G838" s="130"/>
      <c r="H838" s="46"/>
      <c r="I838" s="131"/>
      <c r="J838" s="126"/>
      <c r="K838" s="121"/>
      <c r="L838" s="78"/>
      <c r="M838" s="72">
        <f ca="1">IF(INDIRECT(ADDRESS(ROW(),3))&lt;&gt;"",getIBANchecksum(INDIRECT(ADDRESS(ROW(),3))),98)</f>
        <v>98</v>
      </c>
    </row>
    <row r="839" spans="1:13">
      <c r="A839" s="96">
        <f t="shared" si="13"/>
        <v>820</v>
      </c>
      <c r="B839" s="9"/>
      <c r="C839" s="28"/>
      <c r="D839" s="23"/>
      <c r="E839" s="93"/>
      <c r="F839" s="24"/>
      <c r="G839" s="130"/>
      <c r="H839" s="46"/>
      <c r="I839" s="131"/>
      <c r="J839" s="126"/>
      <c r="K839" s="121"/>
      <c r="L839" s="78"/>
      <c r="M839" s="72">
        <f ca="1">IF(INDIRECT(ADDRESS(ROW(),3))&lt;&gt;"",getIBANchecksum(INDIRECT(ADDRESS(ROW(),3))),98)</f>
        <v>98</v>
      </c>
    </row>
    <row r="840" spans="1:13">
      <c r="A840" s="96">
        <f t="shared" si="13"/>
        <v>821</v>
      </c>
      <c r="B840" s="9"/>
      <c r="C840" s="28"/>
      <c r="D840" s="23"/>
      <c r="E840" s="93"/>
      <c r="F840" s="24"/>
      <c r="G840" s="130"/>
      <c r="H840" s="46"/>
      <c r="I840" s="131"/>
      <c r="J840" s="126"/>
      <c r="K840" s="121"/>
      <c r="L840" s="78"/>
      <c r="M840" s="72">
        <f ca="1">IF(INDIRECT(ADDRESS(ROW(),3))&lt;&gt;"",getIBANchecksum(INDIRECT(ADDRESS(ROW(),3))),98)</f>
        <v>98</v>
      </c>
    </row>
    <row r="841" spans="1:13">
      <c r="A841" s="96">
        <f t="shared" si="13"/>
        <v>822</v>
      </c>
      <c r="B841" s="9"/>
      <c r="C841" s="28"/>
      <c r="D841" s="23"/>
      <c r="E841" s="93"/>
      <c r="F841" s="24"/>
      <c r="G841" s="130"/>
      <c r="H841" s="46"/>
      <c r="I841" s="131"/>
      <c r="J841" s="126"/>
      <c r="K841" s="121"/>
      <c r="L841" s="78"/>
      <c r="M841" s="72">
        <f ca="1">IF(INDIRECT(ADDRESS(ROW(),3))&lt;&gt;"",getIBANchecksum(INDIRECT(ADDRESS(ROW(),3))),98)</f>
        <v>98</v>
      </c>
    </row>
    <row r="842" spans="1:13">
      <c r="A842" s="96">
        <f t="shared" si="13"/>
        <v>823</v>
      </c>
      <c r="B842" s="9"/>
      <c r="C842" s="28"/>
      <c r="D842" s="23"/>
      <c r="E842" s="93"/>
      <c r="F842" s="24"/>
      <c r="G842" s="130"/>
      <c r="H842" s="46"/>
      <c r="I842" s="131"/>
      <c r="J842" s="126"/>
      <c r="K842" s="121"/>
      <c r="L842" s="78"/>
      <c r="M842" s="72">
        <f ca="1">IF(INDIRECT(ADDRESS(ROW(),3))&lt;&gt;"",getIBANchecksum(INDIRECT(ADDRESS(ROW(),3))),98)</f>
        <v>98</v>
      </c>
    </row>
    <row r="843" spans="1:13">
      <c r="A843" s="96">
        <f t="shared" si="13"/>
        <v>824</v>
      </c>
      <c r="B843" s="9"/>
      <c r="C843" s="28"/>
      <c r="D843" s="23"/>
      <c r="E843" s="93"/>
      <c r="F843" s="24"/>
      <c r="G843" s="130"/>
      <c r="H843" s="46"/>
      <c r="I843" s="131"/>
      <c r="J843" s="126"/>
      <c r="K843" s="121"/>
      <c r="L843" s="78"/>
      <c r="M843" s="72">
        <f ca="1">IF(INDIRECT(ADDRESS(ROW(),3))&lt;&gt;"",getIBANchecksum(INDIRECT(ADDRESS(ROW(),3))),98)</f>
        <v>98</v>
      </c>
    </row>
    <row r="844" spans="1:13">
      <c r="A844" s="96">
        <f t="shared" si="13"/>
        <v>825</v>
      </c>
      <c r="B844" s="9"/>
      <c r="C844" s="28"/>
      <c r="D844" s="23"/>
      <c r="E844" s="93"/>
      <c r="F844" s="24"/>
      <c r="G844" s="130"/>
      <c r="H844" s="46"/>
      <c r="I844" s="131"/>
      <c r="J844" s="126"/>
      <c r="K844" s="121"/>
      <c r="L844" s="78"/>
      <c r="M844" s="72">
        <f ca="1">IF(INDIRECT(ADDRESS(ROW(),3))&lt;&gt;"",getIBANchecksum(INDIRECT(ADDRESS(ROW(),3))),98)</f>
        <v>98</v>
      </c>
    </row>
    <row r="845" spans="1:13">
      <c r="A845" s="96">
        <f t="shared" si="13"/>
        <v>826</v>
      </c>
      <c r="B845" s="9"/>
      <c r="C845" s="28"/>
      <c r="D845" s="23"/>
      <c r="E845" s="93"/>
      <c r="F845" s="24"/>
      <c r="G845" s="130"/>
      <c r="H845" s="46"/>
      <c r="I845" s="131"/>
      <c r="J845" s="126"/>
      <c r="K845" s="121"/>
      <c r="L845" s="78"/>
      <c r="M845" s="72">
        <f ca="1">IF(INDIRECT(ADDRESS(ROW(),3))&lt;&gt;"",getIBANchecksum(INDIRECT(ADDRESS(ROW(),3))),98)</f>
        <v>98</v>
      </c>
    </row>
    <row r="846" spans="1:13">
      <c r="A846" s="96">
        <f t="shared" si="13"/>
        <v>827</v>
      </c>
      <c r="B846" s="9"/>
      <c r="C846" s="28"/>
      <c r="D846" s="23"/>
      <c r="E846" s="93"/>
      <c r="F846" s="24"/>
      <c r="G846" s="130"/>
      <c r="H846" s="46"/>
      <c r="I846" s="131"/>
      <c r="J846" s="126"/>
      <c r="K846" s="121"/>
      <c r="L846" s="78"/>
      <c r="M846" s="72">
        <f ca="1">IF(INDIRECT(ADDRESS(ROW(),3))&lt;&gt;"",getIBANchecksum(INDIRECT(ADDRESS(ROW(),3))),98)</f>
        <v>98</v>
      </c>
    </row>
    <row r="847" spans="1:13">
      <c r="A847" s="96">
        <f t="shared" si="13"/>
        <v>828</v>
      </c>
      <c r="B847" s="9"/>
      <c r="C847" s="28"/>
      <c r="D847" s="23"/>
      <c r="E847" s="93"/>
      <c r="F847" s="24"/>
      <c r="G847" s="130"/>
      <c r="H847" s="46"/>
      <c r="I847" s="131"/>
      <c r="J847" s="126"/>
      <c r="K847" s="121"/>
      <c r="L847" s="78"/>
      <c r="M847" s="72">
        <f ca="1">IF(INDIRECT(ADDRESS(ROW(),3))&lt;&gt;"",getIBANchecksum(INDIRECT(ADDRESS(ROW(),3))),98)</f>
        <v>98</v>
      </c>
    </row>
    <row r="848" spans="1:13">
      <c r="A848" s="96">
        <f t="shared" si="13"/>
        <v>829</v>
      </c>
      <c r="B848" s="9"/>
      <c r="C848" s="28"/>
      <c r="D848" s="23"/>
      <c r="E848" s="93"/>
      <c r="F848" s="24"/>
      <c r="G848" s="130"/>
      <c r="H848" s="46"/>
      <c r="I848" s="131"/>
      <c r="J848" s="126"/>
      <c r="K848" s="121"/>
      <c r="L848" s="78"/>
      <c r="M848" s="72">
        <f ca="1">IF(INDIRECT(ADDRESS(ROW(),3))&lt;&gt;"",getIBANchecksum(INDIRECT(ADDRESS(ROW(),3))),98)</f>
        <v>98</v>
      </c>
    </row>
    <row r="849" spans="1:13">
      <c r="A849" s="96">
        <f t="shared" si="13"/>
        <v>830</v>
      </c>
      <c r="B849" s="9"/>
      <c r="C849" s="28"/>
      <c r="D849" s="23"/>
      <c r="E849" s="93"/>
      <c r="F849" s="24"/>
      <c r="G849" s="130"/>
      <c r="H849" s="46"/>
      <c r="I849" s="131"/>
      <c r="J849" s="126"/>
      <c r="K849" s="121"/>
      <c r="L849" s="78"/>
      <c r="M849" s="72">
        <f ca="1">IF(INDIRECT(ADDRESS(ROW(),3))&lt;&gt;"",getIBANchecksum(INDIRECT(ADDRESS(ROW(),3))),98)</f>
        <v>98</v>
      </c>
    </row>
    <row r="850" spans="1:13">
      <c r="A850" s="96">
        <f t="shared" si="13"/>
        <v>831</v>
      </c>
      <c r="B850" s="9"/>
      <c r="C850" s="28"/>
      <c r="D850" s="23"/>
      <c r="E850" s="93"/>
      <c r="F850" s="24"/>
      <c r="G850" s="130"/>
      <c r="H850" s="46"/>
      <c r="I850" s="131"/>
      <c r="J850" s="126"/>
      <c r="K850" s="121"/>
      <c r="L850" s="78"/>
      <c r="M850" s="72">
        <f ca="1">IF(INDIRECT(ADDRESS(ROW(),3))&lt;&gt;"",getIBANchecksum(INDIRECT(ADDRESS(ROW(),3))),98)</f>
        <v>98</v>
      </c>
    </row>
    <row r="851" spans="1:13">
      <c r="A851" s="96">
        <f t="shared" si="13"/>
        <v>832</v>
      </c>
      <c r="B851" s="9"/>
      <c r="C851" s="28"/>
      <c r="D851" s="23"/>
      <c r="E851" s="93"/>
      <c r="F851" s="24"/>
      <c r="G851" s="130"/>
      <c r="H851" s="46"/>
      <c r="I851" s="131"/>
      <c r="J851" s="126"/>
      <c r="K851" s="121"/>
      <c r="L851" s="78"/>
      <c r="M851" s="72">
        <f ca="1">IF(INDIRECT(ADDRESS(ROW(),3))&lt;&gt;"",getIBANchecksum(INDIRECT(ADDRESS(ROW(),3))),98)</f>
        <v>98</v>
      </c>
    </row>
    <row r="852" spans="1:13">
      <c r="A852" s="96">
        <f t="shared" si="13"/>
        <v>833</v>
      </c>
      <c r="B852" s="9"/>
      <c r="C852" s="28"/>
      <c r="D852" s="23"/>
      <c r="E852" s="93"/>
      <c r="F852" s="24"/>
      <c r="G852" s="130"/>
      <c r="H852" s="46"/>
      <c r="I852" s="131"/>
      <c r="J852" s="126"/>
      <c r="K852" s="121"/>
      <c r="L852" s="78"/>
      <c r="M852" s="72">
        <f ca="1">IF(INDIRECT(ADDRESS(ROW(),3))&lt;&gt;"",getIBANchecksum(INDIRECT(ADDRESS(ROW(),3))),98)</f>
        <v>98</v>
      </c>
    </row>
    <row r="853" spans="1:13">
      <c r="A853" s="96">
        <f t="shared" si="13"/>
        <v>834</v>
      </c>
      <c r="B853" s="9"/>
      <c r="C853" s="28"/>
      <c r="D853" s="23"/>
      <c r="E853" s="93"/>
      <c r="F853" s="24"/>
      <c r="G853" s="130"/>
      <c r="H853" s="46"/>
      <c r="I853" s="131"/>
      <c r="J853" s="126"/>
      <c r="K853" s="121"/>
      <c r="L853" s="78"/>
      <c r="M853" s="72">
        <f ca="1">IF(INDIRECT(ADDRESS(ROW(),3))&lt;&gt;"",getIBANchecksum(INDIRECT(ADDRESS(ROW(),3))),98)</f>
        <v>98</v>
      </c>
    </row>
    <row r="854" spans="1:13">
      <c r="A854" s="96">
        <f t="shared" ref="A854:A917" si="14">A853+1</f>
        <v>835</v>
      </c>
      <c r="B854" s="9"/>
      <c r="C854" s="28"/>
      <c r="D854" s="23"/>
      <c r="E854" s="93"/>
      <c r="F854" s="24"/>
      <c r="G854" s="130"/>
      <c r="H854" s="46"/>
      <c r="I854" s="131"/>
      <c r="J854" s="126"/>
      <c r="K854" s="121"/>
      <c r="L854" s="78"/>
      <c r="M854" s="72">
        <f ca="1">IF(INDIRECT(ADDRESS(ROW(),3))&lt;&gt;"",getIBANchecksum(INDIRECT(ADDRESS(ROW(),3))),98)</f>
        <v>98</v>
      </c>
    </row>
    <row r="855" spans="1:13">
      <c r="A855" s="96">
        <f t="shared" si="14"/>
        <v>836</v>
      </c>
      <c r="B855" s="9"/>
      <c r="C855" s="28"/>
      <c r="D855" s="23"/>
      <c r="E855" s="93"/>
      <c r="F855" s="24"/>
      <c r="G855" s="130"/>
      <c r="H855" s="46"/>
      <c r="I855" s="131"/>
      <c r="J855" s="126"/>
      <c r="K855" s="121"/>
      <c r="L855" s="78"/>
      <c r="M855" s="72">
        <f ca="1">IF(INDIRECT(ADDRESS(ROW(),3))&lt;&gt;"",getIBANchecksum(INDIRECT(ADDRESS(ROW(),3))),98)</f>
        <v>98</v>
      </c>
    </row>
    <row r="856" spans="1:13">
      <c r="A856" s="96">
        <f t="shared" si="14"/>
        <v>837</v>
      </c>
      <c r="B856" s="9"/>
      <c r="C856" s="28"/>
      <c r="D856" s="23"/>
      <c r="E856" s="93"/>
      <c r="F856" s="24"/>
      <c r="G856" s="130"/>
      <c r="H856" s="46"/>
      <c r="I856" s="131"/>
      <c r="J856" s="126"/>
      <c r="K856" s="121"/>
      <c r="L856" s="78"/>
      <c r="M856" s="72">
        <f ca="1">IF(INDIRECT(ADDRESS(ROW(),3))&lt;&gt;"",getIBANchecksum(INDIRECT(ADDRESS(ROW(),3))),98)</f>
        <v>98</v>
      </c>
    </row>
    <row r="857" spans="1:13">
      <c r="A857" s="96">
        <f t="shared" si="14"/>
        <v>838</v>
      </c>
      <c r="B857" s="9"/>
      <c r="C857" s="28"/>
      <c r="D857" s="23"/>
      <c r="E857" s="93"/>
      <c r="F857" s="24"/>
      <c r="G857" s="130"/>
      <c r="H857" s="46"/>
      <c r="I857" s="131"/>
      <c r="J857" s="126"/>
      <c r="K857" s="121"/>
      <c r="L857" s="78"/>
      <c r="M857" s="72">
        <f ca="1">IF(INDIRECT(ADDRESS(ROW(),3))&lt;&gt;"",getIBANchecksum(INDIRECT(ADDRESS(ROW(),3))),98)</f>
        <v>98</v>
      </c>
    </row>
    <row r="858" spans="1:13">
      <c r="A858" s="96">
        <f t="shared" si="14"/>
        <v>839</v>
      </c>
      <c r="B858" s="9"/>
      <c r="C858" s="28"/>
      <c r="D858" s="23"/>
      <c r="E858" s="93"/>
      <c r="F858" s="24"/>
      <c r="G858" s="130"/>
      <c r="H858" s="46"/>
      <c r="I858" s="131"/>
      <c r="J858" s="126"/>
      <c r="K858" s="121"/>
      <c r="L858" s="78"/>
      <c r="M858" s="72">
        <f ca="1">IF(INDIRECT(ADDRESS(ROW(),3))&lt;&gt;"",getIBANchecksum(INDIRECT(ADDRESS(ROW(),3))),98)</f>
        <v>98</v>
      </c>
    </row>
    <row r="859" spans="1:13">
      <c r="A859" s="96">
        <f t="shared" si="14"/>
        <v>840</v>
      </c>
      <c r="B859" s="9"/>
      <c r="C859" s="28"/>
      <c r="D859" s="23"/>
      <c r="E859" s="93"/>
      <c r="F859" s="24"/>
      <c r="G859" s="130"/>
      <c r="H859" s="46"/>
      <c r="I859" s="131"/>
      <c r="J859" s="126"/>
      <c r="K859" s="121"/>
      <c r="L859" s="78"/>
      <c r="M859" s="72">
        <f ca="1">IF(INDIRECT(ADDRESS(ROW(),3))&lt;&gt;"",getIBANchecksum(INDIRECT(ADDRESS(ROW(),3))),98)</f>
        <v>98</v>
      </c>
    </row>
    <row r="860" spans="1:13">
      <c r="A860" s="96">
        <f t="shared" si="14"/>
        <v>841</v>
      </c>
      <c r="B860" s="9"/>
      <c r="C860" s="28"/>
      <c r="D860" s="23"/>
      <c r="E860" s="93"/>
      <c r="F860" s="24"/>
      <c r="G860" s="130"/>
      <c r="H860" s="46"/>
      <c r="I860" s="131"/>
      <c r="J860" s="126"/>
      <c r="K860" s="121"/>
      <c r="L860" s="78"/>
      <c r="M860" s="72">
        <f ca="1">IF(INDIRECT(ADDRESS(ROW(),3))&lt;&gt;"",getIBANchecksum(INDIRECT(ADDRESS(ROW(),3))),98)</f>
        <v>98</v>
      </c>
    </row>
    <row r="861" spans="1:13">
      <c r="A861" s="96">
        <f t="shared" si="14"/>
        <v>842</v>
      </c>
      <c r="B861" s="9"/>
      <c r="C861" s="28"/>
      <c r="D861" s="23"/>
      <c r="E861" s="93"/>
      <c r="F861" s="24"/>
      <c r="G861" s="130"/>
      <c r="H861" s="46"/>
      <c r="I861" s="131"/>
      <c r="J861" s="126"/>
      <c r="K861" s="121"/>
      <c r="L861" s="78"/>
      <c r="M861" s="72">
        <f ca="1">IF(INDIRECT(ADDRESS(ROW(),3))&lt;&gt;"",getIBANchecksum(INDIRECT(ADDRESS(ROW(),3))),98)</f>
        <v>98</v>
      </c>
    </row>
    <row r="862" spans="1:13">
      <c r="A862" s="96">
        <f t="shared" si="14"/>
        <v>843</v>
      </c>
      <c r="B862" s="9"/>
      <c r="C862" s="28"/>
      <c r="D862" s="23"/>
      <c r="E862" s="93"/>
      <c r="F862" s="24"/>
      <c r="G862" s="130"/>
      <c r="H862" s="46"/>
      <c r="I862" s="131"/>
      <c r="J862" s="126"/>
      <c r="K862" s="121"/>
      <c r="L862" s="78"/>
      <c r="M862" s="72">
        <f ca="1">IF(INDIRECT(ADDRESS(ROW(),3))&lt;&gt;"",getIBANchecksum(INDIRECT(ADDRESS(ROW(),3))),98)</f>
        <v>98</v>
      </c>
    </row>
    <row r="863" spans="1:13">
      <c r="A863" s="96">
        <f t="shared" si="14"/>
        <v>844</v>
      </c>
      <c r="B863" s="9"/>
      <c r="C863" s="28"/>
      <c r="D863" s="23"/>
      <c r="E863" s="93"/>
      <c r="F863" s="24"/>
      <c r="G863" s="130"/>
      <c r="H863" s="46"/>
      <c r="I863" s="131"/>
      <c r="J863" s="126"/>
      <c r="K863" s="121"/>
      <c r="L863" s="78"/>
      <c r="M863" s="72">
        <f ca="1">IF(INDIRECT(ADDRESS(ROW(),3))&lt;&gt;"",getIBANchecksum(INDIRECT(ADDRESS(ROW(),3))),98)</f>
        <v>98</v>
      </c>
    </row>
    <row r="864" spans="1:13">
      <c r="A864" s="96">
        <f t="shared" si="14"/>
        <v>845</v>
      </c>
      <c r="B864" s="9"/>
      <c r="C864" s="28"/>
      <c r="D864" s="23"/>
      <c r="E864" s="93"/>
      <c r="F864" s="24"/>
      <c r="G864" s="130"/>
      <c r="H864" s="46"/>
      <c r="I864" s="131"/>
      <c r="J864" s="126"/>
      <c r="K864" s="121"/>
      <c r="L864" s="78"/>
      <c r="M864" s="72">
        <f ca="1">IF(INDIRECT(ADDRESS(ROW(),3))&lt;&gt;"",getIBANchecksum(INDIRECT(ADDRESS(ROW(),3))),98)</f>
        <v>98</v>
      </c>
    </row>
    <row r="865" spans="1:13">
      <c r="A865" s="96">
        <f t="shared" si="14"/>
        <v>846</v>
      </c>
      <c r="B865" s="9"/>
      <c r="C865" s="28"/>
      <c r="D865" s="23"/>
      <c r="E865" s="93"/>
      <c r="F865" s="24"/>
      <c r="G865" s="130"/>
      <c r="H865" s="46"/>
      <c r="I865" s="131"/>
      <c r="J865" s="126"/>
      <c r="K865" s="121"/>
      <c r="L865" s="78"/>
      <c r="M865" s="72">
        <f ca="1">IF(INDIRECT(ADDRESS(ROW(),3))&lt;&gt;"",getIBANchecksum(INDIRECT(ADDRESS(ROW(),3))),98)</f>
        <v>98</v>
      </c>
    </row>
    <row r="866" spans="1:13">
      <c r="A866" s="96">
        <f t="shared" si="14"/>
        <v>847</v>
      </c>
      <c r="B866" s="9"/>
      <c r="C866" s="28"/>
      <c r="D866" s="23"/>
      <c r="E866" s="93"/>
      <c r="F866" s="24"/>
      <c r="G866" s="130"/>
      <c r="H866" s="46"/>
      <c r="I866" s="131"/>
      <c r="J866" s="126"/>
      <c r="K866" s="121"/>
      <c r="L866" s="78"/>
      <c r="M866" s="72">
        <f ca="1">IF(INDIRECT(ADDRESS(ROW(),3))&lt;&gt;"",getIBANchecksum(INDIRECT(ADDRESS(ROW(),3))),98)</f>
        <v>98</v>
      </c>
    </row>
    <row r="867" spans="1:13">
      <c r="A867" s="96">
        <f t="shared" si="14"/>
        <v>848</v>
      </c>
      <c r="B867" s="9"/>
      <c r="C867" s="28"/>
      <c r="D867" s="23"/>
      <c r="E867" s="93"/>
      <c r="F867" s="24"/>
      <c r="G867" s="130"/>
      <c r="H867" s="46"/>
      <c r="I867" s="131"/>
      <c r="J867" s="126"/>
      <c r="K867" s="121"/>
      <c r="L867" s="78"/>
      <c r="M867" s="72">
        <f ca="1">IF(INDIRECT(ADDRESS(ROW(),3))&lt;&gt;"",getIBANchecksum(INDIRECT(ADDRESS(ROW(),3))),98)</f>
        <v>98</v>
      </c>
    </row>
    <row r="868" spans="1:13">
      <c r="A868" s="96">
        <f t="shared" si="14"/>
        <v>849</v>
      </c>
      <c r="B868" s="9"/>
      <c r="C868" s="28"/>
      <c r="D868" s="23"/>
      <c r="E868" s="93"/>
      <c r="F868" s="24"/>
      <c r="G868" s="130"/>
      <c r="H868" s="46"/>
      <c r="I868" s="131"/>
      <c r="J868" s="126"/>
      <c r="K868" s="121"/>
      <c r="L868" s="78"/>
      <c r="M868" s="72">
        <f ca="1">IF(INDIRECT(ADDRESS(ROW(),3))&lt;&gt;"",getIBANchecksum(INDIRECT(ADDRESS(ROW(),3))),98)</f>
        <v>98</v>
      </c>
    </row>
    <row r="869" spans="1:13">
      <c r="A869" s="96">
        <f t="shared" si="14"/>
        <v>850</v>
      </c>
      <c r="B869" s="9"/>
      <c r="C869" s="28"/>
      <c r="D869" s="23"/>
      <c r="E869" s="93"/>
      <c r="F869" s="24"/>
      <c r="G869" s="130"/>
      <c r="H869" s="46"/>
      <c r="I869" s="131"/>
      <c r="J869" s="126"/>
      <c r="K869" s="121"/>
      <c r="L869" s="78"/>
      <c r="M869" s="72">
        <f ca="1">IF(INDIRECT(ADDRESS(ROW(),3))&lt;&gt;"",getIBANchecksum(INDIRECT(ADDRESS(ROW(),3))),98)</f>
        <v>98</v>
      </c>
    </row>
    <row r="870" spans="1:13">
      <c r="A870" s="96">
        <f t="shared" si="14"/>
        <v>851</v>
      </c>
      <c r="B870" s="9"/>
      <c r="C870" s="28"/>
      <c r="D870" s="23"/>
      <c r="E870" s="93"/>
      <c r="F870" s="24"/>
      <c r="G870" s="130"/>
      <c r="H870" s="46"/>
      <c r="I870" s="131"/>
      <c r="J870" s="126"/>
      <c r="K870" s="121"/>
      <c r="L870" s="78"/>
      <c r="M870" s="72">
        <f ca="1">IF(INDIRECT(ADDRESS(ROW(),3))&lt;&gt;"",getIBANchecksum(INDIRECT(ADDRESS(ROW(),3))),98)</f>
        <v>98</v>
      </c>
    </row>
    <row r="871" spans="1:13">
      <c r="A871" s="96">
        <f t="shared" si="14"/>
        <v>852</v>
      </c>
      <c r="B871" s="9"/>
      <c r="C871" s="28"/>
      <c r="D871" s="23"/>
      <c r="E871" s="93"/>
      <c r="F871" s="24"/>
      <c r="G871" s="130"/>
      <c r="H871" s="46"/>
      <c r="I871" s="131"/>
      <c r="J871" s="126"/>
      <c r="K871" s="121"/>
      <c r="L871" s="78"/>
      <c r="M871" s="72">
        <f ca="1">IF(INDIRECT(ADDRESS(ROW(),3))&lt;&gt;"",getIBANchecksum(INDIRECT(ADDRESS(ROW(),3))),98)</f>
        <v>98</v>
      </c>
    </row>
    <row r="872" spans="1:13">
      <c r="A872" s="96">
        <f t="shared" si="14"/>
        <v>853</v>
      </c>
      <c r="B872" s="9"/>
      <c r="C872" s="28"/>
      <c r="D872" s="23"/>
      <c r="E872" s="93"/>
      <c r="F872" s="24"/>
      <c r="G872" s="130"/>
      <c r="H872" s="46"/>
      <c r="I872" s="131"/>
      <c r="J872" s="126"/>
      <c r="K872" s="121"/>
      <c r="L872" s="78"/>
      <c r="M872" s="72">
        <f ca="1">IF(INDIRECT(ADDRESS(ROW(),3))&lt;&gt;"",getIBANchecksum(INDIRECT(ADDRESS(ROW(),3))),98)</f>
        <v>98</v>
      </c>
    </row>
    <row r="873" spans="1:13">
      <c r="A873" s="96">
        <f t="shared" si="14"/>
        <v>854</v>
      </c>
      <c r="B873" s="9"/>
      <c r="C873" s="28"/>
      <c r="D873" s="23"/>
      <c r="E873" s="93"/>
      <c r="F873" s="24"/>
      <c r="G873" s="130"/>
      <c r="H873" s="46"/>
      <c r="I873" s="131"/>
      <c r="J873" s="126"/>
      <c r="K873" s="121"/>
      <c r="L873" s="78"/>
      <c r="M873" s="72">
        <f ca="1">IF(INDIRECT(ADDRESS(ROW(),3))&lt;&gt;"",getIBANchecksum(INDIRECT(ADDRESS(ROW(),3))),98)</f>
        <v>98</v>
      </c>
    </row>
    <row r="874" spans="1:13">
      <c r="A874" s="96">
        <f t="shared" si="14"/>
        <v>855</v>
      </c>
      <c r="B874" s="9"/>
      <c r="C874" s="28"/>
      <c r="D874" s="23"/>
      <c r="E874" s="93"/>
      <c r="F874" s="24"/>
      <c r="G874" s="130"/>
      <c r="H874" s="46"/>
      <c r="I874" s="131"/>
      <c r="J874" s="126"/>
      <c r="K874" s="121"/>
      <c r="L874" s="78"/>
      <c r="M874" s="72">
        <f ca="1">IF(INDIRECT(ADDRESS(ROW(),3))&lt;&gt;"",getIBANchecksum(INDIRECT(ADDRESS(ROW(),3))),98)</f>
        <v>98</v>
      </c>
    </row>
    <row r="875" spans="1:13">
      <c r="A875" s="96">
        <f t="shared" si="14"/>
        <v>856</v>
      </c>
      <c r="B875" s="9"/>
      <c r="C875" s="28"/>
      <c r="D875" s="23"/>
      <c r="E875" s="93"/>
      <c r="F875" s="24"/>
      <c r="G875" s="130"/>
      <c r="H875" s="46"/>
      <c r="I875" s="131"/>
      <c r="J875" s="126"/>
      <c r="K875" s="121"/>
      <c r="L875" s="78"/>
      <c r="M875" s="72">
        <f ca="1">IF(INDIRECT(ADDRESS(ROW(),3))&lt;&gt;"",getIBANchecksum(INDIRECT(ADDRESS(ROW(),3))),98)</f>
        <v>98</v>
      </c>
    </row>
    <row r="876" spans="1:13">
      <c r="A876" s="96">
        <f t="shared" si="14"/>
        <v>857</v>
      </c>
      <c r="B876" s="9"/>
      <c r="C876" s="28"/>
      <c r="D876" s="23"/>
      <c r="E876" s="93"/>
      <c r="F876" s="24"/>
      <c r="G876" s="130"/>
      <c r="H876" s="46"/>
      <c r="I876" s="131"/>
      <c r="J876" s="126"/>
      <c r="K876" s="121"/>
      <c r="L876" s="78"/>
      <c r="M876" s="72">
        <f ca="1">IF(INDIRECT(ADDRESS(ROW(),3))&lt;&gt;"",getIBANchecksum(INDIRECT(ADDRESS(ROW(),3))),98)</f>
        <v>98</v>
      </c>
    </row>
    <row r="877" spans="1:13">
      <c r="A877" s="96">
        <f t="shared" si="14"/>
        <v>858</v>
      </c>
      <c r="B877" s="9"/>
      <c r="C877" s="28"/>
      <c r="D877" s="23"/>
      <c r="E877" s="93"/>
      <c r="F877" s="24"/>
      <c r="G877" s="130"/>
      <c r="H877" s="46"/>
      <c r="I877" s="131"/>
      <c r="J877" s="126"/>
      <c r="K877" s="121"/>
      <c r="L877" s="78"/>
      <c r="M877" s="72">
        <f ca="1">IF(INDIRECT(ADDRESS(ROW(),3))&lt;&gt;"",getIBANchecksum(INDIRECT(ADDRESS(ROW(),3))),98)</f>
        <v>98</v>
      </c>
    </row>
    <row r="878" spans="1:13">
      <c r="A878" s="96">
        <f t="shared" si="14"/>
        <v>859</v>
      </c>
      <c r="B878" s="9"/>
      <c r="C878" s="28"/>
      <c r="D878" s="23"/>
      <c r="E878" s="93"/>
      <c r="F878" s="24"/>
      <c r="G878" s="130"/>
      <c r="H878" s="46"/>
      <c r="I878" s="131"/>
      <c r="J878" s="126"/>
      <c r="K878" s="121"/>
      <c r="L878" s="78"/>
      <c r="M878" s="72">
        <f ca="1">IF(INDIRECT(ADDRESS(ROW(),3))&lt;&gt;"",getIBANchecksum(INDIRECT(ADDRESS(ROW(),3))),98)</f>
        <v>98</v>
      </c>
    </row>
    <row r="879" spans="1:13">
      <c r="A879" s="96">
        <f t="shared" si="14"/>
        <v>860</v>
      </c>
      <c r="B879" s="9"/>
      <c r="C879" s="28"/>
      <c r="D879" s="23"/>
      <c r="E879" s="93"/>
      <c r="F879" s="24"/>
      <c r="G879" s="130"/>
      <c r="H879" s="46"/>
      <c r="I879" s="131"/>
      <c r="J879" s="126"/>
      <c r="K879" s="121"/>
      <c r="L879" s="78"/>
      <c r="M879" s="72">
        <f ca="1">IF(INDIRECT(ADDRESS(ROW(),3))&lt;&gt;"",getIBANchecksum(INDIRECT(ADDRESS(ROW(),3))),98)</f>
        <v>98</v>
      </c>
    </row>
    <row r="880" spans="1:13">
      <c r="A880" s="96">
        <f t="shared" si="14"/>
        <v>861</v>
      </c>
      <c r="B880" s="9"/>
      <c r="C880" s="28"/>
      <c r="D880" s="23"/>
      <c r="E880" s="93"/>
      <c r="F880" s="24"/>
      <c r="G880" s="130"/>
      <c r="H880" s="46"/>
      <c r="I880" s="131"/>
      <c r="J880" s="126"/>
      <c r="K880" s="121"/>
      <c r="L880" s="78"/>
      <c r="M880" s="72">
        <f ca="1">IF(INDIRECT(ADDRESS(ROW(),3))&lt;&gt;"",getIBANchecksum(INDIRECT(ADDRESS(ROW(),3))),98)</f>
        <v>98</v>
      </c>
    </row>
    <row r="881" spans="1:13">
      <c r="A881" s="96">
        <f t="shared" si="14"/>
        <v>862</v>
      </c>
      <c r="B881" s="9"/>
      <c r="C881" s="28"/>
      <c r="D881" s="23"/>
      <c r="E881" s="93"/>
      <c r="F881" s="24"/>
      <c r="G881" s="130"/>
      <c r="H881" s="46"/>
      <c r="I881" s="131"/>
      <c r="J881" s="126"/>
      <c r="K881" s="121"/>
      <c r="L881" s="78"/>
      <c r="M881" s="72">
        <f ca="1">IF(INDIRECT(ADDRESS(ROW(),3))&lt;&gt;"",getIBANchecksum(INDIRECT(ADDRESS(ROW(),3))),98)</f>
        <v>98</v>
      </c>
    </row>
    <row r="882" spans="1:13">
      <c r="A882" s="96">
        <f t="shared" si="14"/>
        <v>863</v>
      </c>
      <c r="B882" s="9"/>
      <c r="C882" s="28"/>
      <c r="D882" s="23"/>
      <c r="E882" s="93"/>
      <c r="F882" s="24"/>
      <c r="G882" s="130"/>
      <c r="H882" s="46"/>
      <c r="I882" s="131"/>
      <c r="J882" s="126"/>
      <c r="K882" s="121"/>
      <c r="L882" s="78"/>
      <c r="M882" s="72">
        <f ca="1">IF(INDIRECT(ADDRESS(ROW(),3))&lt;&gt;"",getIBANchecksum(INDIRECT(ADDRESS(ROW(),3))),98)</f>
        <v>98</v>
      </c>
    </row>
    <row r="883" spans="1:13">
      <c r="A883" s="96">
        <f t="shared" si="14"/>
        <v>864</v>
      </c>
      <c r="B883" s="9"/>
      <c r="C883" s="28"/>
      <c r="D883" s="23"/>
      <c r="E883" s="93"/>
      <c r="F883" s="24"/>
      <c r="G883" s="130"/>
      <c r="H883" s="46"/>
      <c r="I883" s="131"/>
      <c r="J883" s="126"/>
      <c r="K883" s="121"/>
      <c r="L883" s="78"/>
      <c r="M883" s="72">
        <f ca="1">IF(INDIRECT(ADDRESS(ROW(),3))&lt;&gt;"",getIBANchecksum(INDIRECT(ADDRESS(ROW(),3))),98)</f>
        <v>98</v>
      </c>
    </row>
    <row r="884" spans="1:13">
      <c r="A884" s="96">
        <f t="shared" si="14"/>
        <v>865</v>
      </c>
      <c r="B884" s="9"/>
      <c r="C884" s="28"/>
      <c r="D884" s="23"/>
      <c r="E884" s="93"/>
      <c r="F884" s="24"/>
      <c r="G884" s="130"/>
      <c r="H884" s="46"/>
      <c r="I884" s="131"/>
      <c r="J884" s="126"/>
      <c r="K884" s="121"/>
      <c r="L884" s="78"/>
      <c r="M884" s="72">
        <f ca="1">IF(INDIRECT(ADDRESS(ROW(),3))&lt;&gt;"",getIBANchecksum(INDIRECT(ADDRESS(ROW(),3))),98)</f>
        <v>98</v>
      </c>
    </row>
    <row r="885" spans="1:13">
      <c r="A885" s="96">
        <f t="shared" si="14"/>
        <v>866</v>
      </c>
      <c r="B885" s="9"/>
      <c r="C885" s="28"/>
      <c r="D885" s="23"/>
      <c r="E885" s="93"/>
      <c r="F885" s="24"/>
      <c r="G885" s="130"/>
      <c r="H885" s="46"/>
      <c r="I885" s="131"/>
      <c r="J885" s="126"/>
      <c r="K885" s="121"/>
      <c r="L885" s="78"/>
      <c r="M885" s="72">
        <f ca="1">IF(INDIRECT(ADDRESS(ROW(),3))&lt;&gt;"",getIBANchecksum(INDIRECT(ADDRESS(ROW(),3))),98)</f>
        <v>98</v>
      </c>
    </row>
    <row r="886" spans="1:13">
      <c r="A886" s="96">
        <f t="shared" si="14"/>
        <v>867</v>
      </c>
      <c r="B886" s="9"/>
      <c r="C886" s="28"/>
      <c r="D886" s="23"/>
      <c r="E886" s="93"/>
      <c r="F886" s="24"/>
      <c r="G886" s="130"/>
      <c r="H886" s="46"/>
      <c r="I886" s="131"/>
      <c r="J886" s="126"/>
      <c r="K886" s="121"/>
      <c r="L886" s="78"/>
      <c r="M886" s="72">
        <f ca="1">IF(INDIRECT(ADDRESS(ROW(),3))&lt;&gt;"",getIBANchecksum(INDIRECT(ADDRESS(ROW(),3))),98)</f>
        <v>98</v>
      </c>
    </row>
    <row r="887" spans="1:13">
      <c r="A887" s="96">
        <f t="shared" si="14"/>
        <v>868</v>
      </c>
      <c r="B887" s="9"/>
      <c r="C887" s="28"/>
      <c r="D887" s="23"/>
      <c r="E887" s="93"/>
      <c r="F887" s="24"/>
      <c r="G887" s="130"/>
      <c r="H887" s="46"/>
      <c r="I887" s="131"/>
      <c r="J887" s="126"/>
      <c r="K887" s="121"/>
      <c r="L887" s="78"/>
      <c r="M887" s="72">
        <f ca="1">IF(INDIRECT(ADDRESS(ROW(),3))&lt;&gt;"",getIBANchecksum(INDIRECT(ADDRESS(ROW(),3))),98)</f>
        <v>98</v>
      </c>
    </row>
    <row r="888" spans="1:13">
      <c r="A888" s="96">
        <f t="shared" si="14"/>
        <v>869</v>
      </c>
      <c r="B888" s="9"/>
      <c r="C888" s="28"/>
      <c r="D888" s="23"/>
      <c r="E888" s="93"/>
      <c r="F888" s="24"/>
      <c r="G888" s="130"/>
      <c r="H888" s="46"/>
      <c r="I888" s="131"/>
      <c r="J888" s="126"/>
      <c r="K888" s="121"/>
      <c r="L888" s="78"/>
      <c r="M888" s="72">
        <f ca="1">IF(INDIRECT(ADDRESS(ROW(),3))&lt;&gt;"",getIBANchecksum(INDIRECT(ADDRESS(ROW(),3))),98)</f>
        <v>98</v>
      </c>
    </row>
    <row r="889" spans="1:13">
      <c r="A889" s="96">
        <f t="shared" si="14"/>
        <v>870</v>
      </c>
      <c r="B889" s="9"/>
      <c r="C889" s="28"/>
      <c r="D889" s="23"/>
      <c r="E889" s="93"/>
      <c r="F889" s="24"/>
      <c r="G889" s="130"/>
      <c r="H889" s="46"/>
      <c r="I889" s="131"/>
      <c r="J889" s="126"/>
      <c r="K889" s="121"/>
      <c r="L889" s="78"/>
      <c r="M889" s="72">
        <f ca="1">IF(INDIRECT(ADDRESS(ROW(),3))&lt;&gt;"",getIBANchecksum(INDIRECT(ADDRESS(ROW(),3))),98)</f>
        <v>98</v>
      </c>
    </row>
    <row r="890" spans="1:13">
      <c r="A890" s="96">
        <f t="shared" si="14"/>
        <v>871</v>
      </c>
      <c r="B890" s="9"/>
      <c r="C890" s="28"/>
      <c r="D890" s="23"/>
      <c r="E890" s="93"/>
      <c r="F890" s="24"/>
      <c r="G890" s="130"/>
      <c r="H890" s="46"/>
      <c r="I890" s="131"/>
      <c r="J890" s="126"/>
      <c r="K890" s="121"/>
      <c r="L890" s="78"/>
      <c r="M890" s="72">
        <f ca="1">IF(INDIRECT(ADDRESS(ROW(),3))&lt;&gt;"",getIBANchecksum(INDIRECT(ADDRESS(ROW(),3))),98)</f>
        <v>98</v>
      </c>
    </row>
    <row r="891" spans="1:13">
      <c r="A891" s="96">
        <f t="shared" si="14"/>
        <v>872</v>
      </c>
      <c r="B891" s="9"/>
      <c r="C891" s="28"/>
      <c r="D891" s="23"/>
      <c r="E891" s="93"/>
      <c r="F891" s="24"/>
      <c r="G891" s="130"/>
      <c r="H891" s="46"/>
      <c r="I891" s="131"/>
      <c r="J891" s="126"/>
      <c r="K891" s="121"/>
      <c r="L891" s="78"/>
      <c r="M891" s="72">
        <f ca="1">IF(INDIRECT(ADDRESS(ROW(),3))&lt;&gt;"",getIBANchecksum(INDIRECT(ADDRESS(ROW(),3))),98)</f>
        <v>98</v>
      </c>
    </row>
    <row r="892" spans="1:13">
      <c r="A892" s="96">
        <f t="shared" si="14"/>
        <v>873</v>
      </c>
      <c r="B892" s="9"/>
      <c r="C892" s="28"/>
      <c r="D892" s="23"/>
      <c r="E892" s="93"/>
      <c r="F892" s="24"/>
      <c r="G892" s="130"/>
      <c r="H892" s="46"/>
      <c r="I892" s="131"/>
      <c r="J892" s="126"/>
      <c r="K892" s="121"/>
      <c r="L892" s="78"/>
      <c r="M892" s="72">
        <f ca="1">IF(INDIRECT(ADDRESS(ROW(),3))&lt;&gt;"",getIBANchecksum(INDIRECT(ADDRESS(ROW(),3))),98)</f>
        <v>98</v>
      </c>
    </row>
    <row r="893" spans="1:13">
      <c r="A893" s="96">
        <f t="shared" si="14"/>
        <v>874</v>
      </c>
      <c r="B893" s="9"/>
      <c r="C893" s="28"/>
      <c r="D893" s="23"/>
      <c r="E893" s="93"/>
      <c r="F893" s="24"/>
      <c r="G893" s="130"/>
      <c r="H893" s="46"/>
      <c r="I893" s="131"/>
      <c r="J893" s="126"/>
      <c r="K893" s="121"/>
      <c r="L893" s="78"/>
      <c r="M893" s="72">
        <f ca="1">IF(INDIRECT(ADDRESS(ROW(),3))&lt;&gt;"",getIBANchecksum(INDIRECT(ADDRESS(ROW(),3))),98)</f>
        <v>98</v>
      </c>
    </row>
    <row r="894" spans="1:13">
      <c r="A894" s="96">
        <f t="shared" si="14"/>
        <v>875</v>
      </c>
      <c r="B894" s="9"/>
      <c r="C894" s="28"/>
      <c r="D894" s="23"/>
      <c r="E894" s="93"/>
      <c r="F894" s="24"/>
      <c r="G894" s="130"/>
      <c r="H894" s="46"/>
      <c r="I894" s="131"/>
      <c r="J894" s="126"/>
      <c r="K894" s="121"/>
      <c r="L894" s="78"/>
      <c r="M894" s="72">
        <f ca="1">IF(INDIRECT(ADDRESS(ROW(),3))&lt;&gt;"",getIBANchecksum(INDIRECT(ADDRESS(ROW(),3))),98)</f>
        <v>98</v>
      </c>
    </row>
    <row r="895" spans="1:13">
      <c r="A895" s="96">
        <f t="shared" si="14"/>
        <v>876</v>
      </c>
      <c r="B895" s="9"/>
      <c r="C895" s="28"/>
      <c r="D895" s="23"/>
      <c r="E895" s="93"/>
      <c r="F895" s="24"/>
      <c r="G895" s="130"/>
      <c r="H895" s="46"/>
      <c r="I895" s="131"/>
      <c r="J895" s="126"/>
      <c r="K895" s="121"/>
      <c r="L895" s="78"/>
      <c r="M895" s="72">
        <f ca="1">IF(INDIRECT(ADDRESS(ROW(),3))&lt;&gt;"",getIBANchecksum(INDIRECT(ADDRESS(ROW(),3))),98)</f>
        <v>98</v>
      </c>
    </row>
    <row r="896" spans="1:13">
      <c r="A896" s="96">
        <f t="shared" si="14"/>
        <v>877</v>
      </c>
      <c r="B896" s="9"/>
      <c r="C896" s="28"/>
      <c r="D896" s="23"/>
      <c r="E896" s="93"/>
      <c r="F896" s="24"/>
      <c r="G896" s="130"/>
      <c r="H896" s="46"/>
      <c r="I896" s="131"/>
      <c r="J896" s="126"/>
      <c r="K896" s="121"/>
      <c r="L896" s="78"/>
      <c r="M896" s="72">
        <f ca="1">IF(INDIRECT(ADDRESS(ROW(),3))&lt;&gt;"",getIBANchecksum(INDIRECT(ADDRESS(ROW(),3))),98)</f>
        <v>98</v>
      </c>
    </row>
    <row r="897" spans="1:13">
      <c r="A897" s="96">
        <f t="shared" si="14"/>
        <v>878</v>
      </c>
      <c r="B897" s="9"/>
      <c r="C897" s="28"/>
      <c r="D897" s="23"/>
      <c r="E897" s="93"/>
      <c r="F897" s="24"/>
      <c r="G897" s="130"/>
      <c r="H897" s="46"/>
      <c r="I897" s="131"/>
      <c r="J897" s="126"/>
      <c r="K897" s="121"/>
      <c r="L897" s="78"/>
      <c r="M897" s="72">
        <f ca="1">IF(INDIRECT(ADDRESS(ROW(),3))&lt;&gt;"",getIBANchecksum(INDIRECT(ADDRESS(ROW(),3))),98)</f>
        <v>98</v>
      </c>
    </row>
    <row r="898" spans="1:13">
      <c r="A898" s="96">
        <f t="shared" si="14"/>
        <v>879</v>
      </c>
      <c r="B898" s="9"/>
      <c r="C898" s="28"/>
      <c r="D898" s="23"/>
      <c r="E898" s="93"/>
      <c r="F898" s="24"/>
      <c r="G898" s="130"/>
      <c r="H898" s="46"/>
      <c r="I898" s="131"/>
      <c r="J898" s="126"/>
      <c r="K898" s="121"/>
      <c r="L898" s="78"/>
      <c r="M898" s="72">
        <f ca="1">IF(INDIRECT(ADDRESS(ROW(),3))&lt;&gt;"",getIBANchecksum(INDIRECT(ADDRESS(ROW(),3))),98)</f>
        <v>98</v>
      </c>
    </row>
    <row r="899" spans="1:13">
      <c r="A899" s="96">
        <f t="shared" si="14"/>
        <v>880</v>
      </c>
      <c r="B899" s="9"/>
      <c r="C899" s="28"/>
      <c r="D899" s="23"/>
      <c r="E899" s="93"/>
      <c r="F899" s="24"/>
      <c r="G899" s="130"/>
      <c r="H899" s="46"/>
      <c r="I899" s="131"/>
      <c r="J899" s="126"/>
      <c r="K899" s="121"/>
      <c r="L899" s="78"/>
      <c r="M899" s="72">
        <f ca="1">IF(INDIRECT(ADDRESS(ROW(),3))&lt;&gt;"",getIBANchecksum(INDIRECT(ADDRESS(ROW(),3))),98)</f>
        <v>98</v>
      </c>
    </row>
    <row r="900" spans="1:13">
      <c r="A900" s="96">
        <f t="shared" si="14"/>
        <v>881</v>
      </c>
      <c r="B900" s="9"/>
      <c r="C900" s="28"/>
      <c r="D900" s="23"/>
      <c r="E900" s="93"/>
      <c r="F900" s="24"/>
      <c r="G900" s="130"/>
      <c r="H900" s="46"/>
      <c r="I900" s="131"/>
      <c r="J900" s="126"/>
      <c r="K900" s="121"/>
      <c r="L900" s="78"/>
      <c r="M900" s="72">
        <f ca="1">IF(INDIRECT(ADDRESS(ROW(),3))&lt;&gt;"",getIBANchecksum(INDIRECT(ADDRESS(ROW(),3))),98)</f>
        <v>98</v>
      </c>
    </row>
    <row r="901" spans="1:13">
      <c r="A901" s="96">
        <f t="shared" si="14"/>
        <v>882</v>
      </c>
      <c r="B901" s="9"/>
      <c r="C901" s="28"/>
      <c r="D901" s="23"/>
      <c r="E901" s="93"/>
      <c r="F901" s="24"/>
      <c r="G901" s="130"/>
      <c r="H901" s="46"/>
      <c r="I901" s="131"/>
      <c r="J901" s="126"/>
      <c r="K901" s="121"/>
      <c r="L901" s="78"/>
      <c r="M901" s="72">
        <f ca="1">IF(INDIRECT(ADDRESS(ROW(),3))&lt;&gt;"",getIBANchecksum(INDIRECT(ADDRESS(ROW(),3))),98)</f>
        <v>98</v>
      </c>
    </row>
    <row r="902" spans="1:13">
      <c r="A902" s="96">
        <f t="shared" si="14"/>
        <v>883</v>
      </c>
      <c r="B902" s="9"/>
      <c r="C902" s="28"/>
      <c r="D902" s="23"/>
      <c r="E902" s="93"/>
      <c r="F902" s="24"/>
      <c r="G902" s="130"/>
      <c r="H902" s="46"/>
      <c r="I902" s="131"/>
      <c r="J902" s="126"/>
      <c r="K902" s="121"/>
      <c r="L902" s="78"/>
      <c r="M902" s="72">
        <f ca="1">IF(INDIRECT(ADDRESS(ROW(),3))&lt;&gt;"",getIBANchecksum(INDIRECT(ADDRESS(ROW(),3))),98)</f>
        <v>98</v>
      </c>
    </row>
    <row r="903" spans="1:13">
      <c r="A903" s="96">
        <f t="shared" si="14"/>
        <v>884</v>
      </c>
      <c r="B903" s="9"/>
      <c r="C903" s="28"/>
      <c r="D903" s="23"/>
      <c r="E903" s="93"/>
      <c r="F903" s="24"/>
      <c r="G903" s="130"/>
      <c r="H903" s="46"/>
      <c r="I903" s="131"/>
      <c r="J903" s="126"/>
      <c r="K903" s="121"/>
      <c r="L903" s="78"/>
      <c r="M903" s="72">
        <f ca="1">IF(INDIRECT(ADDRESS(ROW(),3))&lt;&gt;"",getIBANchecksum(INDIRECT(ADDRESS(ROW(),3))),98)</f>
        <v>98</v>
      </c>
    </row>
    <row r="904" spans="1:13">
      <c r="A904" s="96">
        <f t="shared" si="14"/>
        <v>885</v>
      </c>
      <c r="B904" s="9"/>
      <c r="C904" s="28"/>
      <c r="D904" s="23"/>
      <c r="E904" s="93"/>
      <c r="F904" s="24"/>
      <c r="G904" s="130"/>
      <c r="H904" s="46"/>
      <c r="I904" s="131"/>
      <c r="J904" s="126"/>
      <c r="K904" s="121"/>
      <c r="L904" s="78"/>
      <c r="M904" s="72">
        <f ca="1">IF(INDIRECT(ADDRESS(ROW(),3))&lt;&gt;"",getIBANchecksum(INDIRECT(ADDRESS(ROW(),3))),98)</f>
        <v>98</v>
      </c>
    </row>
    <row r="905" spans="1:13">
      <c r="A905" s="96">
        <f t="shared" si="14"/>
        <v>886</v>
      </c>
      <c r="B905" s="9"/>
      <c r="C905" s="28"/>
      <c r="D905" s="23"/>
      <c r="E905" s="93"/>
      <c r="F905" s="24"/>
      <c r="G905" s="130"/>
      <c r="H905" s="46"/>
      <c r="I905" s="131"/>
      <c r="J905" s="126"/>
      <c r="K905" s="121"/>
      <c r="L905" s="78"/>
      <c r="M905" s="72">
        <f ca="1">IF(INDIRECT(ADDRESS(ROW(),3))&lt;&gt;"",getIBANchecksum(INDIRECT(ADDRESS(ROW(),3))),98)</f>
        <v>98</v>
      </c>
    </row>
    <row r="906" spans="1:13">
      <c r="A906" s="96">
        <f t="shared" si="14"/>
        <v>887</v>
      </c>
      <c r="B906" s="9"/>
      <c r="C906" s="28"/>
      <c r="D906" s="23"/>
      <c r="E906" s="93"/>
      <c r="F906" s="24"/>
      <c r="G906" s="130"/>
      <c r="H906" s="46"/>
      <c r="I906" s="131"/>
      <c r="J906" s="126"/>
      <c r="K906" s="121"/>
      <c r="L906" s="78"/>
      <c r="M906" s="72">
        <f ca="1">IF(INDIRECT(ADDRESS(ROW(),3))&lt;&gt;"",getIBANchecksum(INDIRECT(ADDRESS(ROW(),3))),98)</f>
        <v>98</v>
      </c>
    </row>
    <row r="907" spans="1:13">
      <c r="A907" s="96">
        <f t="shared" si="14"/>
        <v>888</v>
      </c>
      <c r="B907" s="9"/>
      <c r="C907" s="28"/>
      <c r="D907" s="23"/>
      <c r="E907" s="93"/>
      <c r="F907" s="24"/>
      <c r="G907" s="130"/>
      <c r="H907" s="46"/>
      <c r="I907" s="131"/>
      <c r="J907" s="126"/>
      <c r="K907" s="121"/>
      <c r="L907" s="78"/>
      <c r="M907" s="72">
        <f ca="1">IF(INDIRECT(ADDRESS(ROW(),3))&lt;&gt;"",getIBANchecksum(INDIRECT(ADDRESS(ROW(),3))),98)</f>
        <v>98</v>
      </c>
    </row>
    <row r="908" spans="1:13">
      <c r="A908" s="96">
        <f t="shared" si="14"/>
        <v>889</v>
      </c>
      <c r="B908" s="9"/>
      <c r="C908" s="28"/>
      <c r="D908" s="23"/>
      <c r="E908" s="93"/>
      <c r="F908" s="24"/>
      <c r="G908" s="130"/>
      <c r="H908" s="46"/>
      <c r="I908" s="131"/>
      <c r="J908" s="126"/>
      <c r="K908" s="121"/>
      <c r="L908" s="78"/>
      <c r="M908" s="72">
        <f ca="1">IF(INDIRECT(ADDRESS(ROW(),3))&lt;&gt;"",getIBANchecksum(INDIRECT(ADDRESS(ROW(),3))),98)</f>
        <v>98</v>
      </c>
    </row>
    <row r="909" spans="1:13">
      <c r="A909" s="96">
        <f t="shared" si="14"/>
        <v>890</v>
      </c>
      <c r="B909" s="9"/>
      <c r="C909" s="28"/>
      <c r="D909" s="23"/>
      <c r="E909" s="93"/>
      <c r="F909" s="24"/>
      <c r="G909" s="130"/>
      <c r="H909" s="46"/>
      <c r="I909" s="131"/>
      <c r="J909" s="126"/>
      <c r="K909" s="121"/>
      <c r="L909" s="78"/>
      <c r="M909" s="72">
        <f ca="1">IF(INDIRECT(ADDRESS(ROW(),3))&lt;&gt;"",getIBANchecksum(INDIRECT(ADDRESS(ROW(),3))),98)</f>
        <v>98</v>
      </c>
    </row>
    <row r="910" spans="1:13">
      <c r="A910" s="96">
        <f t="shared" si="14"/>
        <v>891</v>
      </c>
      <c r="B910" s="9"/>
      <c r="C910" s="28"/>
      <c r="D910" s="23"/>
      <c r="E910" s="93"/>
      <c r="F910" s="24"/>
      <c r="G910" s="130"/>
      <c r="H910" s="46"/>
      <c r="I910" s="131"/>
      <c r="J910" s="126"/>
      <c r="K910" s="121"/>
      <c r="L910" s="78"/>
      <c r="M910" s="72">
        <f ca="1">IF(INDIRECT(ADDRESS(ROW(),3))&lt;&gt;"",getIBANchecksum(INDIRECT(ADDRESS(ROW(),3))),98)</f>
        <v>98</v>
      </c>
    </row>
    <row r="911" spans="1:13">
      <c r="A911" s="96">
        <f t="shared" si="14"/>
        <v>892</v>
      </c>
      <c r="B911" s="9"/>
      <c r="C911" s="28"/>
      <c r="D911" s="23"/>
      <c r="E911" s="93"/>
      <c r="F911" s="24"/>
      <c r="G911" s="130"/>
      <c r="H911" s="46"/>
      <c r="I911" s="131"/>
      <c r="J911" s="126"/>
      <c r="K911" s="121"/>
      <c r="L911" s="78"/>
      <c r="M911" s="72">
        <f ca="1">IF(INDIRECT(ADDRESS(ROW(),3))&lt;&gt;"",getIBANchecksum(INDIRECT(ADDRESS(ROW(),3))),98)</f>
        <v>98</v>
      </c>
    </row>
    <row r="912" spans="1:13">
      <c r="A912" s="96">
        <f t="shared" si="14"/>
        <v>893</v>
      </c>
      <c r="B912" s="9"/>
      <c r="C912" s="28"/>
      <c r="D912" s="23"/>
      <c r="E912" s="93"/>
      <c r="F912" s="24"/>
      <c r="G912" s="130"/>
      <c r="H912" s="46"/>
      <c r="I912" s="131"/>
      <c r="J912" s="126"/>
      <c r="K912" s="121"/>
      <c r="L912" s="78"/>
      <c r="M912" s="72">
        <f ca="1">IF(INDIRECT(ADDRESS(ROW(),3))&lt;&gt;"",getIBANchecksum(INDIRECT(ADDRESS(ROW(),3))),98)</f>
        <v>98</v>
      </c>
    </row>
    <row r="913" spans="1:13">
      <c r="A913" s="96">
        <f t="shared" si="14"/>
        <v>894</v>
      </c>
      <c r="B913" s="9"/>
      <c r="C913" s="28"/>
      <c r="D913" s="23"/>
      <c r="E913" s="93"/>
      <c r="F913" s="24"/>
      <c r="G913" s="130"/>
      <c r="H913" s="46"/>
      <c r="I913" s="131"/>
      <c r="J913" s="126"/>
      <c r="K913" s="121"/>
      <c r="L913" s="78"/>
      <c r="M913" s="72">
        <f ca="1">IF(INDIRECT(ADDRESS(ROW(),3))&lt;&gt;"",getIBANchecksum(INDIRECT(ADDRESS(ROW(),3))),98)</f>
        <v>98</v>
      </c>
    </row>
    <row r="914" spans="1:13">
      <c r="A914" s="96">
        <f t="shared" si="14"/>
        <v>895</v>
      </c>
      <c r="B914" s="9"/>
      <c r="C914" s="28"/>
      <c r="D914" s="23"/>
      <c r="E914" s="93"/>
      <c r="F914" s="24"/>
      <c r="G914" s="130"/>
      <c r="H914" s="46"/>
      <c r="I914" s="131"/>
      <c r="J914" s="126"/>
      <c r="K914" s="121"/>
      <c r="L914" s="78"/>
      <c r="M914" s="72">
        <f ca="1">IF(INDIRECT(ADDRESS(ROW(),3))&lt;&gt;"",getIBANchecksum(INDIRECT(ADDRESS(ROW(),3))),98)</f>
        <v>98</v>
      </c>
    </row>
    <row r="915" spans="1:13">
      <c r="A915" s="96">
        <f t="shared" si="14"/>
        <v>896</v>
      </c>
      <c r="B915" s="9"/>
      <c r="C915" s="28"/>
      <c r="D915" s="23"/>
      <c r="E915" s="93"/>
      <c r="F915" s="24"/>
      <c r="G915" s="130"/>
      <c r="H915" s="46"/>
      <c r="I915" s="131"/>
      <c r="J915" s="126"/>
      <c r="K915" s="121"/>
      <c r="L915" s="78"/>
      <c r="M915" s="72">
        <f ca="1">IF(INDIRECT(ADDRESS(ROW(),3))&lt;&gt;"",getIBANchecksum(INDIRECT(ADDRESS(ROW(),3))),98)</f>
        <v>98</v>
      </c>
    </row>
    <row r="916" spans="1:13">
      <c r="A916" s="96">
        <f t="shared" si="14"/>
        <v>897</v>
      </c>
      <c r="B916" s="9"/>
      <c r="C916" s="28"/>
      <c r="D916" s="23"/>
      <c r="E916" s="93"/>
      <c r="F916" s="24"/>
      <c r="G916" s="130"/>
      <c r="H916" s="46"/>
      <c r="I916" s="131"/>
      <c r="J916" s="126"/>
      <c r="K916" s="121"/>
      <c r="L916" s="78"/>
      <c r="M916" s="72">
        <f ca="1">IF(INDIRECT(ADDRESS(ROW(),3))&lt;&gt;"",getIBANchecksum(INDIRECT(ADDRESS(ROW(),3))),98)</f>
        <v>98</v>
      </c>
    </row>
    <row r="917" spans="1:13">
      <c r="A917" s="96">
        <f t="shared" si="14"/>
        <v>898</v>
      </c>
      <c r="B917" s="9"/>
      <c r="C917" s="28"/>
      <c r="D917" s="23"/>
      <c r="E917" s="93"/>
      <c r="F917" s="24"/>
      <c r="G917" s="130"/>
      <c r="H917" s="46"/>
      <c r="I917" s="131"/>
      <c r="J917" s="126"/>
      <c r="K917" s="121"/>
      <c r="L917" s="78"/>
      <c r="M917" s="72">
        <f ca="1">IF(INDIRECT(ADDRESS(ROW(),3))&lt;&gt;"",getIBANchecksum(INDIRECT(ADDRESS(ROW(),3))),98)</f>
        <v>98</v>
      </c>
    </row>
    <row r="918" spans="1:13">
      <c r="A918" s="96">
        <f t="shared" ref="A918:A981" si="15">A917+1</f>
        <v>899</v>
      </c>
      <c r="B918" s="9"/>
      <c r="C918" s="28"/>
      <c r="D918" s="23"/>
      <c r="E918" s="93"/>
      <c r="F918" s="24"/>
      <c r="G918" s="130"/>
      <c r="H918" s="46"/>
      <c r="I918" s="131"/>
      <c r="J918" s="126"/>
      <c r="K918" s="121"/>
      <c r="L918" s="78"/>
      <c r="M918" s="72">
        <f ca="1">IF(INDIRECT(ADDRESS(ROW(),3))&lt;&gt;"",getIBANchecksum(INDIRECT(ADDRESS(ROW(),3))),98)</f>
        <v>98</v>
      </c>
    </row>
    <row r="919" spans="1:13">
      <c r="A919" s="96">
        <f t="shared" si="15"/>
        <v>900</v>
      </c>
      <c r="B919" s="9"/>
      <c r="C919" s="28"/>
      <c r="D919" s="23"/>
      <c r="E919" s="93"/>
      <c r="F919" s="24"/>
      <c r="G919" s="130"/>
      <c r="H919" s="46"/>
      <c r="I919" s="131"/>
      <c r="J919" s="126"/>
      <c r="K919" s="121"/>
      <c r="L919" s="78"/>
      <c r="M919" s="72">
        <f ca="1">IF(INDIRECT(ADDRESS(ROW(),3))&lt;&gt;"",getIBANchecksum(INDIRECT(ADDRESS(ROW(),3))),98)</f>
        <v>98</v>
      </c>
    </row>
    <row r="920" spans="1:13">
      <c r="A920" s="96">
        <f t="shared" si="15"/>
        <v>901</v>
      </c>
      <c r="B920" s="9"/>
      <c r="C920" s="28"/>
      <c r="D920" s="23"/>
      <c r="E920" s="93"/>
      <c r="F920" s="24"/>
      <c r="G920" s="130"/>
      <c r="H920" s="46"/>
      <c r="I920" s="131"/>
      <c r="J920" s="126"/>
      <c r="K920" s="121"/>
      <c r="L920" s="78"/>
      <c r="M920" s="72">
        <f ca="1">IF(INDIRECT(ADDRESS(ROW(),3))&lt;&gt;"",getIBANchecksum(INDIRECT(ADDRESS(ROW(),3))),98)</f>
        <v>98</v>
      </c>
    </row>
    <row r="921" spans="1:13">
      <c r="A921" s="96">
        <f t="shared" si="15"/>
        <v>902</v>
      </c>
      <c r="B921" s="9"/>
      <c r="C921" s="28"/>
      <c r="D921" s="23"/>
      <c r="E921" s="93"/>
      <c r="F921" s="24"/>
      <c r="G921" s="130"/>
      <c r="H921" s="46"/>
      <c r="I921" s="131"/>
      <c r="J921" s="126"/>
      <c r="K921" s="121"/>
      <c r="L921" s="78"/>
      <c r="M921" s="72">
        <f ca="1">IF(INDIRECT(ADDRESS(ROW(),3))&lt;&gt;"",getIBANchecksum(INDIRECT(ADDRESS(ROW(),3))),98)</f>
        <v>98</v>
      </c>
    </row>
    <row r="922" spans="1:13">
      <c r="A922" s="96">
        <f t="shared" si="15"/>
        <v>903</v>
      </c>
      <c r="B922" s="9"/>
      <c r="C922" s="28"/>
      <c r="D922" s="23"/>
      <c r="E922" s="93"/>
      <c r="F922" s="24"/>
      <c r="G922" s="130"/>
      <c r="H922" s="46"/>
      <c r="I922" s="131"/>
      <c r="J922" s="126"/>
      <c r="K922" s="121"/>
      <c r="L922" s="78"/>
      <c r="M922" s="72">
        <f ca="1">IF(INDIRECT(ADDRESS(ROW(),3))&lt;&gt;"",getIBANchecksum(INDIRECT(ADDRESS(ROW(),3))),98)</f>
        <v>98</v>
      </c>
    </row>
    <row r="923" spans="1:13">
      <c r="A923" s="96">
        <f t="shared" si="15"/>
        <v>904</v>
      </c>
      <c r="B923" s="9"/>
      <c r="C923" s="28"/>
      <c r="D923" s="23"/>
      <c r="E923" s="93"/>
      <c r="F923" s="24"/>
      <c r="G923" s="130"/>
      <c r="H923" s="46"/>
      <c r="I923" s="131"/>
      <c r="J923" s="126"/>
      <c r="K923" s="121"/>
      <c r="L923" s="78"/>
      <c r="M923" s="72">
        <f ca="1">IF(INDIRECT(ADDRESS(ROW(),3))&lt;&gt;"",getIBANchecksum(INDIRECT(ADDRESS(ROW(),3))),98)</f>
        <v>98</v>
      </c>
    </row>
    <row r="924" spans="1:13">
      <c r="A924" s="96">
        <f t="shared" si="15"/>
        <v>905</v>
      </c>
      <c r="B924" s="9"/>
      <c r="C924" s="28"/>
      <c r="D924" s="23"/>
      <c r="E924" s="93"/>
      <c r="F924" s="24"/>
      <c r="G924" s="130"/>
      <c r="H924" s="46"/>
      <c r="I924" s="131"/>
      <c r="J924" s="126"/>
      <c r="K924" s="121"/>
      <c r="L924" s="78"/>
      <c r="M924" s="72">
        <f ca="1">IF(INDIRECT(ADDRESS(ROW(),3))&lt;&gt;"",getIBANchecksum(INDIRECT(ADDRESS(ROW(),3))),98)</f>
        <v>98</v>
      </c>
    </row>
    <row r="925" spans="1:13">
      <c r="A925" s="96">
        <f t="shared" si="15"/>
        <v>906</v>
      </c>
      <c r="B925" s="9"/>
      <c r="C925" s="28"/>
      <c r="D925" s="23"/>
      <c r="E925" s="93"/>
      <c r="F925" s="24"/>
      <c r="G925" s="130"/>
      <c r="H925" s="46"/>
      <c r="I925" s="131"/>
      <c r="J925" s="126"/>
      <c r="K925" s="121"/>
      <c r="L925" s="78"/>
      <c r="M925" s="72">
        <f ca="1">IF(INDIRECT(ADDRESS(ROW(),3))&lt;&gt;"",getIBANchecksum(INDIRECT(ADDRESS(ROW(),3))),98)</f>
        <v>98</v>
      </c>
    </row>
    <row r="926" spans="1:13">
      <c r="A926" s="96">
        <f t="shared" si="15"/>
        <v>907</v>
      </c>
      <c r="B926" s="9"/>
      <c r="C926" s="28"/>
      <c r="D926" s="23"/>
      <c r="E926" s="93"/>
      <c r="F926" s="24"/>
      <c r="G926" s="130"/>
      <c r="H926" s="46"/>
      <c r="I926" s="131"/>
      <c r="J926" s="126"/>
      <c r="K926" s="121"/>
      <c r="L926" s="78"/>
      <c r="M926" s="72">
        <f ca="1">IF(INDIRECT(ADDRESS(ROW(),3))&lt;&gt;"",getIBANchecksum(INDIRECT(ADDRESS(ROW(),3))),98)</f>
        <v>98</v>
      </c>
    </row>
    <row r="927" spans="1:13">
      <c r="A927" s="96">
        <f t="shared" si="15"/>
        <v>908</v>
      </c>
      <c r="B927" s="9"/>
      <c r="C927" s="28"/>
      <c r="D927" s="23"/>
      <c r="E927" s="93"/>
      <c r="F927" s="24"/>
      <c r="G927" s="130"/>
      <c r="H927" s="46"/>
      <c r="I927" s="131"/>
      <c r="J927" s="126"/>
      <c r="K927" s="121"/>
      <c r="L927" s="78"/>
      <c r="M927" s="72">
        <f ca="1">IF(INDIRECT(ADDRESS(ROW(),3))&lt;&gt;"",getIBANchecksum(INDIRECT(ADDRESS(ROW(),3))),98)</f>
        <v>98</v>
      </c>
    </row>
    <row r="928" spans="1:13">
      <c r="A928" s="96">
        <f t="shared" si="15"/>
        <v>909</v>
      </c>
      <c r="B928" s="9"/>
      <c r="C928" s="28"/>
      <c r="D928" s="23"/>
      <c r="E928" s="93"/>
      <c r="F928" s="24"/>
      <c r="G928" s="130"/>
      <c r="H928" s="46"/>
      <c r="I928" s="131"/>
      <c r="J928" s="126"/>
      <c r="K928" s="121"/>
      <c r="L928" s="78"/>
      <c r="M928" s="72">
        <f ca="1">IF(INDIRECT(ADDRESS(ROW(),3))&lt;&gt;"",getIBANchecksum(INDIRECT(ADDRESS(ROW(),3))),98)</f>
        <v>98</v>
      </c>
    </row>
    <row r="929" spans="1:13">
      <c r="A929" s="96">
        <f t="shared" si="15"/>
        <v>910</v>
      </c>
      <c r="B929" s="9"/>
      <c r="C929" s="28"/>
      <c r="D929" s="23"/>
      <c r="E929" s="93"/>
      <c r="F929" s="24"/>
      <c r="G929" s="130"/>
      <c r="H929" s="46"/>
      <c r="I929" s="131"/>
      <c r="J929" s="126"/>
      <c r="K929" s="121"/>
      <c r="L929" s="78"/>
      <c r="M929" s="72">
        <f ca="1">IF(INDIRECT(ADDRESS(ROW(),3))&lt;&gt;"",getIBANchecksum(INDIRECT(ADDRESS(ROW(),3))),98)</f>
        <v>98</v>
      </c>
    </row>
    <row r="930" spans="1:13">
      <c r="A930" s="96">
        <f t="shared" si="15"/>
        <v>911</v>
      </c>
      <c r="B930" s="9"/>
      <c r="C930" s="28"/>
      <c r="D930" s="23"/>
      <c r="E930" s="93"/>
      <c r="F930" s="24"/>
      <c r="G930" s="130"/>
      <c r="H930" s="46"/>
      <c r="I930" s="131"/>
      <c r="J930" s="126"/>
      <c r="K930" s="121"/>
      <c r="L930" s="78"/>
      <c r="M930" s="72">
        <f ca="1">IF(INDIRECT(ADDRESS(ROW(),3))&lt;&gt;"",getIBANchecksum(INDIRECT(ADDRESS(ROW(),3))),98)</f>
        <v>98</v>
      </c>
    </row>
    <row r="931" spans="1:13">
      <c r="A931" s="96">
        <f t="shared" si="15"/>
        <v>912</v>
      </c>
      <c r="B931" s="9"/>
      <c r="C931" s="28"/>
      <c r="D931" s="23"/>
      <c r="E931" s="93"/>
      <c r="F931" s="24"/>
      <c r="G931" s="130"/>
      <c r="H931" s="46"/>
      <c r="I931" s="131"/>
      <c r="J931" s="126"/>
      <c r="K931" s="121"/>
      <c r="L931" s="78"/>
      <c r="M931" s="72">
        <f ca="1">IF(INDIRECT(ADDRESS(ROW(),3))&lt;&gt;"",getIBANchecksum(INDIRECT(ADDRESS(ROW(),3))),98)</f>
        <v>98</v>
      </c>
    </row>
    <row r="932" spans="1:13">
      <c r="A932" s="96">
        <f t="shared" si="15"/>
        <v>913</v>
      </c>
      <c r="B932" s="9"/>
      <c r="C932" s="28"/>
      <c r="D932" s="23"/>
      <c r="E932" s="93"/>
      <c r="F932" s="24"/>
      <c r="G932" s="130"/>
      <c r="H932" s="46"/>
      <c r="I932" s="131"/>
      <c r="J932" s="126"/>
      <c r="K932" s="121"/>
      <c r="L932" s="78"/>
      <c r="M932" s="72">
        <f ca="1">IF(INDIRECT(ADDRESS(ROW(),3))&lt;&gt;"",getIBANchecksum(INDIRECT(ADDRESS(ROW(),3))),98)</f>
        <v>98</v>
      </c>
    </row>
    <row r="933" spans="1:13">
      <c r="A933" s="96">
        <f t="shared" si="15"/>
        <v>914</v>
      </c>
      <c r="B933" s="9"/>
      <c r="C933" s="28"/>
      <c r="D933" s="23"/>
      <c r="E933" s="93"/>
      <c r="F933" s="24"/>
      <c r="G933" s="130"/>
      <c r="H933" s="46"/>
      <c r="I933" s="131"/>
      <c r="J933" s="126"/>
      <c r="K933" s="121"/>
      <c r="L933" s="78"/>
      <c r="M933" s="72">
        <f ca="1">IF(INDIRECT(ADDRESS(ROW(),3))&lt;&gt;"",getIBANchecksum(INDIRECT(ADDRESS(ROW(),3))),98)</f>
        <v>98</v>
      </c>
    </row>
    <row r="934" spans="1:13">
      <c r="A934" s="96">
        <f t="shared" si="15"/>
        <v>915</v>
      </c>
      <c r="B934" s="9"/>
      <c r="C934" s="28"/>
      <c r="D934" s="23"/>
      <c r="E934" s="93"/>
      <c r="F934" s="24"/>
      <c r="G934" s="130"/>
      <c r="H934" s="46"/>
      <c r="I934" s="131"/>
      <c r="J934" s="126"/>
      <c r="K934" s="121"/>
      <c r="L934" s="78"/>
      <c r="M934" s="72">
        <f ca="1">IF(INDIRECT(ADDRESS(ROW(),3))&lt;&gt;"",getIBANchecksum(INDIRECT(ADDRESS(ROW(),3))),98)</f>
        <v>98</v>
      </c>
    </row>
    <row r="935" spans="1:13">
      <c r="A935" s="96">
        <f t="shared" si="15"/>
        <v>916</v>
      </c>
      <c r="B935" s="9"/>
      <c r="C935" s="28"/>
      <c r="D935" s="23"/>
      <c r="E935" s="93"/>
      <c r="F935" s="24"/>
      <c r="G935" s="130"/>
      <c r="H935" s="46"/>
      <c r="I935" s="131"/>
      <c r="J935" s="126"/>
      <c r="K935" s="121"/>
      <c r="L935" s="78"/>
      <c r="M935" s="72">
        <f ca="1">IF(INDIRECT(ADDRESS(ROW(),3))&lt;&gt;"",getIBANchecksum(INDIRECT(ADDRESS(ROW(),3))),98)</f>
        <v>98</v>
      </c>
    </row>
    <row r="936" spans="1:13">
      <c r="A936" s="96">
        <f t="shared" si="15"/>
        <v>917</v>
      </c>
      <c r="B936" s="9"/>
      <c r="C936" s="28"/>
      <c r="D936" s="23"/>
      <c r="E936" s="93"/>
      <c r="F936" s="24"/>
      <c r="G936" s="130"/>
      <c r="H936" s="46"/>
      <c r="I936" s="131"/>
      <c r="J936" s="126"/>
      <c r="K936" s="121"/>
      <c r="L936" s="78"/>
      <c r="M936" s="72">
        <f ca="1">IF(INDIRECT(ADDRESS(ROW(),3))&lt;&gt;"",getIBANchecksum(INDIRECT(ADDRESS(ROW(),3))),98)</f>
        <v>98</v>
      </c>
    </row>
    <row r="937" spans="1:13">
      <c r="A937" s="96">
        <f t="shared" si="15"/>
        <v>918</v>
      </c>
      <c r="B937" s="9"/>
      <c r="C937" s="28"/>
      <c r="D937" s="23"/>
      <c r="E937" s="93"/>
      <c r="F937" s="24"/>
      <c r="G937" s="130"/>
      <c r="H937" s="46"/>
      <c r="I937" s="131"/>
      <c r="J937" s="126"/>
      <c r="K937" s="121"/>
      <c r="L937" s="78"/>
      <c r="M937" s="72">
        <f ca="1">IF(INDIRECT(ADDRESS(ROW(),3))&lt;&gt;"",getIBANchecksum(INDIRECT(ADDRESS(ROW(),3))),98)</f>
        <v>98</v>
      </c>
    </row>
    <row r="938" spans="1:13">
      <c r="A938" s="96">
        <f t="shared" si="15"/>
        <v>919</v>
      </c>
      <c r="B938" s="9"/>
      <c r="C938" s="28"/>
      <c r="D938" s="23"/>
      <c r="E938" s="93"/>
      <c r="F938" s="24"/>
      <c r="G938" s="130"/>
      <c r="H938" s="46"/>
      <c r="I938" s="131"/>
      <c r="J938" s="126"/>
      <c r="K938" s="121"/>
      <c r="L938" s="78"/>
      <c r="M938" s="72">
        <f ca="1">IF(INDIRECT(ADDRESS(ROW(),3))&lt;&gt;"",getIBANchecksum(INDIRECT(ADDRESS(ROW(),3))),98)</f>
        <v>98</v>
      </c>
    </row>
    <row r="939" spans="1:13">
      <c r="A939" s="96">
        <f t="shared" si="15"/>
        <v>920</v>
      </c>
      <c r="B939" s="9"/>
      <c r="C939" s="28"/>
      <c r="D939" s="23"/>
      <c r="E939" s="93"/>
      <c r="F939" s="24"/>
      <c r="G939" s="130"/>
      <c r="H939" s="46"/>
      <c r="I939" s="131"/>
      <c r="J939" s="126"/>
      <c r="K939" s="121"/>
      <c r="L939" s="78"/>
      <c r="M939" s="72">
        <f ca="1">IF(INDIRECT(ADDRESS(ROW(),3))&lt;&gt;"",getIBANchecksum(INDIRECT(ADDRESS(ROW(),3))),98)</f>
        <v>98</v>
      </c>
    </row>
    <row r="940" spans="1:13">
      <c r="A940" s="96">
        <f t="shared" si="15"/>
        <v>921</v>
      </c>
      <c r="B940" s="9"/>
      <c r="C940" s="28"/>
      <c r="D940" s="23"/>
      <c r="E940" s="93"/>
      <c r="F940" s="24"/>
      <c r="G940" s="130"/>
      <c r="H940" s="46"/>
      <c r="I940" s="131"/>
      <c r="J940" s="126"/>
      <c r="K940" s="121"/>
      <c r="L940" s="78"/>
      <c r="M940" s="72">
        <f ca="1">IF(INDIRECT(ADDRESS(ROW(),3))&lt;&gt;"",getIBANchecksum(INDIRECT(ADDRESS(ROW(),3))),98)</f>
        <v>98</v>
      </c>
    </row>
    <row r="941" spans="1:13">
      <c r="A941" s="96">
        <f t="shared" si="15"/>
        <v>922</v>
      </c>
      <c r="B941" s="9"/>
      <c r="C941" s="28"/>
      <c r="D941" s="23"/>
      <c r="E941" s="93"/>
      <c r="F941" s="24"/>
      <c r="G941" s="130"/>
      <c r="H941" s="46"/>
      <c r="I941" s="131"/>
      <c r="J941" s="126"/>
      <c r="K941" s="121"/>
      <c r="L941" s="78"/>
      <c r="M941" s="72">
        <f ca="1">IF(INDIRECT(ADDRESS(ROW(),3))&lt;&gt;"",getIBANchecksum(INDIRECT(ADDRESS(ROW(),3))),98)</f>
        <v>98</v>
      </c>
    </row>
    <row r="942" spans="1:13">
      <c r="A942" s="96">
        <f t="shared" si="15"/>
        <v>923</v>
      </c>
      <c r="B942" s="9"/>
      <c r="C942" s="28"/>
      <c r="D942" s="23"/>
      <c r="E942" s="93"/>
      <c r="F942" s="24"/>
      <c r="G942" s="130"/>
      <c r="H942" s="46"/>
      <c r="I942" s="131"/>
      <c r="J942" s="126"/>
      <c r="K942" s="121"/>
      <c r="L942" s="78"/>
      <c r="M942" s="72">
        <f ca="1">IF(INDIRECT(ADDRESS(ROW(),3))&lt;&gt;"",getIBANchecksum(INDIRECT(ADDRESS(ROW(),3))),98)</f>
        <v>98</v>
      </c>
    </row>
    <row r="943" spans="1:13">
      <c r="A943" s="96">
        <f t="shared" si="15"/>
        <v>924</v>
      </c>
      <c r="B943" s="9"/>
      <c r="C943" s="28"/>
      <c r="D943" s="23"/>
      <c r="E943" s="93"/>
      <c r="F943" s="24"/>
      <c r="G943" s="130"/>
      <c r="H943" s="46"/>
      <c r="I943" s="131"/>
      <c r="J943" s="126"/>
      <c r="K943" s="121"/>
      <c r="L943" s="78"/>
      <c r="M943" s="72">
        <f ca="1">IF(INDIRECT(ADDRESS(ROW(),3))&lt;&gt;"",getIBANchecksum(INDIRECT(ADDRESS(ROW(),3))),98)</f>
        <v>98</v>
      </c>
    </row>
    <row r="944" spans="1:13">
      <c r="A944" s="96">
        <f t="shared" si="15"/>
        <v>925</v>
      </c>
      <c r="B944" s="9"/>
      <c r="C944" s="28"/>
      <c r="D944" s="23"/>
      <c r="E944" s="93"/>
      <c r="F944" s="24"/>
      <c r="G944" s="130"/>
      <c r="H944" s="46"/>
      <c r="I944" s="131"/>
      <c r="J944" s="126"/>
      <c r="K944" s="121"/>
      <c r="L944" s="78"/>
      <c r="M944" s="72">
        <f ca="1">IF(INDIRECT(ADDRESS(ROW(),3))&lt;&gt;"",getIBANchecksum(INDIRECT(ADDRESS(ROW(),3))),98)</f>
        <v>98</v>
      </c>
    </row>
    <row r="945" spans="1:13">
      <c r="A945" s="96">
        <f t="shared" si="15"/>
        <v>926</v>
      </c>
      <c r="B945" s="9"/>
      <c r="C945" s="28"/>
      <c r="D945" s="23"/>
      <c r="E945" s="93"/>
      <c r="F945" s="24"/>
      <c r="G945" s="130"/>
      <c r="H945" s="46"/>
      <c r="I945" s="131"/>
      <c r="J945" s="126"/>
      <c r="K945" s="121"/>
      <c r="L945" s="78"/>
      <c r="M945" s="72">
        <f ca="1">IF(INDIRECT(ADDRESS(ROW(),3))&lt;&gt;"",getIBANchecksum(INDIRECT(ADDRESS(ROW(),3))),98)</f>
        <v>98</v>
      </c>
    </row>
    <row r="946" spans="1:13">
      <c r="A946" s="96">
        <f t="shared" si="15"/>
        <v>927</v>
      </c>
      <c r="B946" s="9"/>
      <c r="C946" s="28"/>
      <c r="D946" s="23"/>
      <c r="E946" s="93"/>
      <c r="F946" s="24"/>
      <c r="G946" s="130"/>
      <c r="H946" s="46"/>
      <c r="I946" s="131"/>
      <c r="J946" s="126"/>
      <c r="K946" s="121"/>
      <c r="L946" s="78"/>
      <c r="M946" s="72">
        <f ca="1">IF(INDIRECT(ADDRESS(ROW(),3))&lt;&gt;"",getIBANchecksum(INDIRECT(ADDRESS(ROW(),3))),98)</f>
        <v>98</v>
      </c>
    </row>
    <row r="947" spans="1:13">
      <c r="A947" s="96">
        <f t="shared" si="15"/>
        <v>928</v>
      </c>
      <c r="B947" s="9"/>
      <c r="C947" s="28"/>
      <c r="D947" s="23"/>
      <c r="E947" s="93"/>
      <c r="F947" s="24"/>
      <c r="G947" s="130"/>
      <c r="H947" s="46"/>
      <c r="I947" s="131"/>
      <c r="J947" s="126"/>
      <c r="K947" s="121"/>
      <c r="L947" s="78"/>
      <c r="M947" s="72">
        <f ca="1">IF(INDIRECT(ADDRESS(ROW(),3))&lt;&gt;"",getIBANchecksum(INDIRECT(ADDRESS(ROW(),3))),98)</f>
        <v>98</v>
      </c>
    </row>
    <row r="948" spans="1:13">
      <c r="A948" s="96">
        <f t="shared" si="15"/>
        <v>929</v>
      </c>
      <c r="B948" s="9"/>
      <c r="C948" s="28"/>
      <c r="D948" s="23"/>
      <c r="E948" s="93"/>
      <c r="F948" s="24"/>
      <c r="G948" s="130"/>
      <c r="H948" s="46"/>
      <c r="I948" s="131"/>
      <c r="J948" s="126"/>
      <c r="K948" s="121"/>
      <c r="L948" s="78"/>
      <c r="M948" s="72">
        <f ca="1">IF(INDIRECT(ADDRESS(ROW(),3))&lt;&gt;"",getIBANchecksum(INDIRECT(ADDRESS(ROW(),3))),98)</f>
        <v>98</v>
      </c>
    </row>
    <row r="949" spans="1:13">
      <c r="A949" s="96">
        <f t="shared" si="15"/>
        <v>930</v>
      </c>
      <c r="B949" s="9"/>
      <c r="C949" s="28"/>
      <c r="D949" s="23"/>
      <c r="E949" s="93"/>
      <c r="F949" s="24"/>
      <c r="G949" s="130"/>
      <c r="H949" s="46"/>
      <c r="I949" s="131"/>
      <c r="J949" s="126"/>
      <c r="K949" s="121"/>
      <c r="L949" s="78"/>
      <c r="M949" s="72">
        <f ca="1">IF(INDIRECT(ADDRESS(ROW(),3))&lt;&gt;"",getIBANchecksum(INDIRECT(ADDRESS(ROW(),3))),98)</f>
        <v>98</v>
      </c>
    </row>
    <row r="950" spans="1:13">
      <c r="A950" s="96">
        <f t="shared" si="15"/>
        <v>931</v>
      </c>
      <c r="B950" s="9"/>
      <c r="C950" s="28"/>
      <c r="D950" s="23"/>
      <c r="E950" s="93"/>
      <c r="F950" s="24"/>
      <c r="G950" s="130"/>
      <c r="H950" s="46"/>
      <c r="I950" s="131"/>
      <c r="J950" s="126"/>
      <c r="K950" s="121"/>
      <c r="L950" s="78"/>
      <c r="M950" s="72">
        <f ca="1">IF(INDIRECT(ADDRESS(ROW(),3))&lt;&gt;"",getIBANchecksum(INDIRECT(ADDRESS(ROW(),3))),98)</f>
        <v>98</v>
      </c>
    </row>
    <row r="951" spans="1:13">
      <c r="A951" s="96">
        <f t="shared" si="15"/>
        <v>932</v>
      </c>
      <c r="B951" s="9"/>
      <c r="C951" s="28"/>
      <c r="D951" s="23"/>
      <c r="E951" s="93"/>
      <c r="F951" s="24"/>
      <c r="G951" s="130"/>
      <c r="H951" s="46"/>
      <c r="I951" s="131"/>
      <c r="J951" s="126"/>
      <c r="K951" s="121"/>
      <c r="L951" s="78"/>
      <c r="M951" s="72">
        <f ca="1">IF(INDIRECT(ADDRESS(ROW(),3))&lt;&gt;"",getIBANchecksum(INDIRECT(ADDRESS(ROW(),3))),98)</f>
        <v>98</v>
      </c>
    </row>
    <row r="952" spans="1:13">
      <c r="A952" s="96">
        <f t="shared" si="15"/>
        <v>933</v>
      </c>
      <c r="B952" s="9"/>
      <c r="C952" s="28"/>
      <c r="D952" s="23"/>
      <c r="E952" s="93"/>
      <c r="F952" s="24"/>
      <c r="G952" s="130"/>
      <c r="H952" s="46"/>
      <c r="I952" s="131"/>
      <c r="J952" s="126"/>
      <c r="K952" s="121"/>
      <c r="L952" s="78"/>
      <c r="M952" s="72">
        <f ca="1">IF(INDIRECT(ADDRESS(ROW(),3))&lt;&gt;"",getIBANchecksum(INDIRECT(ADDRESS(ROW(),3))),98)</f>
        <v>98</v>
      </c>
    </row>
    <row r="953" spans="1:13">
      <c r="A953" s="96">
        <f t="shared" si="15"/>
        <v>934</v>
      </c>
      <c r="B953" s="9"/>
      <c r="C953" s="28"/>
      <c r="D953" s="23"/>
      <c r="E953" s="93"/>
      <c r="F953" s="24"/>
      <c r="G953" s="130"/>
      <c r="H953" s="46"/>
      <c r="I953" s="131"/>
      <c r="J953" s="126"/>
      <c r="K953" s="121"/>
      <c r="L953" s="78"/>
      <c r="M953" s="72">
        <f ca="1">IF(INDIRECT(ADDRESS(ROW(),3))&lt;&gt;"",getIBANchecksum(INDIRECT(ADDRESS(ROW(),3))),98)</f>
        <v>98</v>
      </c>
    </row>
    <row r="954" spans="1:13">
      <c r="A954" s="96">
        <f t="shared" si="15"/>
        <v>935</v>
      </c>
      <c r="B954" s="9"/>
      <c r="C954" s="28"/>
      <c r="D954" s="23"/>
      <c r="E954" s="93"/>
      <c r="F954" s="24"/>
      <c r="G954" s="130"/>
      <c r="H954" s="46"/>
      <c r="I954" s="131"/>
      <c r="J954" s="126"/>
      <c r="K954" s="121"/>
      <c r="L954" s="78"/>
      <c r="M954" s="72">
        <f ca="1">IF(INDIRECT(ADDRESS(ROW(),3))&lt;&gt;"",getIBANchecksum(INDIRECT(ADDRESS(ROW(),3))),98)</f>
        <v>98</v>
      </c>
    </row>
    <row r="955" spans="1:13">
      <c r="A955" s="96">
        <f t="shared" si="15"/>
        <v>936</v>
      </c>
      <c r="B955" s="9"/>
      <c r="C955" s="28"/>
      <c r="D955" s="23"/>
      <c r="E955" s="93"/>
      <c r="F955" s="24"/>
      <c r="G955" s="130"/>
      <c r="H955" s="46"/>
      <c r="I955" s="131"/>
      <c r="J955" s="126"/>
      <c r="K955" s="121"/>
      <c r="L955" s="78"/>
      <c r="M955" s="72">
        <f ca="1">IF(INDIRECT(ADDRESS(ROW(),3))&lt;&gt;"",getIBANchecksum(INDIRECT(ADDRESS(ROW(),3))),98)</f>
        <v>98</v>
      </c>
    </row>
    <row r="956" spans="1:13">
      <c r="A956" s="96">
        <f t="shared" si="15"/>
        <v>937</v>
      </c>
      <c r="B956" s="9"/>
      <c r="C956" s="28"/>
      <c r="D956" s="23"/>
      <c r="E956" s="93"/>
      <c r="F956" s="24"/>
      <c r="G956" s="130"/>
      <c r="H956" s="46"/>
      <c r="I956" s="131"/>
      <c r="J956" s="126"/>
      <c r="K956" s="121"/>
      <c r="L956" s="78"/>
      <c r="M956" s="72">
        <f ca="1">IF(INDIRECT(ADDRESS(ROW(),3))&lt;&gt;"",getIBANchecksum(INDIRECT(ADDRESS(ROW(),3))),98)</f>
        <v>98</v>
      </c>
    </row>
    <row r="957" spans="1:13">
      <c r="A957" s="96">
        <f t="shared" si="15"/>
        <v>938</v>
      </c>
      <c r="B957" s="9"/>
      <c r="C957" s="28"/>
      <c r="D957" s="23"/>
      <c r="E957" s="93"/>
      <c r="F957" s="24"/>
      <c r="G957" s="130"/>
      <c r="H957" s="46"/>
      <c r="I957" s="131"/>
      <c r="J957" s="126"/>
      <c r="K957" s="121"/>
      <c r="L957" s="78"/>
      <c r="M957" s="72">
        <f ca="1">IF(INDIRECT(ADDRESS(ROW(),3))&lt;&gt;"",getIBANchecksum(INDIRECT(ADDRESS(ROW(),3))),98)</f>
        <v>98</v>
      </c>
    </row>
    <row r="958" spans="1:13">
      <c r="A958" s="96">
        <f t="shared" si="15"/>
        <v>939</v>
      </c>
      <c r="B958" s="9"/>
      <c r="C958" s="28"/>
      <c r="D958" s="23"/>
      <c r="E958" s="93"/>
      <c r="F958" s="24"/>
      <c r="G958" s="130"/>
      <c r="H958" s="46"/>
      <c r="I958" s="131"/>
      <c r="J958" s="126"/>
      <c r="K958" s="121"/>
      <c r="L958" s="78"/>
      <c r="M958" s="72">
        <f ca="1">IF(INDIRECT(ADDRESS(ROW(),3))&lt;&gt;"",getIBANchecksum(INDIRECT(ADDRESS(ROW(),3))),98)</f>
        <v>98</v>
      </c>
    </row>
    <row r="959" spans="1:13">
      <c r="A959" s="96">
        <f t="shared" si="15"/>
        <v>940</v>
      </c>
      <c r="B959" s="9"/>
      <c r="C959" s="28"/>
      <c r="D959" s="23"/>
      <c r="E959" s="93"/>
      <c r="F959" s="24"/>
      <c r="G959" s="130"/>
      <c r="H959" s="46"/>
      <c r="I959" s="131"/>
      <c r="J959" s="126"/>
      <c r="K959" s="121"/>
      <c r="L959" s="78"/>
      <c r="M959" s="72">
        <f ca="1">IF(INDIRECT(ADDRESS(ROW(),3))&lt;&gt;"",getIBANchecksum(INDIRECT(ADDRESS(ROW(),3))),98)</f>
        <v>98</v>
      </c>
    </row>
    <row r="960" spans="1:13">
      <c r="A960" s="96">
        <f t="shared" si="15"/>
        <v>941</v>
      </c>
      <c r="B960" s="9"/>
      <c r="C960" s="28"/>
      <c r="D960" s="23"/>
      <c r="E960" s="93"/>
      <c r="F960" s="24"/>
      <c r="G960" s="130"/>
      <c r="H960" s="46"/>
      <c r="I960" s="131"/>
      <c r="J960" s="126"/>
      <c r="K960" s="121"/>
      <c r="L960" s="78"/>
      <c r="M960" s="72">
        <f ca="1">IF(INDIRECT(ADDRESS(ROW(),3))&lt;&gt;"",getIBANchecksum(INDIRECT(ADDRESS(ROW(),3))),98)</f>
        <v>98</v>
      </c>
    </row>
    <row r="961" spans="1:13">
      <c r="A961" s="96">
        <f t="shared" si="15"/>
        <v>942</v>
      </c>
      <c r="B961" s="9"/>
      <c r="C961" s="28"/>
      <c r="D961" s="23"/>
      <c r="E961" s="93"/>
      <c r="F961" s="24"/>
      <c r="G961" s="130"/>
      <c r="H961" s="46"/>
      <c r="I961" s="131"/>
      <c r="J961" s="126"/>
      <c r="K961" s="121"/>
      <c r="L961" s="78"/>
      <c r="M961" s="72">
        <f ca="1">IF(INDIRECT(ADDRESS(ROW(),3))&lt;&gt;"",getIBANchecksum(INDIRECT(ADDRESS(ROW(),3))),98)</f>
        <v>98</v>
      </c>
    </row>
    <row r="962" spans="1:13">
      <c r="A962" s="96">
        <f t="shared" si="15"/>
        <v>943</v>
      </c>
      <c r="B962" s="9"/>
      <c r="C962" s="28"/>
      <c r="D962" s="23"/>
      <c r="E962" s="93"/>
      <c r="F962" s="24"/>
      <c r="G962" s="130"/>
      <c r="H962" s="46"/>
      <c r="I962" s="131"/>
      <c r="J962" s="126"/>
      <c r="K962" s="121"/>
      <c r="L962" s="78"/>
      <c r="M962" s="72">
        <f ca="1">IF(INDIRECT(ADDRESS(ROW(),3))&lt;&gt;"",getIBANchecksum(INDIRECT(ADDRESS(ROW(),3))),98)</f>
        <v>98</v>
      </c>
    </row>
    <row r="963" spans="1:13">
      <c r="A963" s="96">
        <f t="shared" si="15"/>
        <v>944</v>
      </c>
      <c r="B963" s="9"/>
      <c r="C963" s="28"/>
      <c r="D963" s="23"/>
      <c r="E963" s="93"/>
      <c r="F963" s="24"/>
      <c r="G963" s="130"/>
      <c r="H963" s="46"/>
      <c r="I963" s="131"/>
      <c r="J963" s="126"/>
      <c r="K963" s="121"/>
      <c r="L963" s="78"/>
      <c r="M963" s="72">
        <f ca="1">IF(INDIRECT(ADDRESS(ROW(),3))&lt;&gt;"",getIBANchecksum(INDIRECT(ADDRESS(ROW(),3))),98)</f>
        <v>98</v>
      </c>
    </row>
    <row r="964" spans="1:13">
      <c r="A964" s="96">
        <f t="shared" si="15"/>
        <v>945</v>
      </c>
      <c r="B964" s="9"/>
      <c r="C964" s="28"/>
      <c r="D964" s="23"/>
      <c r="E964" s="93"/>
      <c r="F964" s="24"/>
      <c r="G964" s="130"/>
      <c r="H964" s="46"/>
      <c r="I964" s="131"/>
      <c r="J964" s="126"/>
      <c r="K964" s="121"/>
      <c r="L964" s="78"/>
      <c r="M964" s="72">
        <f ca="1">IF(INDIRECT(ADDRESS(ROW(),3))&lt;&gt;"",getIBANchecksum(INDIRECT(ADDRESS(ROW(),3))),98)</f>
        <v>98</v>
      </c>
    </row>
    <row r="965" spans="1:13">
      <c r="A965" s="96">
        <f t="shared" si="15"/>
        <v>946</v>
      </c>
      <c r="B965" s="9"/>
      <c r="C965" s="28"/>
      <c r="D965" s="23"/>
      <c r="E965" s="93"/>
      <c r="F965" s="24"/>
      <c r="G965" s="130"/>
      <c r="H965" s="46"/>
      <c r="I965" s="131"/>
      <c r="J965" s="126"/>
      <c r="K965" s="121"/>
      <c r="L965" s="78"/>
      <c r="M965" s="72">
        <f ca="1">IF(INDIRECT(ADDRESS(ROW(),3))&lt;&gt;"",getIBANchecksum(INDIRECT(ADDRESS(ROW(),3))),98)</f>
        <v>98</v>
      </c>
    </row>
    <row r="966" spans="1:13">
      <c r="A966" s="96">
        <f t="shared" si="15"/>
        <v>947</v>
      </c>
      <c r="B966" s="9"/>
      <c r="C966" s="28"/>
      <c r="D966" s="23"/>
      <c r="E966" s="93"/>
      <c r="F966" s="24"/>
      <c r="G966" s="130"/>
      <c r="H966" s="46"/>
      <c r="I966" s="131"/>
      <c r="J966" s="126"/>
      <c r="K966" s="121"/>
      <c r="L966" s="78"/>
      <c r="M966" s="72">
        <f ca="1">IF(INDIRECT(ADDRESS(ROW(),3))&lt;&gt;"",getIBANchecksum(INDIRECT(ADDRESS(ROW(),3))),98)</f>
        <v>98</v>
      </c>
    </row>
    <row r="967" spans="1:13">
      <c r="A967" s="96">
        <f t="shared" si="15"/>
        <v>948</v>
      </c>
      <c r="B967" s="9"/>
      <c r="C967" s="28"/>
      <c r="D967" s="23"/>
      <c r="E967" s="93"/>
      <c r="F967" s="24"/>
      <c r="G967" s="130"/>
      <c r="H967" s="46"/>
      <c r="I967" s="131"/>
      <c r="J967" s="126"/>
      <c r="K967" s="121"/>
      <c r="L967" s="78"/>
      <c r="M967" s="72">
        <f ca="1">IF(INDIRECT(ADDRESS(ROW(),3))&lt;&gt;"",getIBANchecksum(INDIRECT(ADDRESS(ROW(),3))),98)</f>
        <v>98</v>
      </c>
    </row>
    <row r="968" spans="1:13">
      <c r="A968" s="96">
        <f t="shared" si="15"/>
        <v>949</v>
      </c>
      <c r="B968" s="9"/>
      <c r="C968" s="28"/>
      <c r="D968" s="23"/>
      <c r="E968" s="93"/>
      <c r="F968" s="24"/>
      <c r="G968" s="130"/>
      <c r="H968" s="46"/>
      <c r="I968" s="131"/>
      <c r="J968" s="126"/>
      <c r="K968" s="121"/>
      <c r="L968" s="78"/>
      <c r="M968" s="72">
        <f ca="1">IF(INDIRECT(ADDRESS(ROW(),3))&lt;&gt;"",getIBANchecksum(INDIRECT(ADDRESS(ROW(),3))),98)</f>
        <v>98</v>
      </c>
    </row>
    <row r="969" spans="1:13">
      <c r="A969" s="96">
        <f t="shared" si="15"/>
        <v>950</v>
      </c>
      <c r="B969" s="9"/>
      <c r="C969" s="28"/>
      <c r="D969" s="23"/>
      <c r="E969" s="93"/>
      <c r="F969" s="24"/>
      <c r="G969" s="130"/>
      <c r="H969" s="46"/>
      <c r="I969" s="131"/>
      <c r="J969" s="126"/>
      <c r="K969" s="121"/>
      <c r="L969" s="78"/>
      <c r="M969" s="72">
        <f ca="1">IF(INDIRECT(ADDRESS(ROW(),3))&lt;&gt;"",getIBANchecksum(INDIRECT(ADDRESS(ROW(),3))),98)</f>
        <v>98</v>
      </c>
    </row>
    <row r="970" spans="1:13">
      <c r="A970" s="96">
        <f t="shared" si="15"/>
        <v>951</v>
      </c>
      <c r="B970" s="9"/>
      <c r="C970" s="28"/>
      <c r="D970" s="23"/>
      <c r="E970" s="93"/>
      <c r="F970" s="24"/>
      <c r="G970" s="130"/>
      <c r="H970" s="46"/>
      <c r="I970" s="131"/>
      <c r="J970" s="126"/>
      <c r="K970" s="121"/>
      <c r="L970" s="78"/>
      <c r="M970" s="72">
        <f ca="1">IF(INDIRECT(ADDRESS(ROW(),3))&lt;&gt;"",getIBANchecksum(INDIRECT(ADDRESS(ROW(),3))),98)</f>
        <v>98</v>
      </c>
    </row>
    <row r="971" spans="1:13">
      <c r="A971" s="96">
        <f t="shared" si="15"/>
        <v>952</v>
      </c>
      <c r="B971" s="9"/>
      <c r="C971" s="28"/>
      <c r="D971" s="23"/>
      <c r="E971" s="93"/>
      <c r="F971" s="24"/>
      <c r="G971" s="130"/>
      <c r="H971" s="46"/>
      <c r="I971" s="131"/>
      <c r="J971" s="126"/>
      <c r="K971" s="121"/>
      <c r="L971" s="78"/>
      <c r="M971" s="72">
        <f ca="1">IF(INDIRECT(ADDRESS(ROW(),3))&lt;&gt;"",getIBANchecksum(INDIRECT(ADDRESS(ROW(),3))),98)</f>
        <v>98</v>
      </c>
    </row>
    <row r="972" spans="1:13">
      <c r="A972" s="96">
        <f t="shared" si="15"/>
        <v>953</v>
      </c>
      <c r="B972" s="9"/>
      <c r="C972" s="28"/>
      <c r="D972" s="23"/>
      <c r="E972" s="93"/>
      <c r="F972" s="24"/>
      <c r="G972" s="130"/>
      <c r="H972" s="46"/>
      <c r="I972" s="131"/>
      <c r="J972" s="126"/>
      <c r="K972" s="121"/>
      <c r="L972" s="78"/>
      <c r="M972" s="72">
        <f ca="1">IF(INDIRECT(ADDRESS(ROW(),3))&lt;&gt;"",getIBANchecksum(INDIRECT(ADDRESS(ROW(),3))),98)</f>
        <v>98</v>
      </c>
    </row>
    <row r="973" spans="1:13">
      <c r="A973" s="96">
        <f t="shared" si="15"/>
        <v>954</v>
      </c>
      <c r="B973" s="9"/>
      <c r="C973" s="28"/>
      <c r="D973" s="23"/>
      <c r="E973" s="93"/>
      <c r="F973" s="24"/>
      <c r="G973" s="130"/>
      <c r="H973" s="46"/>
      <c r="I973" s="131"/>
      <c r="J973" s="126"/>
      <c r="K973" s="121"/>
      <c r="L973" s="78"/>
      <c r="M973" s="72">
        <f ca="1">IF(INDIRECT(ADDRESS(ROW(),3))&lt;&gt;"",getIBANchecksum(INDIRECT(ADDRESS(ROW(),3))),98)</f>
        <v>98</v>
      </c>
    </row>
    <row r="974" spans="1:13">
      <c r="A974" s="96">
        <f t="shared" si="15"/>
        <v>955</v>
      </c>
      <c r="B974" s="9"/>
      <c r="C974" s="28"/>
      <c r="D974" s="23"/>
      <c r="E974" s="93"/>
      <c r="F974" s="24"/>
      <c r="G974" s="130"/>
      <c r="H974" s="46"/>
      <c r="I974" s="131"/>
      <c r="J974" s="126"/>
      <c r="K974" s="121"/>
      <c r="L974" s="78"/>
      <c r="M974" s="72">
        <f ca="1">IF(INDIRECT(ADDRESS(ROW(),3))&lt;&gt;"",getIBANchecksum(INDIRECT(ADDRESS(ROW(),3))),98)</f>
        <v>98</v>
      </c>
    </row>
    <row r="975" spans="1:13">
      <c r="A975" s="96">
        <f t="shared" si="15"/>
        <v>956</v>
      </c>
      <c r="B975" s="9"/>
      <c r="C975" s="28"/>
      <c r="D975" s="23"/>
      <c r="E975" s="93"/>
      <c r="F975" s="24"/>
      <c r="G975" s="130"/>
      <c r="H975" s="46"/>
      <c r="I975" s="131"/>
      <c r="J975" s="126"/>
      <c r="K975" s="121"/>
      <c r="L975" s="78"/>
      <c r="M975" s="72">
        <f ca="1">IF(INDIRECT(ADDRESS(ROW(),3))&lt;&gt;"",getIBANchecksum(INDIRECT(ADDRESS(ROW(),3))),98)</f>
        <v>98</v>
      </c>
    </row>
    <row r="976" spans="1:13">
      <c r="A976" s="96">
        <f t="shared" si="15"/>
        <v>957</v>
      </c>
      <c r="B976" s="9"/>
      <c r="C976" s="28"/>
      <c r="D976" s="23"/>
      <c r="E976" s="93"/>
      <c r="F976" s="24"/>
      <c r="G976" s="130"/>
      <c r="H976" s="46"/>
      <c r="I976" s="131"/>
      <c r="J976" s="126"/>
      <c r="K976" s="121"/>
      <c r="L976" s="78"/>
      <c r="M976" s="72">
        <f ca="1">IF(INDIRECT(ADDRESS(ROW(),3))&lt;&gt;"",getIBANchecksum(INDIRECT(ADDRESS(ROW(),3))),98)</f>
        <v>98</v>
      </c>
    </row>
    <row r="977" spans="1:13">
      <c r="A977" s="96">
        <f t="shared" si="15"/>
        <v>958</v>
      </c>
      <c r="B977" s="9"/>
      <c r="C977" s="28"/>
      <c r="D977" s="23"/>
      <c r="E977" s="93"/>
      <c r="F977" s="24"/>
      <c r="G977" s="130"/>
      <c r="H977" s="46"/>
      <c r="I977" s="131"/>
      <c r="J977" s="126"/>
      <c r="K977" s="121"/>
      <c r="L977" s="78"/>
      <c r="M977" s="72">
        <f ca="1">IF(INDIRECT(ADDRESS(ROW(),3))&lt;&gt;"",getIBANchecksum(INDIRECT(ADDRESS(ROW(),3))),98)</f>
        <v>98</v>
      </c>
    </row>
    <row r="978" spans="1:13">
      <c r="A978" s="96">
        <f t="shared" si="15"/>
        <v>959</v>
      </c>
      <c r="B978" s="9"/>
      <c r="C978" s="28"/>
      <c r="D978" s="23"/>
      <c r="E978" s="93"/>
      <c r="F978" s="24"/>
      <c r="G978" s="130"/>
      <c r="H978" s="46"/>
      <c r="I978" s="131"/>
      <c r="J978" s="126"/>
      <c r="K978" s="121"/>
      <c r="L978" s="78"/>
      <c r="M978" s="72">
        <f ca="1">IF(INDIRECT(ADDRESS(ROW(),3))&lt;&gt;"",getIBANchecksum(INDIRECT(ADDRESS(ROW(),3))),98)</f>
        <v>98</v>
      </c>
    </row>
    <row r="979" spans="1:13">
      <c r="A979" s="96">
        <f t="shared" si="15"/>
        <v>960</v>
      </c>
      <c r="B979" s="9"/>
      <c r="C979" s="28"/>
      <c r="D979" s="23"/>
      <c r="E979" s="93"/>
      <c r="F979" s="24"/>
      <c r="G979" s="130"/>
      <c r="H979" s="46"/>
      <c r="I979" s="131"/>
      <c r="J979" s="126"/>
      <c r="K979" s="121"/>
      <c r="L979" s="78"/>
      <c r="M979" s="72">
        <f ca="1">IF(INDIRECT(ADDRESS(ROW(),3))&lt;&gt;"",getIBANchecksum(INDIRECT(ADDRESS(ROW(),3))),98)</f>
        <v>98</v>
      </c>
    </row>
    <row r="980" spans="1:13">
      <c r="A980" s="96">
        <f t="shared" si="15"/>
        <v>961</v>
      </c>
      <c r="B980" s="9"/>
      <c r="C980" s="28"/>
      <c r="D980" s="23"/>
      <c r="E980" s="93"/>
      <c r="F980" s="24"/>
      <c r="G980" s="130"/>
      <c r="H980" s="46"/>
      <c r="I980" s="131"/>
      <c r="J980" s="126"/>
      <c r="K980" s="121"/>
      <c r="L980" s="78"/>
      <c r="M980" s="72">
        <f ca="1">IF(INDIRECT(ADDRESS(ROW(),3))&lt;&gt;"",getIBANchecksum(INDIRECT(ADDRESS(ROW(),3))),98)</f>
        <v>98</v>
      </c>
    </row>
    <row r="981" spans="1:13">
      <c r="A981" s="96">
        <f t="shared" si="15"/>
        <v>962</v>
      </c>
      <c r="B981" s="9"/>
      <c r="C981" s="28"/>
      <c r="D981" s="23"/>
      <c r="E981" s="93"/>
      <c r="F981" s="24"/>
      <c r="G981" s="130"/>
      <c r="H981" s="46"/>
      <c r="I981" s="131"/>
      <c r="J981" s="126"/>
      <c r="K981" s="121"/>
      <c r="L981" s="78"/>
      <c r="M981" s="72">
        <f ca="1">IF(INDIRECT(ADDRESS(ROW(),3))&lt;&gt;"",getIBANchecksum(INDIRECT(ADDRESS(ROW(),3))),98)</f>
        <v>98</v>
      </c>
    </row>
    <row r="982" spans="1:13">
      <c r="A982" s="96">
        <f t="shared" ref="A982:A1045" si="16">A981+1</f>
        <v>963</v>
      </c>
      <c r="B982" s="9"/>
      <c r="C982" s="28"/>
      <c r="D982" s="23"/>
      <c r="E982" s="93"/>
      <c r="F982" s="24"/>
      <c r="G982" s="130"/>
      <c r="H982" s="46"/>
      <c r="I982" s="131"/>
      <c r="J982" s="126"/>
      <c r="K982" s="121"/>
      <c r="L982" s="78"/>
      <c r="M982" s="72">
        <f ca="1">IF(INDIRECT(ADDRESS(ROW(),3))&lt;&gt;"",getIBANchecksum(INDIRECT(ADDRESS(ROW(),3))),98)</f>
        <v>98</v>
      </c>
    </row>
    <row r="983" spans="1:13">
      <c r="A983" s="96">
        <f t="shared" si="16"/>
        <v>964</v>
      </c>
      <c r="B983" s="9"/>
      <c r="C983" s="28"/>
      <c r="D983" s="23"/>
      <c r="E983" s="93"/>
      <c r="F983" s="24"/>
      <c r="G983" s="130"/>
      <c r="H983" s="46"/>
      <c r="I983" s="131"/>
      <c r="J983" s="126"/>
      <c r="K983" s="121"/>
      <c r="L983" s="78"/>
      <c r="M983" s="72">
        <f ca="1">IF(INDIRECT(ADDRESS(ROW(),3))&lt;&gt;"",getIBANchecksum(INDIRECT(ADDRESS(ROW(),3))),98)</f>
        <v>98</v>
      </c>
    </row>
    <row r="984" spans="1:13">
      <c r="A984" s="96">
        <f t="shared" si="16"/>
        <v>965</v>
      </c>
      <c r="B984" s="9"/>
      <c r="C984" s="28"/>
      <c r="D984" s="23"/>
      <c r="E984" s="93"/>
      <c r="F984" s="24"/>
      <c r="G984" s="130"/>
      <c r="H984" s="46"/>
      <c r="I984" s="131"/>
      <c r="J984" s="126"/>
      <c r="K984" s="121"/>
      <c r="L984" s="78"/>
      <c r="M984" s="72">
        <f ca="1">IF(INDIRECT(ADDRESS(ROW(),3))&lt;&gt;"",getIBANchecksum(INDIRECT(ADDRESS(ROW(),3))),98)</f>
        <v>98</v>
      </c>
    </row>
    <row r="985" spans="1:13">
      <c r="A985" s="96">
        <f t="shared" si="16"/>
        <v>966</v>
      </c>
      <c r="B985" s="9"/>
      <c r="C985" s="28"/>
      <c r="D985" s="23"/>
      <c r="E985" s="93"/>
      <c r="F985" s="24"/>
      <c r="G985" s="130"/>
      <c r="H985" s="46"/>
      <c r="I985" s="131"/>
      <c r="J985" s="126"/>
      <c r="K985" s="121"/>
      <c r="L985" s="78"/>
      <c r="M985" s="72">
        <f ca="1">IF(INDIRECT(ADDRESS(ROW(),3))&lt;&gt;"",getIBANchecksum(INDIRECT(ADDRESS(ROW(),3))),98)</f>
        <v>98</v>
      </c>
    </row>
    <row r="986" spans="1:13">
      <c r="A986" s="96">
        <f t="shared" si="16"/>
        <v>967</v>
      </c>
      <c r="B986" s="9"/>
      <c r="C986" s="28"/>
      <c r="D986" s="23"/>
      <c r="E986" s="93"/>
      <c r="F986" s="24"/>
      <c r="G986" s="130"/>
      <c r="H986" s="46"/>
      <c r="I986" s="131"/>
      <c r="J986" s="126"/>
      <c r="K986" s="121"/>
      <c r="L986" s="78"/>
      <c r="M986" s="72">
        <f ca="1">IF(INDIRECT(ADDRESS(ROW(),3))&lt;&gt;"",getIBANchecksum(INDIRECT(ADDRESS(ROW(),3))),98)</f>
        <v>98</v>
      </c>
    </row>
    <row r="987" spans="1:13">
      <c r="A987" s="96">
        <f t="shared" si="16"/>
        <v>968</v>
      </c>
      <c r="B987" s="9"/>
      <c r="C987" s="28"/>
      <c r="D987" s="23"/>
      <c r="E987" s="93"/>
      <c r="F987" s="24"/>
      <c r="G987" s="130"/>
      <c r="H987" s="46"/>
      <c r="I987" s="131"/>
      <c r="J987" s="126"/>
      <c r="K987" s="121"/>
      <c r="L987" s="78"/>
      <c r="M987" s="72">
        <f ca="1">IF(INDIRECT(ADDRESS(ROW(),3))&lt;&gt;"",getIBANchecksum(INDIRECT(ADDRESS(ROW(),3))),98)</f>
        <v>98</v>
      </c>
    </row>
    <row r="988" spans="1:13">
      <c r="A988" s="96">
        <f t="shared" si="16"/>
        <v>969</v>
      </c>
      <c r="B988" s="9"/>
      <c r="C988" s="28"/>
      <c r="D988" s="23"/>
      <c r="E988" s="93"/>
      <c r="F988" s="24"/>
      <c r="G988" s="130"/>
      <c r="H988" s="46"/>
      <c r="I988" s="131"/>
      <c r="J988" s="126"/>
      <c r="K988" s="121"/>
      <c r="L988" s="78"/>
      <c r="M988" s="72">
        <f ca="1">IF(INDIRECT(ADDRESS(ROW(),3))&lt;&gt;"",getIBANchecksum(INDIRECT(ADDRESS(ROW(),3))),98)</f>
        <v>98</v>
      </c>
    </row>
    <row r="989" spans="1:13">
      <c r="A989" s="96">
        <f t="shared" si="16"/>
        <v>970</v>
      </c>
      <c r="B989" s="9"/>
      <c r="C989" s="28"/>
      <c r="D989" s="23"/>
      <c r="E989" s="93"/>
      <c r="F989" s="24"/>
      <c r="G989" s="130"/>
      <c r="H989" s="46"/>
      <c r="I989" s="131"/>
      <c r="J989" s="126"/>
      <c r="K989" s="121"/>
      <c r="L989" s="78"/>
      <c r="M989" s="72">
        <f ca="1">IF(INDIRECT(ADDRESS(ROW(),3))&lt;&gt;"",getIBANchecksum(INDIRECT(ADDRESS(ROW(),3))),98)</f>
        <v>98</v>
      </c>
    </row>
    <row r="990" spans="1:13">
      <c r="A990" s="96">
        <f t="shared" si="16"/>
        <v>971</v>
      </c>
      <c r="B990" s="9"/>
      <c r="C990" s="28"/>
      <c r="D990" s="23"/>
      <c r="E990" s="93"/>
      <c r="F990" s="24"/>
      <c r="G990" s="130"/>
      <c r="H990" s="46"/>
      <c r="I990" s="131"/>
      <c r="J990" s="126"/>
      <c r="K990" s="121"/>
      <c r="L990" s="78"/>
      <c r="M990" s="72">
        <f ca="1">IF(INDIRECT(ADDRESS(ROW(),3))&lt;&gt;"",getIBANchecksum(INDIRECT(ADDRESS(ROW(),3))),98)</f>
        <v>98</v>
      </c>
    </row>
    <row r="991" spans="1:13">
      <c r="A991" s="96">
        <f t="shared" si="16"/>
        <v>972</v>
      </c>
      <c r="B991" s="9"/>
      <c r="C991" s="28"/>
      <c r="D991" s="23"/>
      <c r="E991" s="93"/>
      <c r="F991" s="24"/>
      <c r="G991" s="130"/>
      <c r="H991" s="46"/>
      <c r="I991" s="131"/>
      <c r="J991" s="126"/>
      <c r="K991" s="121"/>
      <c r="L991" s="78"/>
      <c r="M991" s="72">
        <f ca="1">IF(INDIRECT(ADDRESS(ROW(),3))&lt;&gt;"",getIBANchecksum(INDIRECT(ADDRESS(ROW(),3))),98)</f>
        <v>98</v>
      </c>
    </row>
    <row r="992" spans="1:13">
      <c r="A992" s="96">
        <f t="shared" si="16"/>
        <v>973</v>
      </c>
      <c r="B992" s="9"/>
      <c r="C992" s="28"/>
      <c r="D992" s="23"/>
      <c r="E992" s="93"/>
      <c r="F992" s="24"/>
      <c r="G992" s="130"/>
      <c r="H992" s="46"/>
      <c r="I992" s="131"/>
      <c r="J992" s="126"/>
      <c r="K992" s="121"/>
      <c r="L992" s="78"/>
      <c r="M992" s="72">
        <f ca="1">IF(INDIRECT(ADDRESS(ROW(),3))&lt;&gt;"",getIBANchecksum(INDIRECT(ADDRESS(ROW(),3))),98)</f>
        <v>98</v>
      </c>
    </row>
    <row r="993" spans="1:13">
      <c r="A993" s="96">
        <f t="shared" si="16"/>
        <v>974</v>
      </c>
      <c r="B993" s="9"/>
      <c r="C993" s="28"/>
      <c r="D993" s="23"/>
      <c r="E993" s="93"/>
      <c r="F993" s="24"/>
      <c r="G993" s="130"/>
      <c r="H993" s="46"/>
      <c r="I993" s="131"/>
      <c r="J993" s="126"/>
      <c r="K993" s="121"/>
      <c r="L993" s="78"/>
      <c r="M993" s="72">
        <f ca="1">IF(INDIRECT(ADDRESS(ROW(),3))&lt;&gt;"",getIBANchecksum(INDIRECT(ADDRESS(ROW(),3))),98)</f>
        <v>98</v>
      </c>
    </row>
    <row r="994" spans="1:13">
      <c r="A994" s="96">
        <f t="shared" si="16"/>
        <v>975</v>
      </c>
      <c r="B994" s="9"/>
      <c r="C994" s="28"/>
      <c r="D994" s="23"/>
      <c r="E994" s="93"/>
      <c r="F994" s="24"/>
      <c r="G994" s="130"/>
      <c r="H994" s="46"/>
      <c r="I994" s="131"/>
      <c r="J994" s="126"/>
      <c r="K994" s="121"/>
      <c r="L994" s="78"/>
      <c r="M994" s="72">
        <f ca="1">IF(INDIRECT(ADDRESS(ROW(),3))&lt;&gt;"",getIBANchecksum(INDIRECT(ADDRESS(ROW(),3))),98)</f>
        <v>98</v>
      </c>
    </row>
    <row r="995" spans="1:13">
      <c r="A995" s="96">
        <f t="shared" si="16"/>
        <v>976</v>
      </c>
      <c r="B995" s="9"/>
      <c r="C995" s="28"/>
      <c r="D995" s="23"/>
      <c r="E995" s="93"/>
      <c r="F995" s="24"/>
      <c r="G995" s="130"/>
      <c r="H995" s="46"/>
      <c r="I995" s="131"/>
      <c r="J995" s="126"/>
      <c r="K995" s="121"/>
      <c r="L995" s="78"/>
      <c r="M995" s="72">
        <f ca="1">IF(INDIRECT(ADDRESS(ROW(),3))&lt;&gt;"",getIBANchecksum(INDIRECT(ADDRESS(ROW(),3))),98)</f>
        <v>98</v>
      </c>
    </row>
    <row r="996" spans="1:13">
      <c r="A996" s="96">
        <f t="shared" si="16"/>
        <v>977</v>
      </c>
      <c r="B996" s="9"/>
      <c r="C996" s="28"/>
      <c r="D996" s="23"/>
      <c r="E996" s="93"/>
      <c r="F996" s="24"/>
      <c r="G996" s="130"/>
      <c r="H996" s="46"/>
      <c r="I996" s="131"/>
      <c r="J996" s="126"/>
      <c r="K996" s="121"/>
      <c r="L996" s="78"/>
      <c r="M996" s="72">
        <f ca="1">IF(INDIRECT(ADDRESS(ROW(),3))&lt;&gt;"",getIBANchecksum(INDIRECT(ADDRESS(ROW(),3))),98)</f>
        <v>98</v>
      </c>
    </row>
    <row r="997" spans="1:13">
      <c r="A997" s="96">
        <f t="shared" si="16"/>
        <v>978</v>
      </c>
      <c r="B997" s="9"/>
      <c r="C997" s="28"/>
      <c r="D997" s="23"/>
      <c r="E997" s="93"/>
      <c r="F997" s="24"/>
      <c r="G997" s="130"/>
      <c r="H997" s="46"/>
      <c r="I997" s="131"/>
      <c r="J997" s="126"/>
      <c r="K997" s="121"/>
      <c r="L997" s="78"/>
      <c r="M997" s="72">
        <f ca="1">IF(INDIRECT(ADDRESS(ROW(),3))&lt;&gt;"",getIBANchecksum(INDIRECT(ADDRESS(ROW(),3))),98)</f>
        <v>98</v>
      </c>
    </row>
    <row r="998" spans="1:13">
      <c r="A998" s="96">
        <f t="shared" si="16"/>
        <v>979</v>
      </c>
      <c r="B998" s="9"/>
      <c r="C998" s="28"/>
      <c r="D998" s="23"/>
      <c r="E998" s="93"/>
      <c r="F998" s="24"/>
      <c r="G998" s="130"/>
      <c r="H998" s="46"/>
      <c r="I998" s="131"/>
      <c r="J998" s="126"/>
      <c r="K998" s="121"/>
      <c r="L998" s="78"/>
      <c r="M998" s="72">
        <f ca="1">IF(INDIRECT(ADDRESS(ROW(),3))&lt;&gt;"",getIBANchecksum(INDIRECT(ADDRESS(ROW(),3))),98)</f>
        <v>98</v>
      </c>
    </row>
    <row r="999" spans="1:13">
      <c r="A999" s="96">
        <f t="shared" si="16"/>
        <v>980</v>
      </c>
      <c r="B999" s="9"/>
      <c r="C999" s="28"/>
      <c r="D999" s="23"/>
      <c r="E999" s="93"/>
      <c r="F999" s="24"/>
      <c r="G999" s="130"/>
      <c r="H999" s="46"/>
      <c r="I999" s="131"/>
      <c r="J999" s="126"/>
      <c r="K999" s="121"/>
      <c r="L999" s="78"/>
      <c r="M999" s="72">
        <f ca="1">IF(INDIRECT(ADDRESS(ROW(),3))&lt;&gt;"",getIBANchecksum(INDIRECT(ADDRESS(ROW(),3))),98)</f>
        <v>98</v>
      </c>
    </row>
    <row r="1000" spans="1:13">
      <c r="A1000" s="96">
        <f t="shared" si="16"/>
        <v>981</v>
      </c>
      <c r="B1000" s="9"/>
      <c r="C1000" s="28"/>
      <c r="D1000" s="23"/>
      <c r="E1000" s="93"/>
      <c r="F1000" s="24"/>
      <c r="G1000" s="130"/>
      <c r="H1000" s="46"/>
      <c r="I1000" s="131"/>
      <c r="J1000" s="126"/>
      <c r="K1000" s="121"/>
      <c r="L1000" s="78"/>
      <c r="M1000" s="72">
        <f ca="1">IF(INDIRECT(ADDRESS(ROW(),3))&lt;&gt;"",getIBANchecksum(INDIRECT(ADDRESS(ROW(),3))),98)</f>
        <v>98</v>
      </c>
    </row>
    <row r="1001" spans="1:13">
      <c r="A1001" s="96">
        <f t="shared" si="16"/>
        <v>982</v>
      </c>
      <c r="B1001" s="9"/>
      <c r="C1001" s="28"/>
      <c r="D1001" s="23"/>
      <c r="E1001" s="93"/>
      <c r="F1001" s="24"/>
      <c r="G1001" s="130"/>
      <c r="H1001" s="46"/>
      <c r="I1001" s="131"/>
      <c r="J1001" s="126"/>
      <c r="K1001" s="121"/>
      <c r="L1001" s="78"/>
      <c r="M1001" s="72">
        <f ca="1">IF(INDIRECT(ADDRESS(ROW(),3))&lt;&gt;"",getIBANchecksum(INDIRECT(ADDRESS(ROW(),3))),98)</f>
        <v>98</v>
      </c>
    </row>
    <row r="1002" spans="1:13">
      <c r="A1002" s="96">
        <f t="shared" si="16"/>
        <v>983</v>
      </c>
      <c r="B1002" s="9"/>
      <c r="C1002" s="28"/>
      <c r="D1002" s="23"/>
      <c r="E1002" s="93"/>
      <c r="F1002" s="24"/>
      <c r="G1002" s="130"/>
      <c r="H1002" s="46"/>
      <c r="I1002" s="131"/>
      <c r="J1002" s="126"/>
      <c r="K1002" s="121"/>
      <c r="L1002" s="78"/>
      <c r="M1002" s="72">
        <f ca="1">IF(INDIRECT(ADDRESS(ROW(),3))&lt;&gt;"",getIBANchecksum(INDIRECT(ADDRESS(ROW(),3))),98)</f>
        <v>98</v>
      </c>
    </row>
    <row r="1003" spans="1:13">
      <c r="A1003" s="96">
        <f t="shared" si="16"/>
        <v>984</v>
      </c>
      <c r="B1003" s="9"/>
      <c r="C1003" s="28"/>
      <c r="D1003" s="23"/>
      <c r="E1003" s="93"/>
      <c r="F1003" s="24"/>
      <c r="G1003" s="130"/>
      <c r="H1003" s="46"/>
      <c r="I1003" s="131"/>
      <c r="J1003" s="126"/>
      <c r="K1003" s="121"/>
      <c r="L1003" s="78"/>
      <c r="M1003" s="72">
        <f ca="1">IF(INDIRECT(ADDRESS(ROW(),3))&lt;&gt;"",getIBANchecksum(INDIRECT(ADDRESS(ROW(),3))),98)</f>
        <v>98</v>
      </c>
    </row>
    <row r="1004" spans="1:13">
      <c r="A1004" s="96">
        <f t="shared" si="16"/>
        <v>985</v>
      </c>
      <c r="B1004" s="9"/>
      <c r="C1004" s="28"/>
      <c r="D1004" s="23"/>
      <c r="E1004" s="93"/>
      <c r="F1004" s="24"/>
      <c r="G1004" s="130"/>
      <c r="H1004" s="46"/>
      <c r="I1004" s="131"/>
      <c r="J1004" s="126"/>
      <c r="K1004" s="121"/>
      <c r="L1004" s="78"/>
      <c r="M1004" s="72">
        <f ca="1">IF(INDIRECT(ADDRESS(ROW(),3))&lt;&gt;"",getIBANchecksum(INDIRECT(ADDRESS(ROW(),3))),98)</f>
        <v>98</v>
      </c>
    </row>
    <row r="1005" spans="1:13">
      <c r="A1005" s="96">
        <f t="shared" si="16"/>
        <v>986</v>
      </c>
      <c r="B1005" s="9"/>
      <c r="C1005" s="28"/>
      <c r="D1005" s="23"/>
      <c r="E1005" s="93"/>
      <c r="F1005" s="24"/>
      <c r="G1005" s="130"/>
      <c r="H1005" s="46"/>
      <c r="I1005" s="131"/>
      <c r="J1005" s="126"/>
      <c r="K1005" s="121"/>
      <c r="L1005" s="78"/>
      <c r="M1005" s="72">
        <f ca="1">IF(INDIRECT(ADDRESS(ROW(),3))&lt;&gt;"",getIBANchecksum(INDIRECT(ADDRESS(ROW(),3))),98)</f>
        <v>98</v>
      </c>
    </row>
    <row r="1006" spans="1:13">
      <c r="A1006" s="96">
        <f t="shared" si="16"/>
        <v>987</v>
      </c>
      <c r="B1006" s="9"/>
      <c r="C1006" s="28"/>
      <c r="D1006" s="23"/>
      <c r="E1006" s="93"/>
      <c r="F1006" s="24"/>
      <c r="G1006" s="130"/>
      <c r="H1006" s="46"/>
      <c r="I1006" s="131"/>
      <c r="J1006" s="126"/>
      <c r="K1006" s="121"/>
      <c r="L1006" s="78"/>
      <c r="M1006" s="72">
        <f ca="1">IF(INDIRECT(ADDRESS(ROW(),3))&lt;&gt;"",getIBANchecksum(INDIRECT(ADDRESS(ROW(),3))),98)</f>
        <v>98</v>
      </c>
    </row>
    <row r="1007" spans="1:13">
      <c r="A1007" s="96">
        <f t="shared" si="16"/>
        <v>988</v>
      </c>
      <c r="B1007" s="9"/>
      <c r="C1007" s="28"/>
      <c r="D1007" s="23"/>
      <c r="E1007" s="93"/>
      <c r="F1007" s="24"/>
      <c r="G1007" s="130"/>
      <c r="H1007" s="46"/>
      <c r="I1007" s="131"/>
      <c r="J1007" s="126"/>
      <c r="K1007" s="121"/>
      <c r="L1007" s="78"/>
      <c r="M1007" s="72">
        <f ca="1">IF(INDIRECT(ADDRESS(ROW(),3))&lt;&gt;"",getIBANchecksum(INDIRECT(ADDRESS(ROW(),3))),98)</f>
        <v>98</v>
      </c>
    </row>
    <row r="1008" spans="1:13">
      <c r="A1008" s="96">
        <f t="shared" si="16"/>
        <v>989</v>
      </c>
      <c r="B1008" s="9"/>
      <c r="C1008" s="28"/>
      <c r="D1008" s="23"/>
      <c r="E1008" s="93"/>
      <c r="F1008" s="24"/>
      <c r="G1008" s="130"/>
      <c r="H1008" s="46"/>
      <c r="I1008" s="131"/>
      <c r="J1008" s="126"/>
      <c r="K1008" s="121"/>
      <c r="L1008" s="78"/>
      <c r="M1008" s="72">
        <f ca="1">IF(INDIRECT(ADDRESS(ROW(),3))&lt;&gt;"",getIBANchecksum(INDIRECT(ADDRESS(ROW(),3))),98)</f>
        <v>98</v>
      </c>
    </row>
    <row r="1009" spans="1:13">
      <c r="A1009" s="96">
        <f t="shared" si="16"/>
        <v>990</v>
      </c>
      <c r="B1009" s="9"/>
      <c r="C1009" s="28"/>
      <c r="D1009" s="23"/>
      <c r="E1009" s="93"/>
      <c r="F1009" s="24"/>
      <c r="G1009" s="130"/>
      <c r="H1009" s="46"/>
      <c r="I1009" s="131"/>
      <c r="J1009" s="126"/>
      <c r="K1009" s="121"/>
      <c r="L1009" s="78"/>
      <c r="M1009" s="72">
        <f ca="1">IF(INDIRECT(ADDRESS(ROW(),3))&lt;&gt;"",getIBANchecksum(INDIRECT(ADDRESS(ROW(),3))),98)</f>
        <v>98</v>
      </c>
    </row>
    <row r="1010" spans="1:13">
      <c r="A1010" s="96">
        <f t="shared" si="16"/>
        <v>991</v>
      </c>
      <c r="B1010" s="9"/>
      <c r="C1010" s="28"/>
      <c r="D1010" s="23"/>
      <c r="E1010" s="93"/>
      <c r="F1010" s="24"/>
      <c r="G1010" s="130"/>
      <c r="H1010" s="46"/>
      <c r="I1010" s="131"/>
      <c r="J1010" s="126"/>
      <c r="K1010" s="121"/>
      <c r="L1010" s="78"/>
      <c r="M1010" s="72">
        <f ca="1">IF(INDIRECT(ADDRESS(ROW(),3))&lt;&gt;"",getIBANchecksum(INDIRECT(ADDRESS(ROW(),3))),98)</f>
        <v>98</v>
      </c>
    </row>
    <row r="1011" spans="1:13">
      <c r="A1011" s="96">
        <f t="shared" si="16"/>
        <v>992</v>
      </c>
      <c r="B1011" s="9"/>
      <c r="C1011" s="28"/>
      <c r="D1011" s="23"/>
      <c r="E1011" s="93"/>
      <c r="F1011" s="24"/>
      <c r="G1011" s="130"/>
      <c r="H1011" s="46"/>
      <c r="I1011" s="131"/>
      <c r="J1011" s="126"/>
      <c r="K1011" s="121"/>
      <c r="L1011" s="78"/>
      <c r="M1011" s="72">
        <f ca="1">IF(INDIRECT(ADDRESS(ROW(),3))&lt;&gt;"",getIBANchecksum(INDIRECT(ADDRESS(ROW(),3))),98)</f>
        <v>98</v>
      </c>
    </row>
    <row r="1012" spans="1:13">
      <c r="A1012" s="96">
        <f t="shared" si="16"/>
        <v>993</v>
      </c>
      <c r="B1012" s="9"/>
      <c r="C1012" s="28"/>
      <c r="D1012" s="23"/>
      <c r="E1012" s="93"/>
      <c r="F1012" s="24"/>
      <c r="G1012" s="130"/>
      <c r="H1012" s="46"/>
      <c r="I1012" s="131"/>
      <c r="J1012" s="126"/>
      <c r="K1012" s="121"/>
      <c r="L1012" s="78"/>
      <c r="M1012" s="72">
        <f ca="1">IF(INDIRECT(ADDRESS(ROW(),3))&lt;&gt;"",getIBANchecksum(INDIRECT(ADDRESS(ROW(),3))),98)</f>
        <v>98</v>
      </c>
    </row>
    <row r="1013" spans="1:13">
      <c r="A1013" s="96">
        <f t="shared" si="16"/>
        <v>994</v>
      </c>
      <c r="B1013" s="9"/>
      <c r="C1013" s="28"/>
      <c r="D1013" s="23"/>
      <c r="E1013" s="93"/>
      <c r="F1013" s="24"/>
      <c r="G1013" s="130"/>
      <c r="H1013" s="46"/>
      <c r="I1013" s="131"/>
      <c r="J1013" s="126"/>
      <c r="K1013" s="121"/>
      <c r="L1013" s="78"/>
      <c r="M1013" s="72">
        <f ca="1">IF(INDIRECT(ADDRESS(ROW(),3))&lt;&gt;"",getIBANchecksum(INDIRECT(ADDRESS(ROW(),3))),98)</f>
        <v>98</v>
      </c>
    </row>
    <row r="1014" spans="1:13">
      <c r="A1014" s="96">
        <f t="shared" si="16"/>
        <v>995</v>
      </c>
      <c r="B1014" s="9"/>
      <c r="C1014" s="28"/>
      <c r="D1014" s="23"/>
      <c r="E1014" s="93"/>
      <c r="F1014" s="24"/>
      <c r="G1014" s="130"/>
      <c r="H1014" s="46"/>
      <c r="I1014" s="131"/>
      <c r="J1014" s="126"/>
      <c r="K1014" s="121"/>
      <c r="L1014" s="78"/>
      <c r="M1014" s="72">
        <f ca="1">IF(INDIRECT(ADDRESS(ROW(),3))&lt;&gt;"",getIBANchecksum(INDIRECT(ADDRESS(ROW(),3))),98)</f>
        <v>98</v>
      </c>
    </row>
    <row r="1015" spans="1:13">
      <c r="A1015" s="96">
        <f t="shared" si="16"/>
        <v>996</v>
      </c>
      <c r="B1015" s="9"/>
      <c r="C1015" s="28"/>
      <c r="D1015" s="23"/>
      <c r="E1015" s="93"/>
      <c r="F1015" s="24"/>
      <c r="G1015" s="130"/>
      <c r="H1015" s="46"/>
      <c r="I1015" s="131"/>
      <c r="J1015" s="126"/>
      <c r="K1015" s="121"/>
      <c r="L1015" s="78"/>
      <c r="M1015" s="72">
        <f ca="1">IF(INDIRECT(ADDRESS(ROW(),3))&lt;&gt;"",getIBANchecksum(INDIRECT(ADDRESS(ROW(),3))),98)</f>
        <v>98</v>
      </c>
    </row>
    <row r="1016" spans="1:13">
      <c r="A1016" s="96">
        <f t="shared" si="16"/>
        <v>997</v>
      </c>
      <c r="B1016" s="9"/>
      <c r="C1016" s="28"/>
      <c r="D1016" s="23"/>
      <c r="E1016" s="93"/>
      <c r="F1016" s="24"/>
      <c r="G1016" s="130"/>
      <c r="H1016" s="46"/>
      <c r="I1016" s="131"/>
      <c r="J1016" s="126"/>
      <c r="K1016" s="121"/>
      <c r="L1016" s="78"/>
      <c r="M1016" s="72">
        <f ca="1">IF(INDIRECT(ADDRESS(ROW(),3))&lt;&gt;"",getIBANchecksum(INDIRECT(ADDRESS(ROW(),3))),98)</f>
        <v>98</v>
      </c>
    </row>
    <row r="1017" spans="1:13">
      <c r="A1017" s="96">
        <f t="shared" si="16"/>
        <v>998</v>
      </c>
      <c r="B1017" s="9"/>
      <c r="C1017" s="28"/>
      <c r="D1017" s="23"/>
      <c r="E1017" s="93"/>
      <c r="F1017" s="24"/>
      <c r="G1017" s="130"/>
      <c r="H1017" s="46"/>
      <c r="I1017" s="131"/>
      <c r="J1017" s="126"/>
      <c r="K1017" s="121"/>
      <c r="L1017" s="78"/>
      <c r="M1017" s="72">
        <f ca="1">IF(INDIRECT(ADDRESS(ROW(),3))&lt;&gt;"",getIBANchecksum(INDIRECT(ADDRESS(ROW(),3))),98)</f>
        <v>98</v>
      </c>
    </row>
    <row r="1018" spans="1:13">
      <c r="A1018" s="96">
        <f t="shared" si="16"/>
        <v>999</v>
      </c>
      <c r="B1018" s="9"/>
      <c r="C1018" s="28"/>
      <c r="D1018" s="23"/>
      <c r="E1018" s="93"/>
      <c r="F1018" s="24"/>
      <c r="G1018" s="130"/>
      <c r="H1018" s="46"/>
      <c r="I1018" s="131"/>
      <c r="J1018" s="126"/>
      <c r="K1018" s="121"/>
      <c r="L1018" s="78"/>
      <c r="M1018" s="72">
        <f ca="1">IF(INDIRECT(ADDRESS(ROW(),3))&lt;&gt;"",getIBANchecksum(INDIRECT(ADDRESS(ROW(),3))),98)</f>
        <v>98</v>
      </c>
    </row>
    <row r="1019" spans="1:13">
      <c r="A1019" s="96">
        <f t="shared" si="16"/>
        <v>1000</v>
      </c>
      <c r="B1019" s="9"/>
      <c r="C1019" s="28"/>
      <c r="D1019" s="23"/>
      <c r="E1019" s="93"/>
      <c r="F1019" s="24"/>
      <c r="G1019" s="130"/>
      <c r="H1019" s="46"/>
      <c r="I1019" s="131"/>
      <c r="J1019" s="126"/>
      <c r="K1019" s="121"/>
      <c r="L1019" s="78"/>
      <c r="M1019" s="72">
        <f ca="1">IF(INDIRECT(ADDRESS(ROW(),3))&lt;&gt;"",getIBANchecksum(INDIRECT(ADDRESS(ROW(),3))),98)</f>
        <v>98</v>
      </c>
    </row>
    <row r="1020" spans="1:13">
      <c r="A1020" s="96">
        <f t="shared" si="16"/>
        <v>1001</v>
      </c>
      <c r="B1020" s="9"/>
      <c r="C1020" s="28"/>
      <c r="D1020" s="23"/>
      <c r="E1020" s="93"/>
      <c r="F1020" s="24"/>
      <c r="G1020" s="130"/>
      <c r="H1020" s="46"/>
      <c r="I1020" s="131"/>
      <c r="J1020" s="126"/>
      <c r="K1020" s="121"/>
      <c r="L1020" s="78"/>
      <c r="M1020" s="72">
        <f ca="1">IF(INDIRECT(ADDRESS(ROW(),3))&lt;&gt;"",getIBANchecksum(INDIRECT(ADDRESS(ROW(),3))),98)</f>
        <v>98</v>
      </c>
    </row>
    <row r="1021" spans="1:13">
      <c r="A1021" s="96">
        <f t="shared" si="16"/>
        <v>1002</v>
      </c>
      <c r="B1021" s="9"/>
      <c r="C1021" s="28"/>
      <c r="D1021" s="23"/>
      <c r="E1021" s="93"/>
      <c r="F1021" s="24"/>
      <c r="G1021" s="130"/>
      <c r="H1021" s="46"/>
      <c r="I1021" s="131"/>
      <c r="J1021" s="126"/>
      <c r="K1021" s="121"/>
      <c r="L1021" s="78"/>
      <c r="M1021" s="72">
        <f ca="1">IF(INDIRECT(ADDRESS(ROW(),3))&lt;&gt;"",getIBANchecksum(INDIRECT(ADDRESS(ROW(),3))),98)</f>
        <v>98</v>
      </c>
    </row>
    <row r="1022" spans="1:13">
      <c r="A1022" s="96">
        <f t="shared" si="16"/>
        <v>1003</v>
      </c>
      <c r="B1022" s="9"/>
      <c r="C1022" s="28"/>
      <c r="D1022" s="23"/>
      <c r="E1022" s="93"/>
      <c r="F1022" s="24"/>
      <c r="G1022" s="130"/>
      <c r="H1022" s="46"/>
      <c r="I1022" s="131"/>
      <c r="J1022" s="126"/>
      <c r="K1022" s="121"/>
      <c r="L1022" s="78"/>
      <c r="M1022" s="72">
        <f ca="1">IF(INDIRECT(ADDRESS(ROW(),3))&lt;&gt;"",getIBANchecksum(INDIRECT(ADDRESS(ROW(),3))),98)</f>
        <v>98</v>
      </c>
    </row>
    <row r="1023" spans="1:13">
      <c r="A1023" s="96">
        <f t="shared" si="16"/>
        <v>1004</v>
      </c>
      <c r="B1023" s="9"/>
      <c r="C1023" s="28"/>
      <c r="D1023" s="23"/>
      <c r="E1023" s="93"/>
      <c r="F1023" s="24"/>
      <c r="G1023" s="130"/>
      <c r="H1023" s="46"/>
      <c r="I1023" s="131"/>
      <c r="J1023" s="126"/>
      <c r="K1023" s="121"/>
      <c r="L1023" s="78"/>
      <c r="M1023" s="72">
        <f ca="1">IF(INDIRECT(ADDRESS(ROW(),3))&lt;&gt;"",getIBANchecksum(INDIRECT(ADDRESS(ROW(),3))),98)</f>
        <v>98</v>
      </c>
    </row>
    <row r="1024" spans="1:13">
      <c r="A1024" s="96">
        <f t="shared" si="16"/>
        <v>1005</v>
      </c>
      <c r="B1024" s="9"/>
      <c r="C1024" s="28"/>
      <c r="D1024" s="23"/>
      <c r="E1024" s="93"/>
      <c r="F1024" s="24"/>
      <c r="G1024" s="130"/>
      <c r="H1024" s="46"/>
      <c r="I1024" s="131"/>
      <c r="J1024" s="126"/>
      <c r="K1024" s="121"/>
      <c r="L1024" s="78"/>
      <c r="M1024" s="72">
        <f ca="1">IF(INDIRECT(ADDRESS(ROW(),3))&lt;&gt;"",getIBANchecksum(INDIRECT(ADDRESS(ROW(),3))),98)</f>
        <v>98</v>
      </c>
    </row>
    <row r="1025" spans="1:13">
      <c r="A1025" s="96">
        <f t="shared" si="16"/>
        <v>1006</v>
      </c>
      <c r="B1025" s="9"/>
      <c r="C1025" s="28"/>
      <c r="D1025" s="23"/>
      <c r="E1025" s="93"/>
      <c r="F1025" s="24"/>
      <c r="G1025" s="130"/>
      <c r="H1025" s="46"/>
      <c r="I1025" s="131"/>
      <c r="J1025" s="126"/>
      <c r="K1025" s="121"/>
      <c r="L1025" s="78"/>
      <c r="M1025" s="72">
        <f ca="1">IF(INDIRECT(ADDRESS(ROW(),3))&lt;&gt;"",getIBANchecksum(INDIRECT(ADDRESS(ROW(),3))),98)</f>
        <v>98</v>
      </c>
    </row>
    <row r="1026" spans="1:13">
      <c r="A1026" s="96">
        <f t="shared" si="16"/>
        <v>1007</v>
      </c>
      <c r="B1026" s="9"/>
      <c r="C1026" s="28"/>
      <c r="D1026" s="23"/>
      <c r="E1026" s="93"/>
      <c r="F1026" s="24"/>
      <c r="G1026" s="130"/>
      <c r="H1026" s="46"/>
      <c r="I1026" s="131"/>
      <c r="J1026" s="126"/>
      <c r="K1026" s="121"/>
      <c r="L1026" s="78"/>
      <c r="M1026" s="72">
        <f ca="1">IF(INDIRECT(ADDRESS(ROW(),3))&lt;&gt;"",getIBANchecksum(INDIRECT(ADDRESS(ROW(),3))),98)</f>
        <v>98</v>
      </c>
    </row>
    <row r="1027" spans="1:13">
      <c r="A1027" s="96">
        <f t="shared" si="16"/>
        <v>1008</v>
      </c>
      <c r="B1027" s="9"/>
      <c r="C1027" s="28"/>
      <c r="D1027" s="23"/>
      <c r="E1027" s="93"/>
      <c r="F1027" s="24"/>
      <c r="G1027" s="130"/>
      <c r="H1027" s="46"/>
      <c r="I1027" s="131"/>
      <c r="J1027" s="126"/>
      <c r="K1027" s="121"/>
      <c r="L1027" s="78"/>
      <c r="M1027" s="72">
        <f ca="1">IF(INDIRECT(ADDRESS(ROW(),3))&lt;&gt;"",getIBANchecksum(INDIRECT(ADDRESS(ROW(),3))),98)</f>
        <v>98</v>
      </c>
    </row>
    <row r="1028" spans="1:13">
      <c r="A1028" s="96">
        <f t="shared" si="16"/>
        <v>1009</v>
      </c>
      <c r="B1028" s="9"/>
      <c r="C1028" s="28"/>
      <c r="D1028" s="23"/>
      <c r="E1028" s="93"/>
      <c r="F1028" s="24"/>
      <c r="G1028" s="130"/>
      <c r="H1028" s="46"/>
      <c r="I1028" s="131"/>
      <c r="J1028" s="126"/>
      <c r="K1028" s="121"/>
      <c r="L1028" s="78"/>
      <c r="M1028" s="72">
        <f ca="1">IF(INDIRECT(ADDRESS(ROW(),3))&lt;&gt;"",getIBANchecksum(INDIRECT(ADDRESS(ROW(),3))),98)</f>
        <v>98</v>
      </c>
    </row>
    <row r="1029" spans="1:13">
      <c r="A1029" s="96">
        <f t="shared" si="16"/>
        <v>1010</v>
      </c>
      <c r="B1029" s="9"/>
      <c r="C1029" s="28"/>
      <c r="D1029" s="23"/>
      <c r="E1029" s="93"/>
      <c r="F1029" s="24"/>
      <c r="G1029" s="130"/>
      <c r="H1029" s="46"/>
      <c r="I1029" s="131"/>
      <c r="J1029" s="126"/>
      <c r="K1029" s="121"/>
      <c r="L1029" s="78"/>
      <c r="M1029" s="72">
        <f ca="1">IF(INDIRECT(ADDRESS(ROW(),3))&lt;&gt;"",getIBANchecksum(INDIRECT(ADDRESS(ROW(),3))),98)</f>
        <v>98</v>
      </c>
    </row>
    <row r="1030" spans="1:13">
      <c r="A1030" s="96">
        <f t="shared" si="16"/>
        <v>1011</v>
      </c>
      <c r="B1030" s="9"/>
      <c r="C1030" s="28"/>
      <c r="D1030" s="23"/>
      <c r="E1030" s="93"/>
      <c r="F1030" s="24"/>
      <c r="G1030" s="130"/>
      <c r="H1030" s="46"/>
      <c r="I1030" s="131"/>
      <c r="J1030" s="126"/>
      <c r="K1030" s="121"/>
      <c r="L1030" s="78"/>
      <c r="M1030" s="72">
        <f ca="1">IF(INDIRECT(ADDRESS(ROW(),3))&lt;&gt;"",getIBANchecksum(INDIRECT(ADDRESS(ROW(),3))),98)</f>
        <v>98</v>
      </c>
    </row>
    <row r="1031" spans="1:13">
      <c r="A1031" s="96">
        <f t="shared" si="16"/>
        <v>1012</v>
      </c>
      <c r="B1031" s="9"/>
      <c r="C1031" s="28"/>
      <c r="D1031" s="23"/>
      <c r="E1031" s="93"/>
      <c r="F1031" s="24"/>
      <c r="G1031" s="130"/>
      <c r="H1031" s="46"/>
      <c r="I1031" s="131"/>
      <c r="J1031" s="126"/>
      <c r="K1031" s="121"/>
      <c r="L1031" s="78"/>
      <c r="M1031" s="72">
        <f ca="1">IF(INDIRECT(ADDRESS(ROW(),3))&lt;&gt;"",getIBANchecksum(INDIRECT(ADDRESS(ROW(),3))),98)</f>
        <v>98</v>
      </c>
    </row>
    <row r="1032" spans="1:13">
      <c r="A1032" s="96">
        <f t="shared" si="16"/>
        <v>1013</v>
      </c>
      <c r="B1032" s="9"/>
      <c r="C1032" s="28"/>
      <c r="D1032" s="23"/>
      <c r="E1032" s="93"/>
      <c r="F1032" s="24"/>
      <c r="G1032" s="130"/>
      <c r="H1032" s="46"/>
      <c r="I1032" s="131"/>
      <c r="J1032" s="126"/>
      <c r="K1032" s="121"/>
      <c r="L1032" s="78"/>
      <c r="M1032" s="72">
        <f ca="1">IF(INDIRECT(ADDRESS(ROW(),3))&lt;&gt;"",getIBANchecksum(INDIRECT(ADDRESS(ROW(),3))),98)</f>
        <v>98</v>
      </c>
    </row>
    <row r="1033" spans="1:13">
      <c r="A1033" s="96">
        <f t="shared" si="16"/>
        <v>1014</v>
      </c>
      <c r="B1033" s="9"/>
      <c r="C1033" s="28"/>
      <c r="D1033" s="23"/>
      <c r="E1033" s="93"/>
      <c r="F1033" s="24"/>
      <c r="G1033" s="130"/>
      <c r="H1033" s="46"/>
      <c r="I1033" s="131"/>
      <c r="J1033" s="126"/>
      <c r="K1033" s="121"/>
      <c r="L1033" s="78"/>
      <c r="M1033" s="72">
        <f ca="1">IF(INDIRECT(ADDRESS(ROW(),3))&lt;&gt;"",getIBANchecksum(INDIRECT(ADDRESS(ROW(),3))),98)</f>
        <v>98</v>
      </c>
    </row>
    <row r="1034" spans="1:13">
      <c r="A1034" s="96">
        <f t="shared" si="16"/>
        <v>1015</v>
      </c>
      <c r="B1034" s="9"/>
      <c r="C1034" s="28"/>
      <c r="D1034" s="23"/>
      <c r="E1034" s="93"/>
      <c r="F1034" s="24"/>
      <c r="G1034" s="130"/>
      <c r="H1034" s="46"/>
      <c r="I1034" s="131"/>
      <c r="J1034" s="126"/>
      <c r="K1034" s="121"/>
      <c r="L1034" s="78"/>
      <c r="M1034" s="72">
        <f ca="1">IF(INDIRECT(ADDRESS(ROW(),3))&lt;&gt;"",getIBANchecksum(INDIRECT(ADDRESS(ROW(),3))),98)</f>
        <v>98</v>
      </c>
    </row>
    <row r="1035" spans="1:13">
      <c r="A1035" s="96">
        <f t="shared" si="16"/>
        <v>1016</v>
      </c>
      <c r="B1035" s="9"/>
      <c r="C1035" s="28"/>
      <c r="D1035" s="23"/>
      <c r="E1035" s="93"/>
      <c r="F1035" s="24"/>
      <c r="G1035" s="130"/>
      <c r="H1035" s="46"/>
      <c r="I1035" s="131"/>
      <c r="J1035" s="126"/>
      <c r="K1035" s="121"/>
      <c r="L1035" s="78"/>
      <c r="M1035" s="72">
        <f ca="1">IF(INDIRECT(ADDRESS(ROW(),3))&lt;&gt;"",getIBANchecksum(INDIRECT(ADDRESS(ROW(),3))),98)</f>
        <v>98</v>
      </c>
    </row>
    <row r="1036" spans="1:13">
      <c r="A1036" s="96">
        <f t="shared" si="16"/>
        <v>1017</v>
      </c>
      <c r="B1036" s="9"/>
      <c r="C1036" s="28"/>
      <c r="D1036" s="23"/>
      <c r="E1036" s="93"/>
      <c r="F1036" s="24"/>
      <c r="G1036" s="130"/>
      <c r="H1036" s="46"/>
      <c r="I1036" s="131"/>
      <c r="J1036" s="126"/>
      <c r="K1036" s="121"/>
      <c r="L1036" s="78"/>
      <c r="M1036" s="72">
        <f ca="1">IF(INDIRECT(ADDRESS(ROW(),3))&lt;&gt;"",getIBANchecksum(INDIRECT(ADDRESS(ROW(),3))),98)</f>
        <v>98</v>
      </c>
    </row>
    <row r="1037" spans="1:13">
      <c r="A1037" s="96">
        <f t="shared" si="16"/>
        <v>1018</v>
      </c>
      <c r="B1037" s="9"/>
      <c r="C1037" s="28"/>
      <c r="D1037" s="23"/>
      <c r="E1037" s="93"/>
      <c r="F1037" s="24"/>
      <c r="G1037" s="130"/>
      <c r="H1037" s="46"/>
      <c r="I1037" s="131"/>
      <c r="J1037" s="126"/>
      <c r="K1037" s="121"/>
      <c r="L1037" s="78"/>
      <c r="M1037" s="72">
        <f ca="1">IF(INDIRECT(ADDRESS(ROW(),3))&lt;&gt;"",getIBANchecksum(INDIRECT(ADDRESS(ROW(),3))),98)</f>
        <v>98</v>
      </c>
    </row>
    <row r="1038" spans="1:13">
      <c r="A1038" s="96">
        <f t="shared" si="16"/>
        <v>1019</v>
      </c>
      <c r="B1038" s="9"/>
      <c r="C1038" s="28"/>
      <c r="D1038" s="23"/>
      <c r="E1038" s="93"/>
      <c r="F1038" s="24"/>
      <c r="G1038" s="130"/>
      <c r="H1038" s="46"/>
      <c r="I1038" s="131"/>
      <c r="J1038" s="126"/>
      <c r="K1038" s="121"/>
      <c r="L1038" s="78"/>
      <c r="M1038" s="72">
        <f ca="1">IF(INDIRECT(ADDRESS(ROW(),3))&lt;&gt;"",getIBANchecksum(INDIRECT(ADDRESS(ROW(),3))),98)</f>
        <v>98</v>
      </c>
    </row>
    <row r="1039" spans="1:13">
      <c r="A1039" s="96">
        <f t="shared" si="16"/>
        <v>1020</v>
      </c>
      <c r="B1039" s="9"/>
      <c r="C1039" s="28"/>
      <c r="D1039" s="23"/>
      <c r="E1039" s="93"/>
      <c r="F1039" s="24"/>
      <c r="G1039" s="130"/>
      <c r="H1039" s="46"/>
      <c r="I1039" s="131"/>
      <c r="J1039" s="126"/>
      <c r="K1039" s="121"/>
      <c r="L1039" s="78"/>
      <c r="M1039" s="72">
        <f ca="1">IF(INDIRECT(ADDRESS(ROW(),3))&lt;&gt;"",getIBANchecksum(INDIRECT(ADDRESS(ROW(),3))),98)</f>
        <v>98</v>
      </c>
    </row>
    <row r="1040" spans="1:13">
      <c r="A1040" s="96">
        <f t="shared" si="16"/>
        <v>1021</v>
      </c>
      <c r="B1040" s="9"/>
      <c r="C1040" s="28"/>
      <c r="D1040" s="23"/>
      <c r="E1040" s="93"/>
      <c r="F1040" s="24"/>
      <c r="G1040" s="130"/>
      <c r="H1040" s="46"/>
      <c r="I1040" s="131"/>
      <c r="J1040" s="126"/>
      <c r="K1040" s="121"/>
      <c r="L1040" s="78"/>
      <c r="M1040" s="72">
        <f ca="1">IF(INDIRECT(ADDRESS(ROW(),3))&lt;&gt;"",getIBANchecksum(INDIRECT(ADDRESS(ROW(),3))),98)</f>
        <v>98</v>
      </c>
    </row>
    <row r="1041" spans="1:13">
      <c r="A1041" s="96">
        <f t="shared" si="16"/>
        <v>1022</v>
      </c>
      <c r="B1041" s="9"/>
      <c r="C1041" s="28"/>
      <c r="D1041" s="23"/>
      <c r="E1041" s="93"/>
      <c r="F1041" s="24"/>
      <c r="G1041" s="130"/>
      <c r="H1041" s="46"/>
      <c r="I1041" s="131"/>
      <c r="J1041" s="126"/>
      <c r="K1041" s="121"/>
      <c r="L1041" s="78"/>
      <c r="M1041" s="72">
        <f ca="1">IF(INDIRECT(ADDRESS(ROW(),3))&lt;&gt;"",getIBANchecksum(INDIRECT(ADDRESS(ROW(),3))),98)</f>
        <v>98</v>
      </c>
    </row>
    <row r="1042" spans="1:13">
      <c r="A1042" s="96">
        <f t="shared" si="16"/>
        <v>1023</v>
      </c>
      <c r="B1042" s="9"/>
      <c r="C1042" s="28"/>
      <c r="D1042" s="23"/>
      <c r="E1042" s="93"/>
      <c r="F1042" s="24"/>
      <c r="G1042" s="130"/>
      <c r="H1042" s="46"/>
      <c r="I1042" s="131"/>
      <c r="J1042" s="126"/>
      <c r="K1042" s="121"/>
      <c r="L1042" s="78"/>
      <c r="M1042" s="72">
        <f ca="1">IF(INDIRECT(ADDRESS(ROW(),3))&lt;&gt;"",getIBANchecksum(INDIRECT(ADDRESS(ROW(),3))),98)</f>
        <v>98</v>
      </c>
    </row>
    <row r="1043" spans="1:13">
      <c r="A1043" s="96">
        <f t="shared" si="16"/>
        <v>1024</v>
      </c>
      <c r="B1043" s="9"/>
      <c r="C1043" s="28"/>
      <c r="D1043" s="23"/>
      <c r="E1043" s="93"/>
      <c r="F1043" s="24"/>
      <c r="G1043" s="130"/>
      <c r="H1043" s="46"/>
      <c r="I1043" s="131"/>
      <c r="J1043" s="126"/>
      <c r="K1043" s="121"/>
      <c r="L1043" s="78"/>
      <c r="M1043" s="72">
        <f ca="1">IF(INDIRECT(ADDRESS(ROW(),3))&lt;&gt;"",getIBANchecksum(INDIRECT(ADDRESS(ROW(),3))),98)</f>
        <v>98</v>
      </c>
    </row>
    <row r="1044" spans="1:13">
      <c r="A1044" s="96">
        <f t="shared" si="16"/>
        <v>1025</v>
      </c>
      <c r="B1044" s="9"/>
      <c r="C1044" s="28"/>
      <c r="D1044" s="23"/>
      <c r="E1044" s="93"/>
      <c r="F1044" s="24"/>
      <c r="G1044" s="130"/>
      <c r="H1044" s="46"/>
      <c r="I1044" s="131"/>
      <c r="J1044" s="126"/>
      <c r="K1044" s="121"/>
      <c r="L1044" s="78"/>
      <c r="M1044" s="72">
        <f ca="1">IF(INDIRECT(ADDRESS(ROW(),3))&lt;&gt;"",getIBANchecksum(INDIRECT(ADDRESS(ROW(),3))),98)</f>
        <v>98</v>
      </c>
    </row>
    <row r="1045" spans="1:13">
      <c r="A1045" s="96">
        <f t="shared" si="16"/>
        <v>1026</v>
      </c>
      <c r="B1045" s="9"/>
      <c r="C1045" s="28"/>
      <c r="D1045" s="23"/>
      <c r="E1045" s="93"/>
      <c r="F1045" s="24"/>
      <c r="G1045" s="130"/>
      <c r="H1045" s="46"/>
      <c r="I1045" s="131"/>
      <c r="J1045" s="126"/>
      <c r="K1045" s="121"/>
      <c r="L1045" s="78"/>
      <c r="M1045" s="72">
        <f ca="1">IF(INDIRECT(ADDRESS(ROW(),3))&lt;&gt;"",getIBANchecksum(INDIRECT(ADDRESS(ROW(),3))),98)</f>
        <v>98</v>
      </c>
    </row>
    <row r="1046" spans="1:13">
      <c r="A1046" s="96">
        <f t="shared" ref="A1046:A1109" si="17">A1045+1</f>
        <v>1027</v>
      </c>
      <c r="B1046" s="9"/>
      <c r="C1046" s="28"/>
      <c r="D1046" s="23"/>
      <c r="E1046" s="93"/>
      <c r="F1046" s="24"/>
      <c r="G1046" s="130"/>
      <c r="H1046" s="46"/>
      <c r="I1046" s="131"/>
      <c r="J1046" s="126"/>
      <c r="K1046" s="121"/>
      <c r="L1046" s="78"/>
      <c r="M1046" s="72">
        <f ca="1">IF(INDIRECT(ADDRESS(ROW(),3))&lt;&gt;"",getIBANchecksum(INDIRECT(ADDRESS(ROW(),3))),98)</f>
        <v>98</v>
      </c>
    </row>
    <row r="1047" spans="1:13">
      <c r="A1047" s="96">
        <f t="shared" si="17"/>
        <v>1028</v>
      </c>
      <c r="B1047" s="9"/>
      <c r="C1047" s="28"/>
      <c r="D1047" s="23"/>
      <c r="E1047" s="93"/>
      <c r="F1047" s="24"/>
      <c r="G1047" s="130"/>
      <c r="H1047" s="46"/>
      <c r="I1047" s="131"/>
      <c r="J1047" s="126"/>
      <c r="K1047" s="121"/>
      <c r="L1047" s="78"/>
      <c r="M1047" s="72">
        <f ca="1">IF(INDIRECT(ADDRESS(ROW(),3))&lt;&gt;"",getIBANchecksum(INDIRECT(ADDRESS(ROW(),3))),98)</f>
        <v>98</v>
      </c>
    </row>
    <row r="1048" spans="1:13">
      <c r="A1048" s="96">
        <f t="shared" si="17"/>
        <v>1029</v>
      </c>
      <c r="B1048" s="9"/>
      <c r="C1048" s="28"/>
      <c r="D1048" s="23"/>
      <c r="E1048" s="93"/>
      <c r="F1048" s="24"/>
      <c r="G1048" s="130"/>
      <c r="H1048" s="46"/>
      <c r="I1048" s="131"/>
      <c r="J1048" s="126"/>
      <c r="K1048" s="121"/>
      <c r="L1048" s="78"/>
      <c r="M1048" s="72">
        <f ca="1">IF(INDIRECT(ADDRESS(ROW(),3))&lt;&gt;"",getIBANchecksum(INDIRECT(ADDRESS(ROW(),3))),98)</f>
        <v>98</v>
      </c>
    </row>
    <row r="1049" spans="1:13">
      <c r="A1049" s="96">
        <f t="shared" si="17"/>
        <v>1030</v>
      </c>
      <c r="B1049" s="9"/>
      <c r="C1049" s="28"/>
      <c r="D1049" s="23"/>
      <c r="E1049" s="93"/>
      <c r="F1049" s="24"/>
      <c r="G1049" s="130"/>
      <c r="H1049" s="46"/>
      <c r="I1049" s="131"/>
      <c r="J1049" s="126"/>
      <c r="K1049" s="121"/>
      <c r="L1049" s="78"/>
      <c r="M1049" s="72">
        <f ca="1">IF(INDIRECT(ADDRESS(ROW(),3))&lt;&gt;"",getIBANchecksum(INDIRECT(ADDRESS(ROW(),3))),98)</f>
        <v>98</v>
      </c>
    </row>
    <row r="1050" spans="1:13">
      <c r="A1050" s="96">
        <f t="shared" si="17"/>
        <v>1031</v>
      </c>
      <c r="B1050" s="9"/>
      <c r="C1050" s="28"/>
      <c r="D1050" s="23"/>
      <c r="E1050" s="93"/>
      <c r="F1050" s="24"/>
      <c r="G1050" s="130"/>
      <c r="H1050" s="46"/>
      <c r="I1050" s="131"/>
      <c r="J1050" s="126"/>
      <c r="K1050" s="121"/>
      <c r="L1050" s="78"/>
      <c r="M1050" s="72">
        <f ca="1">IF(INDIRECT(ADDRESS(ROW(),3))&lt;&gt;"",getIBANchecksum(INDIRECT(ADDRESS(ROW(),3))),98)</f>
        <v>98</v>
      </c>
    </row>
    <row r="1051" spans="1:13">
      <c r="A1051" s="96">
        <f t="shared" si="17"/>
        <v>1032</v>
      </c>
      <c r="B1051" s="9"/>
      <c r="C1051" s="28"/>
      <c r="D1051" s="23"/>
      <c r="E1051" s="93"/>
      <c r="F1051" s="24"/>
      <c r="G1051" s="130"/>
      <c r="H1051" s="46"/>
      <c r="I1051" s="131"/>
      <c r="J1051" s="126"/>
      <c r="K1051" s="121"/>
      <c r="L1051" s="78"/>
      <c r="M1051" s="72">
        <f ca="1">IF(INDIRECT(ADDRESS(ROW(),3))&lt;&gt;"",getIBANchecksum(INDIRECT(ADDRESS(ROW(),3))),98)</f>
        <v>98</v>
      </c>
    </row>
    <row r="1052" spans="1:13">
      <c r="A1052" s="96">
        <f t="shared" si="17"/>
        <v>1033</v>
      </c>
      <c r="B1052" s="9"/>
      <c r="C1052" s="28"/>
      <c r="D1052" s="23"/>
      <c r="E1052" s="93"/>
      <c r="F1052" s="24"/>
      <c r="G1052" s="130"/>
      <c r="H1052" s="46"/>
      <c r="I1052" s="131"/>
      <c r="J1052" s="126"/>
      <c r="K1052" s="121"/>
      <c r="L1052" s="78"/>
      <c r="M1052" s="72">
        <f ca="1">IF(INDIRECT(ADDRESS(ROW(),3))&lt;&gt;"",getIBANchecksum(INDIRECT(ADDRESS(ROW(),3))),98)</f>
        <v>98</v>
      </c>
    </row>
    <row r="1053" spans="1:13">
      <c r="A1053" s="96">
        <f t="shared" si="17"/>
        <v>1034</v>
      </c>
      <c r="B1053" s="9"/>
      <c r="C1053" s="28"/>
      <c r="D1053" s="23"/>
      <c r="E1053" s="93"/>
      <c r="F1053" s="24"/>
      <c r="G1053" s="130"/>
      <c r="H1053" s="46"/>
      <c r="I1053" s="131"/>
      <c r="J1053" s="126"/>
      <c r="K1053" s="121"/>
      <c r="L1053" s="78"/>
      <c r="M1053" s="72">
        <f ca="1">IF(INDIRECT(ADDRESS(ROW(),3))&lt;&gt;"",getIBANchecksum(INDIRECT(ADDRESS(ROW(),3))),98)</f>
        <v>98</v>
      </c>
    </row>
    <row r="1054" spans="1:13">
      <c r="A1054" s="96">
        <f t="shared" si="17"/>
        <v>1035</v>
      </c>
      <c r="B1054" s="9"/>
      <c r="C1054" s="28"/>
      <c r="D1054" s="23"/>
      <c r="E1054" s="93"/>
      <c r="F1054" s="24"/>
      <c r="G1054" s="130"/>
      <c r="H1054" s="46"/>
      <c r="I1054" s="131"/>
      <c r="J1054" s="126"/>
      <c r="K1054" s="121"/>
      <c r="L1054" s="78"/>
      <c r="M1054" s="72">
        <f ca="1">IF(INDIRECT(ADDRESS(ROW(),3))&lt;&gt;"",getIBANchecksum(INDIRECT(ADDRESS(ROW(),3))),98)</f>
        <v>98</v>
      </c>
    </row>
    <row r="1055" spans="1:13">
      <c r="A1055" s="96">
        <f t="shared" si="17"/>
        <v>1036</v>
      </c>
      <c r="B1055" s="9"/>
      <c r="C1055" s="28"/>
      <c r="D1055" s="23"/>
      <c r="E1055" s="93"/>
      <c r="F1055" s="24"/>
      <c r="G1055" s="130"/>
      <c r="H1055" s="46"/>
      <c r="I1055" s="131"/>
      <c r="J1055" s="126"/>
      <c r="K1055" s="121"/>
      <c r="L1055" s="78"/>
      <c r="M1055" s="72">
        <f ca="1">IF(INDIRECT(ADDRESS(ROW(),3))&lt;&gt;"",getIBANchecksum(INDIRECT(ADDRESS(ROW(),3))),98)</f>
        <v>98</v>
      </c>
    </row>
    <row r="1056" spans="1:13">
      <c r="A1056" s="96">
        <f t="shared" si="17"/>
        <v>1037</v>
      </c>
      <c r="B1056" s="9"/>
      <c r="C1056" s="28"/>
      <c r="D1056" s="23"/>
      <c r="E1056" s="93"/>
      <c r="F1056" s="24"/>
      <c r="G1056" s="130"/>
      <c r="H1056" s="46"/>
      <c r="I1056" s="131"/>
      <c r="J1056" s="126"/>
      <c r="K1056" s="121"/>
      <c r="L1056" s="78"/>
      <c r="M1056" s="72">
        <f ca="1">IF(INDIRECT(ADDRESS(ROW(),3))&lt;&gt;"",getIBANchecksum(INDIRECT(ADDRESS(ROW(),3))),98)</f>
        <v>98</v>
      </c>
    </row>
    <row r="1057" spans="1:13">
      <c r="A1057" s="96">
        <f t="shared" si="17"/>
        <v>1038</v>
      </c>
      <c r="B1057" s="9"/>
      <c r="C1057" s="28"/>
      <c r="D1057" s="23"/>
      <c r="E1057" s="93"/>
      <c r="F1057" s="24"/>
      <c r="G1057" s="130"/>
      <c r="H1057" s="46"/>
      <c r="I1057" s="131"/>
      <c r="J1057" s="126"/>
      <c r="K1057" s="121"/>
      <c r="L1057" s="78"/>
      <c r="M1057" s="72">
        <f ca="1">IF(INDIRECT(ADDRESS(ROW(),3))&lt;&gt;"",getIBANchecksum(INDIRECT(ADDRESS(ROW(),3))),98)</f>
        <v>98</v>
      </c>
    </row>
    <row r="1058" spans="1:13">
      <c r="A1058" s="96">
        <f t="shared" si="17"/>
        <v>1039</v>
      </c>
      <c r="B1058" s="9"/>
      <c r="C1058" s="28"/>
      <c r="D1058" s="23"/>
      <c r="E1058" s="93"/>
      <c r="F1058" s="24"/>
      <c r="G1058" s="130"/>
      <c r="H1058" s="46"/>
      <c r="I1058" s="131"/>
      <c r="J1058" s="126"/>
      <c r="K1058" s="121"/>
      <c r="L1058" s="78"/>
      <c r="M1058" s="72">
        <f ca="1">IF(INDIRECT(ADDRESS(ROW(),3))&lt;&gt;"",getIBANchecksum(INDIRECT(ADDRESS(ROW(),3))),98)</f>
        <v>98</v>
      </c>
    </row>
    <row r="1059" spans="1:13">
      <c r="A1059" s="96">
        <f t="shared" si="17"/>
        <v>1040</v>
      </c>
      <c r="B1059" s="9"/>
      <c r="C1059" s="28"/>
      <c r="D1059" s="23"/>
      <c r="E1059" s="93"/>
      <c r="F1059" s="24"/>
      <c r="G1059" s="130"/>
      <c r="H1059" s="46"/>
      <c r="I1059" s="131"/>
      <c r="J1059" s="126"/>
      <c r="K1059" s="121"/>
      <c r="L1059" s="78"/>
      <c r="M1059" s="72">
        <f ca="1">IF(INDIRECT(ADDRESS(ROW(),3))&lt;&gt;"",getIBANchecksum(INDIRECT(ADDRESS(ROW(),3))),98)</f>
        <v>98</v>
      </c>
    </row>
    <row r="1060" spans="1:13">
      <c r="A1060" s="96">
        <f t="shared" si="17"/>
        <v>1041</v>
      </c>
      <c r="B1060" s="9"/>
      <c r="C1060" s="28"/>
      <c r="D1060" s="23"/>
      <c r="E1060" s="93"/>
      <c r="F1060" s="24"/>
      <c r="G1060" s="130"/>
      <c r="H1060" s="46"/>
      <c r="I1060" s="131"/>
      <c r="J1060" s="126"/>
      <c r="K1060" s="121"/>
      <c r="L1060" s="78"/>
      <c r="M1060" s="72">
        <f ca="1">IF(INDIRECT(ADDRESS(ROW(),3))&lt;&gt;"",getIBANchecksum(INDIRECT(ADDRESS(ROW(),3))),98)</f>
        <v>98</v>
      </c>
    </row>
    <row r="1061" spans="1:13">
      <c r="A1061" s="96">
        <f t="shared" si="17"/>
        <v>1042</v>
      </c>
      <c r="B1061" s="9"/>
      <c r="C1061" s="28"/>
      <c r="D1061" s="23"/>
      <c r="E1061" s="93"/>
      <c r="F1061" s="24"/>
      <c r="G1061" s="130"/>
      <c r="H1061" s="46"/>
      <c r="I1061" s="131"/>
      <c r="J1061" s="126"/>
      <c r="K1061" s="121"/>
      <c r="L1061" s="78"/>
      <c r="M1061" s="72">
        <f ca="1">IF(INDIRECT(ADDRESS(ROW(),3))&lt;&gt;"",getIBANchecksum(INDIRECT(ADDRESS(ROW(),3))),98)</f>
        <v>98</v>
      </c>
    </row>
    <row r="1062" spans="1:13">
      <c r="A1062" s="96">
        <f t="shared" si="17"/>
        <v>1043</v>
      </c>
      <c r="B1062" s="9"/>
      <c r="C1062" s="28"/>
      <c r="D1062" s="23"/>
      <c r="E1062" s="93"/>
      <c r="F1062" s="24"/>
      <c r="G1062" s="130"/>
      <c r="H1062" s="46"/>
      <c r="I1062" s="131"/>
      <c r="J1062" s="126"/>
      <c r="K1062" s="121"/>
      <c r="L1062" s="78"/>
      <c r="M1062" s="72">
        <f ca="1">IF(INDIRECT(ADDRESS(ROW(),3))&lt;&gt;"",getIBANchecksum(INDIRECT(ADDRESS(ROW(),3))),98)</f>
        <v>98</v>
      </c>
    </row>
    <row r="1063" spans="1:13">
      <c r="A1063" s="96">
        <f t="shared" si="17"/>
        <v>1044</v>
      </c>
      <c r="B1063" s="9"/>
      <c r="C1063" s="28"/>
      <c r="D1063" s="23"/>
      <c r="E1063" s="93"/>
      <c r="F1063" s="24"/>
      <c r="G1063" s="130"/>
      <c r="H1063" s="46"/>
      <c r="I1063" s="131"/>
      <c r="J1063" s="126"/>
      <c r="K1063" s="121"/>
      <c r="L1063" s="78"/>
      <c r="M1063" s="72">
        <f ca="1">IF(INDIRECT(ADDRESS(ROW(),3))&lt;&gt;"",getIBANchecksum(INDIRECT(ADDRESS(ROW(),3))),98)</f>
        <v>98</v>
      </c>
    </row>
    <row r="1064" spans="1:13">
      <c r="A1064" s="96">
        <f t="shared" si="17"/>
        <v>1045</v>
      </c>
      <c r="B1064" s="9"/>
      <c r="C1064" s="28"/>
      <c r="D1064" s="23"/>
      <c r="E1064" s="93"/>
      <c r="F1064" s="24"/>
      <c r="G1064" s="130"/>
      <c r="H1064" s="46"/>
      <c r="I1064" s="131"/>
      <c r="J1064" s="126"/>
      <c r="K1064" s="121"/>
      <c r="L1064" s="78"/>
      <c r="M1064" s="72">
        <f ca="1">IF(INDIRECT(ADDRESS(ROW(),3))&lt;&gt;"",getIBANchecksum(INDIRECT(ADDRESS(ROW(),3))),98)</f>
        <v>98</v>
      </c>
    </row>
    <row r="1065" spans="1:13">
      <c r="A1065" s="96">
        <f t="shared" si="17"/>
        <v>1046</v>
      </c>
      <c r="B1065" s="9"/>
      <c r="C1065" s="28"/>
      <c r="D1065" s="23"/>
      <c r="E1065" s="93"/>
      <c r="F1065" s="24"/>
      <c r="G1065" s="130"/>
      <c r="H1065" s="46"/>
      <c r="I1065" s="131"/>
      <c r="J1065" s="126"/>
      <c r="K1065" s="121"/>
      <c r="L1065" s="78"/>
      <c r="M1065" s="72">
        <f ca="1">IF(INDIRECT(ADDRESS(ROW(),3))&lt;&gt;"",getIBANchecksum(INDIRECT(ADDRESS(ROW(),3))),98)</f>
        <v>98</v>
      </c>
    </row>
    <row r="1066" spans="1:13">
      <c r="A1066" s="96">
        <f t="shared" si="17"/>
        <v>1047</v>
      </c>
      <c r="B1066" s="9"/>
      <c r="C1066" s="28"/>
      <c r="D1066" s="23"/>
      <c r="E1066" s="93"/>
      <c r="F1066" s="24"/>
      <c r="G1066" s="130"/>
      <c r="H1066" s="46"/>
      <c r="I1066" s="131"/>
      <c r="J1066" s="126"/>
      <c r="K1066" s="121"/>
      <c r="L1066" s="78"/>
      <c r="M1066" s="72">
        <f ca="1">IF(INDIRECT(ADDRESS(ROW(),3))&lt;&gt;"",getIBANchecksum(INDIRECT(ADDRESS(ROW(),3))),98)</f>
        <v>98</v>
      </c>
    </row>
    <row r="1067" spans="1:13">
      <c r="A1067" s="96">
        <f t="shared" si="17"/>
        <v>1048</v>
      </c>
      <c r="B1067" s="9"/>
      <c r="C1067" s="28"/>
      <c r="D1067" s="23"/>
      <c r="E1067" s="93"/>
      <c r="F1067" s="24"/>
      <c r="G1067" s="130"/>
      <c r="H1067" s="46"/>
      <c r="I1067" s="131"/>
      <c r="J1067" s="126"/>
      <c r="K1067" s="121"/>
      <c r="L1067" s="78"/>
      <c r="M1067" s="72">
        <f ca="1">IF(INDIRECT(ADDRESS(ROW(),3))&lt;&gt;"",getIBANchecksum(INDIRECT(ADDRESS(ROW(),3))),98)</f>
        <v>98</v>
      </c>
    </row>
    <row r="1068" spans="1:13">
      <c r="A1068" s="96">
        <f t="shared" si="17"/>
        <v>1049</v>
      </c>
      <c r="B1068" s="9"/>
      <c r="C1068" s="28"/>
      <c r="D1068" s="23"/>
      <c r="E1068" s="93"/>
      <c r="F1068" s="24"/>
      <c r="G1068" s="130"/>
      <c r="H1068" s="46"/>
      <c r="I1068" s="131"/>
      <c r="J1068" s="126"/>
      <c r="K1068" s="121"/>
      <c r="L1068" s="78"/>
      <c r="M1068" s="72">
        <f ca="1">IF(INDIRECT(ADDRESS(ROW(),3))&lt;&gt;"",getIBANchecksum(INDIRECT(ADDRESS(ROW(),3))),98)</f>
        <v>98</v>
      </c>
    </row>
    <row r="1069" spans="1:13">
      <c r="A1069" s="96">
        <f t="shared" si="17"/>
        <v>1050</v>
      </c>
      <c r="B1069" s="9"/>
      <c r="C1069" s="28"/>
      <c r="D1069" s="23"/>
      <c r="E1069" s="93"/>
      <c r="F1069" s="24"/>
      <c r="G1069" s="130"/>
      <c r="H1069" s="46"/>
      <c r="I1069" s="131"/>
      <c r="J1069" s="126"/>
      <c r="K1069" s="121"/>
      <c r="L1069" s="78"/>
      <c r="M1069" s="72">
        <f ca="1">IF(INDIRECT(ADDRESS(ROW(),3))&lt;&gt;"",getIBANchecksum(INDIRECT(ADDRESS(ROW(),3))),98)</f>
        <v>98</v>
      </c>
    </row>
    <row r="1070" spans="1:13">
      <c r="A1070" s="96">
        <f t="shared" si="17"/>
        <v>1051</v>
      </c>
      <c r="B1070" s="9"/>
      <c r="C1070" s="28"/>
      <c r="D1070" s="23"/>
      <c r="E1070" s="93"/>
      <c r="F1070" s="24"/>
      <c r="G1070" s="130"/>
      <c r="H1070" s="46"/>
      <c r="I1070" s="131"/>
      <c r="J1070" s="126"/>
      <c r="K1070" s="121"/>
      <c r="L1070" s="78"/>
      <c r="M1070" s="72">
        <f ca="1">IF(INDIRECT(ADDRESS(ROW(),3))&lt;&gt;"",getIBANchecksum(INDIRECT(ADDRESS(ROW(),3))),98)</f>
        <v>98</v>
      </c>
    </row>
    <row r="1071" spans="1:13">
      <c r="A1071" s="96">
        <f t="shared" si="17"/>
        <v>1052</v>
      </c>
      <c r="B1071" s="9"/>
      <c r="C1071" s="28"/>
      <c r="D1071" s="23"/>
      <c r="E1071" s="93"/>
      <c r="F1071" s="24"/>
      <c r="G1071" s="130"/>
      <c r="H1071" s="46"/>
      <c r="I1071" s="131"/>
      <c r="J1071" s="126"/>
      <c r="K1071" s="121"/>
      <c r="L1071" s="78"/>
      <c r="M1071" s="72">
        <f ca="1">IF(INDIRECT(ADDRESS(ROW(),3))&lt;&gt;"",getIBANchecksum(INDIRECT(ADDRESS(ROW(),3))),98)</f>
        <v>98</v>
      </c>
    </row>
    <row r="1072" spans="1:13">
      <c r="A1072" s="96">
        <f t="shared" si="17"/>
        <v>1053</v>
      </c>
      <c r="B1072" s="9"/>
      <c r="C1072" s="28"/>
      <c r="D1072" s="23"/>
      <c r="E1072" s="93"/>
      <c r="F1072" s="24"/>
      <c r="G1072" s="130"/>
      <c r="H1072" s="46"/>
      <c r="I1072" s="131"/>
      <c r="J1072" s="126"/>
      <c r="K1072" s="121"/>
      <c r="L1072" s="78"/>
      <c r="M1072" s="72">
        <f ca="1">IF(INDIRECT(ADDRESS(ROW(),3))&lt;&gt;"",getIBANchecksum(INDIRECT(ADDRESS(ROW(),3))),98)</f>
        <v>98</v>
      </c>
    </row>
    <row r="1073" spans="1:13">
      <c r="A1073" s="96">
        <f t="shared" si="17"/>
        <v>1054</v>
      </c>
      <c r="B1073" s="9"/>
      <c r="C1073" s="28"/>
      <c r="D1073" s="23"/>
      <c r="E1073" s="93"/>
      <c r="F1073" s="24"/>
      <c r="G1073" s="130"/>
      <c r="H1073" s="46"/>
      <c r="I1073" s="131"/>
      <c r="J1073" s="126"/>
      <c r="K1073" s="121"/>
      <c r="L1073" s="78"/>
      <c r="M1073" s="72">
        <f ca="1">IF(INDIRECT(ADDRESS(ROW(),3))&lt;&gt;"",getIBANchecksum(INDIRECT(ADDRESS(ROW(),3))),98)</f>
        <v>98</v>
      </c>
    </row>
    <row r="1074" spans="1:13">
      <c r="A1074" s="96">
        <f t="shared" si="17"/>
        <v>1055</v>
      </c>
      <c r="B1074" s="9"/>
      <c r="C1074" s="28"/>
      <c r="D1074" s="23"/>
      <c r="E1074" s="93"/>
      <c r="F1074" s="24"/>
      <c r="G1074" s="130"/>
      <c r="H1074" s="46"/>
      <c r="I1074" s="131"/>
      <c r="J1074" s="126"/>
      <c r="K1074" s="121"/>
      <c r="L1074" s="78"/>
      <c r="M1074" s="72">
        <f ca="1">IF(INDIRECT(ADDRESS(ROW(),3))&lt;&gt;"",getIBANchecksum(INDIRECT(ADDRESS(ROW(),3))),98)</f>
        <v>98</v>
      </c>
    </row>
    <row r="1075" spans="1:13">
      <c r="A1075" s="96">
        <f t="shared" si="17"/>
        <v>1056</v>
      </c>
      <c r="B1075" s="9"/>
      <c r="C1075" s="28"/>
      <c r="D1075" s="23"/>
      <c r="E1075" s="93"/>
      <c r="F1075" s="24"/>
      <c r="G1075" s="130"/>
      <c r="H1075" s="46"/>
      <c r="I1075" s="131"/>
      <c r="J1075" s="126"/>
      <c r="K1075" s="121"/>
      <c r="L1075" s="78"/>
      <c r="M1075" s="72">
        <f ca="1">IF(INDIRECT(ADDRESS(ROW(),3))&lt;&gt;"",getIBANchecksum(INDIRECT(ADDRESS(ROW(),3))),98)</f>
        <v>98</v>
      </c>
    </row>
    <row r="1076" spans="1:13">
      <c r="A1076" s="96">
        <f t="shared" si="17"/>
        <v>1057</v>
      </c>
      <c r="B1076" s="9"/>
      <c r="C1076" s="28"/>
      <c r="D1076" s="23"/>
      <c r="E1076" s="93"/>
      <c r="F1076" s="24"/>
      <c r="G1076" s="130"/>
      <c r="H1076" s="46"/>
      <c r="I1076" s="131"/>
      <c r="J1076" s="126"/>
      <c r="K1076" s="121"/>
      <c r="L1076" s="78"/>
      <c r="M1076" s="72">
        <f ca="1">IF(INDIRECT(ADDRESS(ROW(),3))&lt;&gt;"",getIBANchecksum(INDIRECT(ADDRESS(ROW(),3))),98)</f>
        <v>98</v>
      </c>
    </row>
    <row r="1077" spans="1:13">
      <c r="A1077" s="96">
        <f t="shared" si="17"/>
        <v>1058</v>
      </c>
      <c r="B1077" s="9"/>
      <c r="C1077" s="28"/>
      <c r="D1077" s="23"/>
      <c r="E1077" s="93"/>
      <c r="F1077" s="24"/>
      <c r="G1077" s="130"/>
      <c r="H1077" s="46"/>
      <c r="I1077" s="131"/>
      <c r="J1077" s="126"/>
      <c r="K1077" s="121"/>
      <c r="L1077" s="78"/>
      <c r="M1077" s="72">
        <f ca="1">IF(INDIRECT(ADDRESS(ROW(),3))&lt;&gt;"",getIBANchecksum(INDIRECT(ADDRESS(ROW(),3))),98)</f>
        <v>98</v>
      </c>
    </row>
    <row r="1078" spans="1:13">
      <c r="A1078" s="96">
        <f t="shared" si="17"/>
        <v>1059</v>
      </c>
      <c r="B1078" s="9"/>
      <c r="C1078" s="28"/>
      <c r="D1078" s="23"/>
      <c r="E1078" s="93"/>
      <c r="F1078" s="24"/>
      <c r="G1078" s="130"/>
      <c r="H1078" s="46"/>
      <c r="I1078" s="131"/>
      <c r="J1078" s="126"/>
      <c r="K1078" s="121"/>
      <c r="L1078" s="78"/>
      <c r="M1078" s="72">
        <f ca="1">IF(INDIRECT(ADDRESS(ROW(),3))&lt;&gt;"",getIBANchecksum(INDIRECT(ADDRESS(ROW(),3))),98)</f>
        <v>98</v>
      </c>
    </row>
    <row r="1079" spans="1:13">
      <c r="A1079" s="96">
        <f t="shared" si="17"/>
        <v>1060</v>
      </c>
      <c r="B1079" s="9"/>
      <c r="C1079" s="28"/>
      <c r="D1079" s="23"/>
      <c r="E1079" s="93"/>
      <c r="F1079" s="24"/>
      <c r="G1079" s="130"/>
      <c r="H1079" s="46"/>
      <c r="I1079" s="131"/>
      <c r="J1079" s="126"/>
      <c r="K1079" s="121"/>
      <c r="L1079" s="78"/>
      <c r="M1079" s="72">
        <f ca="1">IF(INDIRECT(ADDRESS(ROW(),3))&lt;&gt;"",getIBANchecksum(INDIRECT(ADDRESS(ROW(),3))),98)</f>
        <v>98</v>
      </c>
    </row>
    <row r="1080" spans="1:13">
      <c r="A1080" s="96">
        <f t="shared" si="17"/>
        <v>1061</v>
      </c>
      <c r="B1080" s="9"/>
      <c r="C1080" s="28"/>
      <c r="D1080" s="23"/>
      <c r="E1080" s="93"/>
      <c r="F1080" s="24"/>
      <c r="G1080" s="130"/>
      <c r="H1080" s="46"/>
      <c r="I1080" s="131"/>
      <c r="J1080" s="126"/>
      <c r="K1080" s="121"/>
      <c r="L1080" s="78"/>
      <c r="M1080" s="72">
        <f ca="1">IF(INDIRECT(ADDRESS(ROW(),3))&lt;&gt;"",getIBANchecksum(INDIRECT(ADDRESS(ROW(),3))),98)</f>
        <v>98</v>
      </c>
    </row>
    <row r="1081" spans="1:13">
      <c r="A1081" s="96">
        <f t="shared" si="17"/>
        <v>1062</v>
      </c>
      <c r="B1081" s="9"/>
      <c r="C1081" s="28"/>
      <c r="D1081" s="23"/>
      <c r="E1081" s="93"/>
      <c r="F1081" s="24"/>
      <c r="G1081" s="130"/>
      <c r="H1081" s="46"/>
      <c r="I1081" s="131"/>
      <c r="J1081" s="126"/>
      <c r="K1081" s="121"/>
      <c r="L1081" s="78"/>
      <c r="M1081" s="72">
        <f ca="1">IF(INDIRECT(ADDRESS(ROW(),3))&lt;&gt;"",getIBANchecksum(INDIRECT(ADDRESS(ROW(),3))),98)</f>
        <v>98</v>
      </c>
    </row>
    <row r="1082" spans="1:13">
      <c r="A1082" s="96">
        <f t="shared" si="17"/>
        <v>1063</v>
      </c>
      <c r="B1082" s="9"/>
      <c r="C1082" s="28"/>
      <c r="D1082" s="23"/>
      <c r="E1082" s="93"/>
      <c r="F1082" s="24"/>
      <c r="G1082" s="130"/>
      <c r="H1082" s="46"/>
      <c r="I1082" s="131"/>
      <c r="J1082" s="126"/>
      <c r="K1082" s="121"/>
      <c r="L1082" s="78"/>
      <c r="M1082" s="72">
        <f ca="1">IF(INDIRECT(ADDRESS(ROW(),3))&lt;&gt;"",getIBANchecksum(INDIRECT(ADDRESS(ROW(),3))),98)</f>
        <v>98</v>
      </c>
    </row>
    <row r="1083" spans="1:13">
      <c r="A1083" s="96">
        <f t="shared" si="17"/>
        <v>1064</v>
      </c>
      <c r="B1083" s="9"/>
      <c r="C1083" s="28"/>
      <c r="D1083" s="23"/>
      <c r="E1083" s="93"/>
      <c r="F1083" s="24"/>
      <c r="G1083" s="130"/>
      <c r="H1083" s="46"/>
      <c r="I1083" s="131"/>
      <c r="J1083" s="126"/>
      <c r="K1083" s="121"/>
      <c r="L1083" s="78"/>
      <c r="M1083" s="72">
        <f ca="1">IF(INDIRECT(ADDRESS(ROW(),3))&lt;&gt;"",getIBANchecksum(INDIRECT(ADDRESS(ROW(),3))),98)</f>
        <v>98</v>
      </c>
    </row>
    <row r="1084" spans="1:13">
      <c r="A1084" s="96">
        <f t="shared" si="17"/>
        <v>1065</v>
      </c>
      <c r="B1084" s="9"/>
      <c r="C1084" s="28"/>
      <c r="D1084" s="23"/>
      <c r="E1084" s="93"/>
      <c r="F1084" s="24"/>
      <c r="G1084" s="130"/>
      <c r="H1084" s="46"/>
      <c r="I1084" s="131"/>
      <c r="J1084" s="126"/>
      <c r="K1084" s="121"/>
      <c r="L1084" s="78"/>
      <c r="M1084" s="72">
        <f ca="1">IF(INDIRECT(ADDRESS(ROW(),3))&lt;&gt;"",getIBANchecksum(INDIRECT(ADDRESS(ROW(),3))),98)</f>
        <v>98</v>
      </c>
    </row>
    <row r="1085" spans="1:13">
      <c r="A1085" s="96">
        <f t="shared" si="17"/>
        <v>1066</v>
      </c>
      <c r="B1085" s="9"/>
      <c r="C1085" s="28"/>
      <c r="D1085" s="23"/>
      <c r="E1085" s="93"/>
      <c r="F1085" s="24"/>
      <c r="G1085" s="130"/>
      <c r="H1085" s="46"/>
      <c r="I1085" s="131"/>
      <c r="J1085" s="126"/>
      <c r="K1085" s="121"/>
      <c r="L1085" s="78"/>
      <c r="M1085" s="72">
        <f ca="1">IF(INDIRECT(ADDRESS(ROW(),3))&lt;&gt;"",getIBANchecksum(INDIRECT(ADDRESS(ROW(),3))),98)</f>
        <v>98</v>
      </c>
    </row>
    <row r="1086" spans="1:13">
      <c r="A1086" s="96">
        <f t="shared" si="17"/>
        <v>1067</v>
      </c>
      <c r="B1086" s="9"/>
      <c r="C1086" s="28"/>
      <c r="D1086" s="23"/>
      <c r="E1086" s="93"/>
      <c r="F1086" s="24"/>
      <c r="G1086" s="130"/>
      <c r="H1086" s="46"/>
      <c r="I1086" s="131"/>
      <c r="J1086" s="126"/>
      <c r="K1086" s="121"/>
      <c r="L1086" s="78"/>
      <c r="M1086" s="72">
        <f ca="1">IF(INDIRECT(ADDRESS(ROW(),3))&lt;&gt;"",getIBANchecksum(INDIRECT(ADDRESS(ROW(),3))),98)</f>
        <v>98</v>
      </c>
    </row>
    <row r="1087" spans="1:13">
      <c r="A1087" s="96">
        <f t="shared" si="17"/>
        <v>1068</v>
      </c>
      <c r="B1087" s="9"/>
      <c r="C1087" s="28"/>
      <c r="D1087" s="23"/>
      <c r="E1087" s="93"/>
      <c r="F1087" s="24"/>
      <c r="G1087" s="130"/>
      <c r="H1087" s="46"/>
      <c r="I1087" s="131"/>
      <c r="J1087" s="126"/>
      <c r="K1087" s="121"/>
      <c r="L1087" s="78"/>
      <c r="M1087" s="72">
        <f ca="1">IF(INDIRECT(ADDRESS(ROW(),3))&lt;&gt;"",getIBANchecksum(INDIRECT(ADDRESS(ROW(),3))),98)</f>
        <v>98</v>
      </c>
    </row>
    <row r="1088" spans="1:13">
      <c r="A1088" s="96">
        <f t="shared" si="17"/>
        <v>1069</v>
      </c>
      <c r="B1088" s="9"/>
      <c r="C1088" s="28"/>
      <c r="D1088" s="23"/>
      <c r="E1088" s="93"/>
      <c r="F1088" s="24"/>
      <c r="G1088" s="130"/>
      <c r="H1088" s="46"/>
      <c r="I1088" s="131"/>
      <c r="J1088" s="126"/>
      <c r="K1088" s="121"/>
      <c r="L1088" s="78"/>
      <c r="M1088" s="72">
        <f ca="1">IF(INDIRECT(ADDRESS(ROW(),3))&lt;&gt;"",getIBANchecksum(INDIRECT(ADDRESS(ROW(),3))),98)</f>
        <v>98</v>
      </c>
    </row>
    <row r="1089" spans="1:13">
      <c r="A1089" s="96">
        <f t="shared" si="17"/>
        <v>1070</v>
      </c>
      <c r="B1089" s="9"/>
      <c r="C1089" s="28"/>
      <c r="D1089" s="23"/>
      <c r="E1089" s="93"/>
      <c r="F1089" s="24"/>
      <c r="G1089" s="130"/>
      <c r="H1089" s="46"/>
      <c r="I1089" s="131"/>
      <c r="J1089" s="126"/>
      <c r="K1089" s="121"/>
      <c r="L1089" s="78"/>
      <c r="M1089" s="72">
        <f ca="1">IF(INDIRECT(ADDRESS(ROW(),3))&lt;&gt;"",getIBANchecksum(INDIRECT(ADDRESS(ROW(),3))),98)</f>
        <v>98</v>
      </c>
    </row>
    <row r="1090" spans="1:13">
      <c r="A1090" s="96">
        <f t="shared" si="17"/>
        <v>1071</v>
      </c>
      <c r="B1090" s="9"/>
      <c r="C1090" s="28"/>
      <c r="D1090" s="23"/>
      <c r="E1090" s="93"/>
      <c r="F1090" s="24"/>
      <c r="G1090" s="130"/>
      <c r="H1090" s="46"/>
      <c r="I1090" s="131"/>
      <c r="J1090" s="126"/>
      <c r="K1090" s="121"/>
      <c r="L1090" s="78"/>
      <c r="M1090" s="72">
        <f ca="1">IF(INDIRECT(ADDRESS(ROW(),3))&lt;&gt;"",getIBANchecksum(INDIRECT(ADDRESS(ROW(),3))),98)</f>
        <v>98</v>
      </c>
    </row>
    <row r="1091" spans="1:13">
      <c r="A1091" s="96">
        <f t="shared" si="17"/>
        <v>1072</v>
      </c>
      <c r="B1091" s="9"/>
      <c r="C1091" s="28"/>
      <c r="D1091" s="23"/>
      <c r="E1091" s="93"/>
      <c r="F1091" s="24"/>
      <c r="G1091" s="130"/>
      <c r="H1091" s="46"/>
      <c r="I1091" s="131"/>
      <c r="J1091" s="126"/>
      <c r="K1091" s="121"/>
      <c r="L1091" s="78"/>
      <c r="M1091" s="72">
        <f ca="1">IF(INDIRECT(ADDRESS(ROW(),3))&lt;&gt;"",getIBANchecksum(INDIRECT(ADDRESS(ROW(),3))),98)</f>
        <v>98</v>
      </c>
    </row>
    <row r="1092" spans="1:13">
      <c r="A1092" s="96">
        <f t="shared" si="17"/>
        <v>1073</v>
      </c>
      <c r="B1092" s="9"/>
      <c r="C1092" s="28"/>
      <c r="D1092" s="23"/>
      <c r="E1092" s="93"/>
      <c r="F1092" s="24"/>
      <c r="G1092" s="130"/>
      <c r="H1092" s="46"/>
      <c r="I1092" s="131"/>
      <c r="J1092" s="126"/>
      <c r="K1092" s="121"/>
      <c r="L1092" s="78"/>
      <c r="M1092" s="72">
        <f ca="1">IF(INDIRECT(ADDRESS(ROW(),3))&lt;&gt;"",getIBANchecksum(INDIRECT(ADDRESS(ROW(),3))),98)</f>
        <v>98</v>
      </c>
    </row>
    <row r="1093" spans="1:13">
      <c r="A1093" s="96">
        <f t="shared" si="17"/>
        <v>1074</v>
      </c>
      <c r="B1093" s="9"/>
      <c r="C1093" s="28"/>
      <c r="D1093" s="23"/>
      <c r="E1093" s="93"/>
      <c r="F1093" s="24"/>
      <c r="G1093" s="130"/>
      <c r="H1093" s="46"/>
      <c r="I1093" s="131"/>
      <c r="J1093" s="126"/>
      <c r="K1093" s="121"/>
      <c r="L1093" s="78"/>
      <c r="M1093" s="72">
        <f ca="1">IF(INDIRECT(ADDRESS(ROW(),3))&lt;&gt;"",getIBANchecksum(INDIRECT(ADDRESS(ROW(),3))),98)</f>
        <v>98</v>
      </c>
    </row>
    <row r="1094" spans="1:13">
      <c r="A1094" s="96">
        <f t="shared" si="17"/>
        <v>1075</v>
      </c>
      <c r="B1094" s="9"/>
      <c r="C1094" s="28"/>
      <c r="D1094" s="23"/>
      <c r="E1094" s="93"/>
      <c r="F1094" s="24"/>
      <c r="G1094" s="130"/>
      <c r="H1094" s="46"/>
      <c r="I1094" s="131"/>
      <c r="J1094" s="126"/>
      <c r="K1094" s="121"/>
      <c r="L1094" s="78"/>
      <c r="M1094" s="72">
        <f ca="1">IF(INDIRECT(ADDRESS(ROW(),3))&lt;&gt;"",getIBANchecksum(INDIRECT(ADDRESS(ROW(),3))),98)</f>
        <v>98</v>
      </c>
    </row>
    <row r="1095" spans="1:13">
      <c r="A1095" s="96">
        <f t="shared" si="17"/>
        <v>1076</v>
      </c>
      <c r="B1095" s="9"/>
      <c r="C1095" s="28"/>
      <c r="D1095" s="23"/>
      <c r="E1095" s="93"/>
      <c r="F1095" s="24"/>
      <c r="G1095" s="130"/>
      <c r="H1095" s="46"/>
      <c r="I1095" s="131"/>
      <c r="J1095" s="126"/>
      <c r="K1095" s="121"/>
      <c r="L1095" s="78"/>
      <c r="M1095" s="72">
        <f ca="1">IF(INDIRECT(ADDRESS(ROW(),3))&lt;&gt;"",getIBANchecksum(INDIRECT(ADDRESS(ROW(),3))),98)</f>
        <v>98</v>
      </c>
    </row>
    <row r="1096" spans="1:13">
      <c r="A1096" s="96">
        <f t="shared" si="17"/>
        <v>1077</v>
      </c>
      <c r="B1096" s="9"/>
      <c r="C1096" s="28"/>
      <c r="D1096" s="23"/>
      <c r="E1096" s="93"/>
      <c r="F1096" s="24"/>
      <c r="G1096" s="130"/>
      <c r="H1096" s="46"/>
      <c r="I1096" s="131"/>
      <c r="J1096" s="126"/>
      <c r="K1096" s="121"/>
      <c r="L1096" s="78"/>
      <c r="M1096" s="72">
        <f ca="1">IF(INDIRECT(ADDRESS(ROW(),3))&lt;&gt;"",getIBANchecksum(INDIRECT(ADDRESS(ROW(),3))),98)</f>
        <v>98</v>
      </c>
    </row>
    <row r="1097" spans="1:13">
      <c r="A1097" s="96">
        <f t="shared" si="17"/>
        <v>1078</v>
      </c>
      <c r="B1097" s="9"/>
      <c r="C1097" s="28"/>
      <c r="D1097" s="23"/>
      <c r="E1097" s="93"/>
      <c r="F1097" s="24"/>
      <c r="G1097" s="130"/>
      <c r="H1097" s="46"/>
      <c r="I1097" s="131"/>
      <c r="J1097" s="126"/>
      <c r="K1097" s="121"/>
      <c r="L1097" s="78"/>
      <c r="M1097" s="72">
        <f ca="1">IF(INDIRECT(ADDRESS(ROW(),3))&lt;&gt;"",getIBANchecksum(INDIRECT(ADDRESS(ROW(),3))),98)</f>
        <v>98</v>
      </c>
    </row>
    <row r="1098" spans="1:13">
      <c r="A1098" s="96">
        <f t="shared" si="17"/>
        <v>1079</v>
      </c>
      <c r="B1098" s="9"/>
      <c r="C1098" s="28"/>
      <c r="D1098" s="23"/>
      <c r="E1098" s="93"/>
      <c r="F1098" s="24"/>
      <c r="G1098" s="130"/>
      <c r="H1098" s="46"/>
      <c r="I1098" s="131"/>
      <c r="J1098" s="126"/>
      <c r="K1098" s="121"/>
      <c r="L1098" s="78"/>
      <c r="M1098" s="72">
        <f ca="1">IF(INDIRECT(ADDRESS(ROW(),3))&lt;&gt;"",getIBANchecksum(INDIRECT(ADDRESS(ROW(),3))),98)</f>
        <v>98</v>
      </c>
    </row>
    <row r="1099" spans="1:13">
      <c r="A1099" s="96">
        <f t="shared" si="17"/>
        <v>1080</v>
      </c>
      <c r="B1099" s="9"/>
      <c r="C1099" s="28"/>
      <c r="D1099" s="23"/>
      <c r="E1099" s="93"/>
      <c r="F1099" s="24"/>
      <c r="G1099" s="130"/>
      <c r="H1099" s="46"/>
      <c r="I1099" s="131"/>
      <c r="J1099" s="126"/>
      <c r="K1099" s="121"/>
      <c r="L1099" s="78"/>
      <c r="M1099" s="72">
        <f ca="1">IF(INDIRECT(ADDRESS(ROW(),3))&lt;&gt;"",getIBANchecksum(INDIRECT(ADDRESS(ROW(),3))),98)</f>
        <v>98</v>
      </c>
    </row>
    <row r="1100" spans="1:13">
      <c r="A1100" s="96">
        <f t="shared" si="17"/>
        <v>1081</v>
      </c>
      <c r="B1100" s="9"/>
      <c r="C1100" s="28"/>
      <c r="D1100" s="23"/>
      <c r="E1100" s="93"/>
      <c r="F1100" s="24"/>
      <c r="G1100" s="130"/>
      <c r="H1100" s="46"/>
      <c r="I1100" s="131"/>
      <c r="J1100" s="126"/>
      <c r="K1100" s="121"/>
      <c r="L1100" s="78"/>
      <c r="M1100" s="72">
        <f ca="1">IF(INDIRECT(ADDRESS(ROW(),3))&lt;&gt;"",getIBANchecksum(INDIRECT(ADDRESS(ROW(),3))),98)</f>
        <v>98</v>
      </c>
    </row>
    <row r="1101" spans="1:13">
      <c r="A1101" s="96">
        <f t="shared" si="17"/>
        <v>1082</v>
      </c>
      <c r="B1101" s="9"/>
      <c r="C1101" s="28"/>
      <c r="D1101" s="23"/>
      <c r="E1101" s="93"/>
      <c r="F1101" s="24"/>
      <c r="G1101" s="130"/>
      <c r="H1101" s="46"/>
      <c r="I1101" s="131"/>
      <c r="J1101" s="126"/>
      <c r="K1101" s="121"/>
      <c r="L1101" s="78"/>
      <c r="M1101" s="72">
        <f ca="1">IF(INDIRECT(ADDRESS(ROW(),3))&lt;&gt;"",getIBANchecksum(INDIRECT(ADDRESS(ROW(),3))),98)</f>
        <v>98</v>
      </c>
    </row>
    <row r="1102" spans="1:13">
      <c r="A1102" s="96">
        <f t="shared" si="17"/>
        <v>1083</v>
      </c>
      <c r="B1102" s="9"/>
      <c r="C1102" s="28"/>
      <c r="D1102" s="23"/>
      <c r="E1102" s="93"/>
      <c r="F1102" s="24"/>
      <c r="G1102" s="130"/>
      <c r="H1102" s="46"/>
      <c r="I1102" s="131"/>
      <c r="J1102" s="126"/>
      <c r="K1102" s="121"/>
      <c r="L1102" s="78"/>
      <c r="M1102" s="72">
        <f ca="1">IF(INDIRECT(ADDRESS(ROW(),3))&lt;&gt;"",getIBANchecksum(INDIRECT(ADDRESS(ROW(),3))),98)</f>
        <v>98</v>
      </c>
    </row>
    <row r="1103" spans="1:13">
      <c r="A1103" s="96">
        <f t="shared" si="17"/>
        <v>1084</v>
      </c>
      <c r="B1103" s="9"/>
      <c r="C1103" s="28"/>
      <c r="D1103" s="23"/>
      <c r="E1103" s="93"/>
      <c r="F1103" s="24"/>
      <c r="G1103" s="130"/>
      <c r="H1103" s="46"/>
      <c r="I1103" s="131"/>
      <c r="J1103" s="126"/>
      <c r="K1103" s="121"/>
      <c r="L1103" s="78"/>
      <c r="M1103" s="72">
        <f ca="1">IF(INDIRECT(ADDRESS(ROW(),3))&lt;&gt;"",getIBANchecksum(INDIRECT(ADDRESS(ROW(),3))),98)</f>
        <v>98</v>
      </c>
    </row>
    <row r="1104" spans="1:13">
      <c r="A1104" s="96">
        <f t="shared" si="17"/>
        <v>1085</v>
      </c>
      <c r="B1104" s="9"/>
      <c r="C1104" s="28"/>
      <c r="D1104" s="23"/>
      <c r="E1104" s="93"/>
      <c r="F1104" s="24"/>
      <c r="G1104" s="130"/>
      <c r="H1104" s="46"/>
      <c r="I1104" s="131"/>
      <c r="J1104" s="126"/>
      <c r="K1104" s="121"/>
      <c r="L1104" s="78"/>
      <c r="M1104" s="72">
        <f ca="1">IF(INDIRECT(ADDRESS(ROW(),3))&lt;&gt;"",getIBANchecksum(INDIRECT(ADDRESS(ROW(),3))),98)</f>
        <v>98</v>
      </c>
    </row>
    <row r="1105" spans="1:13">
      <c r="A1105" s="96">
        <f t="shared" si="17"/>
        <v>1086</v>
      </c>
      <c r="B1105" s="9"/>
      <c r="C1105" s="28"/>
      <c r="D1105" s="23"/>
      <c r="E1105" s="93"/>
      <c r="F1105" s="24"/>
      <c r="G1105" s="130"/>
      <c r="H1105" s="46"/>
      <c r="I1105" s="131"/>
      <c r="J1105" s="126"/>
      <c r="K1105" s="121"/>
      <c r="L1105" s="78"/>
      <c r="M1105" s="72">
        <f ca="1">IF(INDIRECT(ADDRESS(ROW(),3))&lt;&gt;"",getIBANchecksum(INDIRECT(ADDRESS(ROW(),3))),98)</f>
        <v>98</v>
      </c>
    </row>
    <row r="1106" spans="1:13">
      <c r="A1106" s="96">
        <f t="shared" si="17"/>
        <v>1087</v>
      </c>
      <c r="B1106" s="9"/>
      <c r="C1106" s="28"/>
      <c r="D1106" s="23"/>
      <c r="E1106" s="93"/>
      <c r="F1106" s="24"/>
      <c r="G1106" s="130"/>
      <c r="H1106" s="46"/>
      <c r="I1106" s="131"/>
      <c r="J1106" s="126"/>
      <c r="K1106" s="121"/>
      <c r="L1106" s="78"/>
      <c r="M1106" s="72">
        <f ca="1">IF(INDIRECT(ADDRESS(ROW(),3))&lt;&gt;"",getIBANchecksum(INDIRECT(ADDRESS(ROW(),3))),98)</f>
        <v>98</v>
      </c>
    </row>
    <row r="1107" spans="1:13">
      <c r="A1107" s="96">
        <f t="shared" si="17"/>
        <v>1088</v>
      </c>
      <c r="B1107" s="9"/>
      <c r="C1107" s="28"/>
      <c r="D1107" s="23"/>
      <c r="E1107" s="93"/>
      <c r="F1107" s="24"/>
      <c r="G1107" s="130"/>
      <c r="H1107" s="46"/>
      <c r="I1107" s="131"/>
      <c r="J1107" s="126"/>
      <c r="K1107" s="121"/>
      <c r="L1107" s="78"/>
      <c r="M1107" s="72">
        <f ca="1">IF(INDIRECT(ADDRESS(ROW(),3))&lt;&gt;"",getIBANchecksum(INDIRECT(ADDRESS(ROW(),3))),98)</f>
        <v>98</v>
      </c>
    </row>
    <row r="1108" spans="1:13">
      <c r="A1108" s="96">
        <f t="shared" si="17"/>
        <v>1089</v>
      </c>
      <c r="B1108" s="9"/>
      <c r="C1108" s="28"/>
      <c r="D1108" s="23"/>
      <c r="E1108" s="93"/>
      <c r="F1108" s="24"/>
      <c r="G1108" s="130"/>
      <c r="H1108" s="46"/>
      <c r="I1108" s="131"/>
      <c r="J1108" s="126"/>
      <c r="K1108" s="121"/>
      <c r="L1108" s="78"/>
      <c r="M1108" s="72">
        <f ca="1">IF(INDIRECT(ADDRESS(ROW(),3))&lt;&gt;"",getIBANchecksum(INDIRECT(ADDRESS(ROW(),3))),98)</f>
        <v>98</v>
      </c>
    </row>
    <row r="1109" spans="1:13">
      <c r="A1109" s="96">
        <f t="shared" si="17"/>
        <v>1090</v>
      </c>
      <c r="B1109" s="9"/>
      <c r="C1109" s="28"/>
      <c r="D1109" s="23"/>
      <c r="E1109" s="93"/>
      <c r="F1109" s="24"/>
      <c r="G1109" s="130"/>
      <c r="H1109" s="46"/>
      <c r="I1109" s="131"/>
      <c r="J1109" s="126"/>
      <c r="K1109" s="121"/>
      <c r="L1109" s="78"/>
      <c r="M1109" s="72">
        <f ca="1">IF(INDIRECT(ADDRESS(ROW(),3))&lt;&gt;"",getIBANchecksum(INDIRECT(ADDRESS(ROW(),3))),98)</f>
        <v>98</v>
      </c>
    </row>
    <row r="1110" spans="1:13">
      <c r="A1110" s="96">
        <f t="shared" ref="A1110:A1173" si="18">A1109+1</f>
        <v>1091</v>
      </c>
      <c r="B1110" s="9"/>
      <c r="C1110" s="28"/>
      <c r="D1110" s="23"/>
      <c r="E1110" s="93"/>
      <c r="F1110" s="24"/>
      <c r="G1110" s="130"/>
      <c r="H1110" s="46"/>
      <c r="I1110" s="131"/>
      <c r="J1110" s="126"/>
      <c r="K1110" s="121"/>
      <c r="L1110" s="78"/>
      <c r="M1110" s="72">
        <f ca="1">IF(INDIRECT(ADDRESS(ROW(),3))&lt;&gt;"",getIBANchecksum(INDIRECT(ADDRESS(ROW(),3))),98)</f>
        <v>98</v>
      </c>
    </row>
    <row r="1111" spans="1:13">
      <c r="A1111" s="96">
        <f t="shared" si="18"/>
        <v>1092</v>
      </c>
      <c r="B1111" s="9"/>
      <c r="C1111" s="28"/>
      <c r="D1111" s="23"/>
      <c r="E1111" s="93"/>
      <c r="F1111" s="24"/>
      <c r="G1111" s="130"/>
      <c r="H1111" s="46"/>
      <c r="I1111" s="131"/>
      <c r="J1111" s="126"/>
      <c r="K1111" s="121"/>
      <c r="L1111" s="78"/>
      <c r="M1111" s="72">
        <f ca="1">IF(INDIRECT(ADDRESS(ROW(),3))&lt;&gt;"",getIBANchecksum(INDIRECT(ADDRESS(ROW(),3))),98)</f>
        <v>98</v>
      </c>
    </row>
    <row r="1112" spans="1:13">
      <c r="A1112" s="96">
        <f t="shared" si="18"/>
        <v>1093</v>
      </c>
      <c r="B1112" s="9"/>
      <c r="C1112" s="28"/>
      <c r="D1112" s="23"/>
      <c r="E1112" s="93"/>
      <c r="F1112" s="24"/>
      <c r="G1112" s="130"/>
      <c r="H1112" s="46"/>
      <c r="I1112" s="131"/>
      <c r="J1112" s="126"/>
      <c r="K1112" s="121"/>
      <c r="L1112" s="78"/>
      <c r="M1112" s="72">
        <f ca="1">IF(INDIRECT(ADDRESS(ROW(),3))&lt;&gt;"",getIBANchecksum(INDIRECT(ADDRESS(ROW(),3))),98)</f>
        <v>98</v>
      </c>
    </row>
    <row r="1113" spans="1:13">
      <c r="A1113" s="96">
        <f t="shared" si="18"/>
        <v>1094</v>
      </c>
      <c r="B1113" s="9"/>
      <c r="C1113" s="28"/>
      <c r="D1113" s="23"/>
      <c r="E1113" s="93"/>
      <c r="F1113" s="24"/>
      <c r="G1113" s="130"/>
      <c r="H1113" s="46"/>
      <c r="I1113" s="131"/>
      <c r="J1113" s="126"/>
      <c r="K1113" s="121"/>
      <c r="L1113" s="78"/>
      <c r="M1113" s="72">
        <f ca="1">IF(INDIRECT(ADDRESS(ROW(),3))&lt;&gt;"",getIBANchecksum(INDIRECT(ADDRESS(ROW(),3))),98)</f>
        <v>98</v>
      </c>
    </row>
    <row r="1114" spans="1:13">
      <c r="A1114" s="96">
        <f t="shared" si="18"/>
        <v>1095</v>
      </c>
      <c r="B1114" s="9"/>
      <c r="C1114" s="28"/>
      <c r="D1114" s="23"/>
      <c r="E1114" s="93"/>
      <c r="F1114" s="24"/>
      <c r="G1114" s="130"/>
      <c r="H1114" s="46"/>
      <c r="I1114" s="131"/>
      <c r="J1114" s="126"/>
      <c r="K1114" s="121"/>
      <c r="L1114" s="78"/>
      <c r="M1114" s="72">
        <f ca="1">IF(INDIRECT(ADDRESS(ROW(),3))&lt;&gt;"",getIBANchecksum(INDIRECT(ADDRESS(ROW(),3))),98)</f>
        <v>98</v>
      </c>
    </row>
    <row r="1115" spans="1:13">
      <c r="A1115" s="96">
        <f t="shared" si="18"/>
        <v>1096</v>
      </c>
      <c r="B1115" s="9"/>
      <c r="C1115" s="28"/>
      <c r="D1115" s="23"/>
      <c r="E1115" s="93"/>
      <c r="F1115" s="24"/>
      <c r="G1115" s="130"/>
      <c r="H1115" s="46"/>
      <c r="I1115" s="131"/>
      <c r="J1115" s="126"/>
      <c r="K1115" s="121"/>
      <c r="L1115" s="78"/>
      <c r="M1115" s="72">
        <f ca="1">IF(INDIRECT(ADDRESS(ROW(),3))&lt;&gt;"",getIBANchecksum(INDIRECT(ADDRESS(ROW(),3))),98)</f>
        <v>98</v>
      </c>
    </row>
    <row r="1116" spans="1:13">
      <c r="A1116" s="96">
        <f t="shared" si="18"/>
        <v>1097</v>
      </c>
      <c r="B1116" s="9"/>
      <c r="C1116" s="28"/>
      <c r="D1116" s="23"/>
      <c r="E1116" s="93"/>
      <c r="F1116" s="24"/>
      <c r="G1116" s="130"/>
      <c r="H1116" s="46"/>
      <c r="I1116" s="131"/>
      <c r="J1116" s="126"/>
      <c r="K1116" s="121"/>
      <c r="L1116" s="78"/>
      <c r="M1116" s="72">
        <f ca="1">IF(INDIRECT(ADDRESS(ROW(),3))&lt;&gt;"",getIBANchecksum(INDIRECT(ADDRESS(ROW(),3))),98)</f>
        <v>98</v>
      </c>
    </row>
    <row r="1117" spans="1:13">
      <c r="A1117" s="96">
        <f t="shared" si="18"/>
        <v>1098</v>
      </c>
      <c r="B1117" s="9"/>
      <c r="C1117" s="28"/>
      <c r="D1117" s="23"/>
      <c r="E1117" s="93"/>
      <c r="F1117" s="24"/>
      <c r="G1117" s="130"/>
      <c r="H1117" s="46"/>
      <c r="I1117" s="131"/>
      <c r="J1117" s="126"/>
      <c r="K1117" s="121"/>
      <c r="L1117" s="78"/>
      <c r="M1117" s="72">
        <f ca="1">IF(INDIRECT(ADDRESS(ROW(),3))&lt;&gt;"",getIBANchecksum(INDIRECT(ADDRESS(ROW(),3))),98)</f>
        <v>98</v>
      </c>
    </row>
    <row r="1118" spans="1:13">
      <c r="A1118" s="96">
        <f t="shared" si="18"/>
        <v>1099</v>
      </c>
      <c r="B1118" s="9"/>
      <c r="C1118" s="28"/>
      <c r="D1118" s="23"/>
      <c r="E1118" s="93"/>
      <c r="F1118" s="24"/>
      <c r="G1118" s="130"/>
      <c r="H1118" s="46"/>
      <c r="I1118" s="131"/>
      <c r="J1118" s="126"/>
      <c r="K1118" s="121"/>
      <c r="L1118" s="78"/>
      <c r="M1118" s="72">
        <f ca="1">IF(INDIRECT(ADDRESS(ROW(),3))&lt;&gt;"",getIBANchecksum(INDIRECT(ADDRESS(ROW(),3))),98)</f>
        <v>98</v>
      </c>
    </row>
    <row r="1119" spans="1:13">
      <c r="A1119" s="96">
        <f t="shared" si="18"/>
        <v>1100</v>
      </c>
      <c r="B1119" s="9"/>
      <c r="C1119" s="28"/>
      <c r="D1119" s="23"/>
      <c r="E1119" s="93"/>
      <c r="F1119" s="24"/>
      <c r="G1119" s="130"/>
      <c r="H1119" s="46"/>
      <c r="I1119" s="131"/>
      <c r="J1119" s="126"/>
      <c r="K1119" s="121"/>
      <c r="L1119" s="78"/>
      <c r="M1119" s="72">
        <f ca="1">IF(INDIRECT(ADDRESS(ROW(),3))&lt;&gt;"",getIBANchecksum(INDIRECT(ADDRESS(ROW(),3))),98)</f>
        <v>98</v>
      </c>
    </row>
    <row r="1120" spans="1:13">
      <c r="A1120" s="96">
        <f t="shared" si="18"/>
        <v>1101</v>
      </c>
      <c r="B1120" s="9"/>
      <c r="C1120" s="28"/>
      <c r="D1120" s="23"/>
      <c r="E1120" s="93"/>
      <c r="F1120" s="24"/>
      <c r="G1120" s="130"/>
      <c r="H1120" s="46"/>
      <c r="I1120" s="131"/>
      <c r="J1120" s="126"/>
      <c r="K1120" s="121"/>
      <c r="L1120" s="78"/>
      <c r="M1120" s="72">
        <f ca="1">IF(INDIRECT(ADDRESS(ROW(),3))&lt;&gt;"",getIBANchecksum(INDIRECT(ADDRESS(ROW(),3))),98)</f>
        <v>98</v>
      </c>
    </row>
    <row r="1121" spans="1:13">
      <c r="A1121" s="96">
        <f t="shared" si="18"/>
        <v>1102</v>
      </c>
      <c r="B1121" s="9"/>
      <c r="C1121" s="28"/>
      <c r="D1121" s="23"/>
      <c r="E1121" s="93"/>
      <c r="F1121" s="24"/>
      <c r="G1121" s="130"/>
      <c r="H1121" s="46"/>
      <c r="I1121" s="131"/>
      <c r="J1121" s="126"/>
      <c r="K1121" s="121"/>
      <c r="L1121" s="78"/>
      <c r="M1121" s="72">
        <f ca="1">IF(INDIRECT(ADDRESS(ROW(),3))&lt;&gt;"",getIBANchecksum(INDIRECT(ADDRESS(ROW(),3))),98)</f>
        <v>98</v>
      </c>
    </row>
    <row r="1122" spans="1:13">
      <c r="A1122" s="96">
        <f t="shared" si="18"/>
        <v>1103</v>
      </c>
      <c r="B1122" s="9"/>
      <c r="C1122" s="28"/>
      <c r="D1122" s="23"/>
      <c r="E1122" s="93"/>
      <c r="F1122" s="24"/>
      <c r="G1122" s="130"/>
      <c r="H1122" s="46"/>
      <c r="I1122" s="131"/>
      <c r="J1122" s="126"/>
      <c r="K1122" s="121"/>
      <c r="L1122" s="78"/>
      <c r="M1122" s="72">
        <f ca="1">IF(INDIRECT(ADDRESS(ROW(),3))&lt;&gt;"",getIBANchecksum(INDIRECT(ADDRESS(ROW(),3))),98)</f>
        <v>98</v>
      </c>
    </row>
    <row r="1123" spans="1:13">
      <c r="A1123" s="96">
        <f t="shared" si="18"/>
        <v>1104</v>
      </c>
      <c r="B1123" s="9"/>
      <c r="C1123" s="28"/>
      <c r="D1123" s="23"/>
      <c r="E1123" s="93"/>
      <c r="F1123" s="24"/>
      <c r="G1123" s="130"/>
      <c r="H1123" s="46"/>
      <c r="I1123" s="131"/>
      <c r="J1123" s="126"/>
      <c r="K1123" s="121"/>
      <c r="L1123" s="78"/>
      <c r="M1123" s="72">
        <f ca="1">IF(INDIRECT(ADDRESS(ROW(),3))&lt;&gt;"",getIBANchecksum(INDIRECT(ADDRESS(ROW(),3))),98)</f>
        <v>98</v>
      </c>
    </row>
    <row r="1124" spans="1:13">
      <c r="A1124" s="96">
        <f t="shared" si="18"/>
        <v>1105</v>
      </c>
      <c r="B1124" s="9"/>
      <c r="C1124" s="28"/>
      <c r="D1124" s="23"/>
      <c r="E1124" s="93"/>
      <c r="F1124" s="24"/>
      <c r="G1124" s="130"/>
      <c r="H1124" s="46"/>
      <c r="I1124" s="131"/>
      <c r="J1124" s="126"/>
      <c r="K1124" s="121"/>
      <c r="L1124" s="78"/>
      <c r="M1124" s="72">
        <f ca="1">IF(INDIRECT(ADDRESS(ROW(),3))&lt;&gt;"",getIBANchecksum(INDIRECT(ADDRESS(ROW(),3))),98)</f>
        <v>98</v>
      </c>
    </row>
    <row r="1125" spans="1:13">
      <c r="A1125" s="96">
        <f t="shared" si="18"/>
        <v>1106</v>
      </c>
      <c r="B1125" s="9"/>
      <c r="C1125" s="28"/>
      <c r="D1125" s="23"/>
      <c r="E1125" s="93"/>
      <c r="F1125" s="24"/>
      <c r="G1125" s="130"/>
      <c r="H1125" s="46"/>
      <c r="I1125" s="131"/>
      <c r="J1125" s="126"/>
      <c r="K1125" s="121"/>
      <c r="L1125" s="78"/>
      <c r="M1125" s="72">
        <f ca="1">IF(INDIRECT(ADDRESS(ROW(),3))&lt;&gt;"",getIBANchecksum(INDIRECT(ADDRESS(ROW(),3))),98)</f>
        <v>98</v>
      </c>
    </row>
    <row r="1126" spans="1:13">
      <c r="A1126" s="96">
        <f t="shared" si="18"/>
        <v>1107</v>
      </c>
      <c r="B1126" s="9"/>
      <c r="C1126" s="28"/>
      <c r="D1126" s="23"/>
      <c r="E1126" s="93"/>
      <c r="F1126" s="24"/>
      <c r="G1126" s="130"/>
      <c r="H1126" s="46"/>
      <c r="I1126" s="131"/>
      <c r="J1126" s="126"/>
      <c r="K1126" s="121"/>
      <c r="L1126" s="78"/>
      <c r="M1126" s="72">
        <f ca="1">IF(INDIRECT(ADDRESS(ROW(),3))&lt;&gt;"",getIBANchecksum(INDIRECT(ADDRESS(ROW(),3))),98)</f>
        <v>98</v>
      </c>
    </row>
    <row r="1127" spans="1:13">
      <c r="A1127" s="96">
        <f t="shared" si="18"/>
        <v>1108</v>
      </c>
      <c r="B1127" s="9"/>
      <c r="C1127" s="28"/>
      <c r="D1127" s="23"/>
      <c r="E1127" s="93"/>
      <c r="F1127" s="24"/>
      <c r="G1127" s="130"/>
      <c r="H1127" s="46"/>
      <c r="I1127" s="131"/>
      <c r="J1127" s="126"/>
      <c r="K1127" s="121"/>
      <c r="L1127" s="78"/>
      <c r="M1127" s="72">
        <f ca="1">IF(INDIRECT(ADDRESS(ROW(),3))&lt;&gt;"",getIBANchecksum(INDIRECT(ADDRESS(ROW(),3))),98)</f>
        <v>98</v>
      </c>
    </row>
    <row r="1128" spans="1:13">
      <c r="A1128" s="96">
        <f t="shared" si="18"/>
        <v>1109</v>
      </c>
      <c r="B1128" s="9"/>
      <c r="C1128" s="28"/>
      <c r="D1128" s="23"/>
      <c r="E1128" s="93"/>
      <c r="F1128" s="24"/>
      <c r="G1128" s="130"/>
      <c r="H1128" s="46"/>
      <c r="I1128" s="131"/>
      <c r="J1128" s="126"/>
      <c r="K1128" s="121"/>
      <c r="L1128" s="78"/>
      <c r="M1128" s="72">
        <f ca="1">IF(INDIRECT(ADDRESS(ROW(),3))&lt;&gt;"",getIBANchecksum(INDIRECT(ADDRESS(ROW(),3))),98)</f>
        <v>98</v>
      </c>
    </row>
    <row r="1129" spans="1:13">
      <c r="A1129" s="96">
        <f t="shared" si="18"/>
        <v>1110</v>
      </c>
      <c r="B1129" s="9"/>
      <c r="C1129" s="28"/>
      <c r="D1129" s="23"/>
      <c r="E1129" s="93"/>
      <c r="F1129" s="24"/>
      <c r="G1129" s="130"/>
      <c r="H1129" s="46"/>
      <c r="I1129" s="131"/>
      <c r="J1129" s="126"/>
      <c r="K1129" s="121"/>
      <c r="L1129" s="78"/>
      <c r="M1129" s="72">
        <f ca="1">IF(INDIRECT(ADDRESS(ROW(),3))&lt;&gt;"",getIBANchecksum(INDIRECT(ADDRESS(ROW(),3))),98)</f>
        <v>98</v>
      </c>
    </row>
    <row r="1130" spans="1:13">
      <c r="A1130" s="96">
        <f t="shared" si="18"/>
        <v>1111</v>
      </c>
      <c r="B1130" s="9"/>
      <c r="C1130" s="28"/>
      <c r="D1130" s="23"/>
      <c r="E1130" s="93"/>
      <c r="F1130" s="24"/>
      <c r="G1130" s="130"/>
      <c r="H1130" s="46"/>
      <c r="I1130" s="131"/>
      <c r="J1130" s="126"/>
      <c r="K1130" s="121"/>
      <c r="L1130" s="78"/>
      <c r="M1130" s="72">
        <f ca="1">IF(INDIRECT(ADDRESS(ROW(),3))&lt;&gt;"",getIBANchecksum(INDIRECT(ADDRESS(ROW(),3))),98)</f>
        <v>98</v>
      </c>
    </row>
    <row r="1131" spans="1:13">
      <c r="A1131" s="96">
        <f t="shared" si="18"/>
        <v>1112</v>
      </c>
      <c r="B1131" s="9"/>
      <c r="C1131" s="28"/>
      <c r="D1131" s="23"/>
      <c r="E1131" s="93"/>
      <c r="F1131" s="24"/>
      <c r="G1131" s="130"/>
      <c r="H1131" s="46"/>
      <c r="I1131" s="131"/>
      <c r="J1131" s="126"/>
      <c r="K1131" s="121"/>
      <c r="L1131" s="78"/>
      <c r="M1131" s="72">
        <f ca="1">IF(INDIRECT(ADDRESS(ROW(),3))&lt;&gt;"",getIBANchecksum(INDIRECT(ADDRESS(ROW(),3))),98)</f>
        <v>98</v>
      </c>
    </row>
    <row r="1132" spans="1:13">
      <c r="A1132" s="96">
        <f t="shared" si="18"/>
        <v>1113</v>
      </c>
      <c r="B1132" s="9"/>
      <c r="C1132" s="28"/>
      <c r="D1132" s="23"/>
      <c r="E1132" s="93"/>
      <c r="F1132" s="24"/>
      <c r="G1132" s="130"/>
      <c r="H1132" s="46"/>
      <c r="I1132" s="131"/>
      <c r="J1132" s="126"/>
      <c r="K1132" s="121"/>
      <c r="L1132" s="78"/>
      <c r="M1132" s="72">
        <f ca="1">IF(INDIRECT(ADDRESS(ROW(),3))&lt;&gt;"",getIBANchecksum(INDIRECT(ADDRESS(ROW(),3))),98)</f>
        <v>98</v>
      </c>
    </row>
    <row r="1133" spans="1:13">
      <c r="A1133" s="96">
        <f t="shared" si="18"/>
        <v>1114</v>
      </c>
      <c r="B1133" s="9"/>
      <c r="C1133" s="28"/>
      <c r="D1133" s="23"/>
      <c r="E1133" s="93"/>
      <c r="F1133" s="24"/>
      <c r="G1133" s="130"/>
      <c r="H1133" s="46"/>
      <c r="I1133" s="131"/>
      <c r="J1133" s="126"/>
      <c r="K1133" s="121"/>
      <c r="L1133" s="78"/>
      <c r="M1133" s="72">
        <f ca="1">IF(INDIRECT(ADDRESS(ROW(),3))&lt;&gt;"",getIBANchecksum(INDIRECT(ADDRESS(ROW(),3))),98)</f>
        <v>98</v>
      </c>
    </row>
    <row r="1134" spans="1:13">
      <c r="A1134" s="96">
        <f t="shared" si="18"/>
        <v>1115</v>
      </c>
      <c r="B1134" s="9"/>
      <c r="C1134" s="28"/>
      <c r="D1134" s="23"/>
      <c r="E1134" s="93"/>
      <c r="F1134" s="24"/>
      <c r="G1134" s="130"/>
      <c r="H1134" s="46"/>
      <c r="I1134" s="131"/>
      <c r="J1134" s="126"/>
      <c r="K1134" s="121"/>
      <c r="L1134" s="78"/>
      <c r="M1134" s="72">
        <f ca="1">IF(INDIRECT(ADDRESS(ROW(),3))&lt;&gt;"",getIBANchecksum(INDIRECT(ADDRESS(ROW(),3))),98)</f>
        <v>98</v>
      </c>
    </row>
    <row r="1135" spans="1:13">
      <c r="A1135" s="96">
        <f t="shared" si="18"/>
        <v>1116</v>
      </c>
      <c r="B1135" s="9"/>
      <c r="C1135" s="28"/>
      <c r="D1135" s="23"/>
      <c r="E1135" s="93"/>
      <c r="F1135" s="24"/>
      <c r="G1135" s="130"/>
      <c r="H1135" s="46"/>
      <c r="I1135" s="131"/>
      <c r="J1135" s="126"/>
      <c r="K1135" s="121"/>
      <c r="L1135" s="78"/>
      <c r="M1135" s="72">
        <f ca="1">IF(INDIRECT(ADDRESS(ROW(),3))&lt;&gt;"",getIBANchecksum(INDIRECT(ADDRESS(ROW(),3))),98)</f>
        <v>98</v>
      </c>
    </row>
    <row r="1136" spans="1:13">
      <c r="A1136" s="96">
        <f t="shared" si="18"/>
        <v>1117</v>
      </c>
      <c r="B1136" s="9"/>
      <c r="C1136" s="28"/>
      <c r="D1136" s="23"/>
      <c r="E1136" s="93"/>
      <c r="F1136" s="24"/>
      <c r="G1136" s="130"/>
      <c r="H1136" s="46"/>
      <c r="I1136" s="131"/>
      <c r="J1136" s="126"/>
      <c r="K1136" s="121"/>
      <c r="L1136" s="78"/>
      <c r="M1136" s="72">
        <f ca="1">IF(INDIRECT(ADDRESS(ROW(),3))&lt;&gt;"",getIBANchecksum(INDIRECT(ADDRESS(ROW(),3))),98)</f>
        <v>98</v>
      </c>
    </row>
    <row r="1137" spans="1:13">
      <c r="A1137" s="96">
        <f t="shared" si="18"/>
        <v>1118</v>
      </c>
      <c r="B1137" s="9"/>
      <c r="C1137" s="28"/>
      <c r="D1137" s="23"/>
      <c r="E1137" s="93"/>
      <c r="F1137" s="24"/>
      <c r="G1137" s="130"/>
      <c r="H1137" s="46"/>
      <c r="I1137" s="131"/>
      <c r="J1137" s="126"/>
      <c r="K1137" s="121"/>
      <c r="L1137" s="78"/>
      <c r="M1137" s="72">
        <f ca="1">IF(INDIRECT(ADDRESS(ROW(),3))&lt;&gt;"",getIBANchecksum(INDIRECT(ADDRESS(ROW(),3))),98)</f>
        <v>98</v>
      </c>
    </row>
    <row r="1138" spans="1:13">
      <c r="A1138" s="96">
        <f t="shared" si="18"/>
        <v>1119</v>
      </c>
      <c r="B1138" s="9"/>
      <c r="C1138" s="28"/>
      <c r="D1138" s="23"/>
      <c r="E1138" s="93"/>
      <c r="F1138" s="24"/>
      <c r="G1138" s="130"/>
      <c r="H1138" s="46"/>
      <c r="I1138" s="131"/>
      <c r="J1138" s="126"/>
      <c r="K1138" s="121"/>
      <c r="L1138" s="78"/>
      <c r="M1138" s="72">
        <f ca="1">IF(INDIRECT(ADDRESS(ROW(),3))&lt;&gt;"",getIBANchecksum(INDIRECT(ADDRESS(ROW(),3))),98)</f>
        <v>98</v>
      </c>
    </row>
    <row r="1139" spans="1:13">
      <c r="A1139" s="96">
        <f t="shared" si="18"/>
        <v>1120</v>
      </c>
      <c r="B1139" s="9"/>
      <c r="C1139" s="28"/>
      <c r="D1139" s="23"/>
      <c r="E1139" s="93"/>
      <c r="F1139" s="24"/>
      <c r="G1139" s="130"/>
      <c r="H1139" s="46"/>
      <c r="I1139" s="131"/>
      <c r="J1139" s="126"/>
      <c r="K1139" s="121"/>
      <c r="L1139" s="78"/>
      <c r="M1139" s="72">
        <f ca="1">IF(INDIRECT(ADDRESS(ROW(),3))&lt;&gt;"",getIBANchecksum(INDIRECT(ADDRESS(ROW(),3))),98)</f>
        <v>98</v>
      </c>
    </row>
    <row r="1140" spans="1:13">
      <c r="A1140" s="96">
        <f t="shared" si="18"/>
        <v>1121</v>
      </c>
      <c r="B1140" s="9"/>
      <c r="C1140" s="28"/>
      <c r="D1140" s="23"/>
      <c r="E1140" s="93"/>
      <c r="F1140" s="24"/>
      <c r="G1140" s="130"/>
      <c r="H1140" s="46"/>
      <c r="I1140" s="131"/>
      <c r="J1140" s="126"/>
      <c r="K1140" s="121"/>
      <c r="L1140" s="78"/>
      <c r="M1140" s="72">
        <f ca="1">IF(INDIRECT(ADDRESS(ROW(),3))&lt;&gt;"",getIBANchecksum(INDIRECT(ADDRESS(ROW(),3))),98)</f>
        <v>98</v>
      </c>
    </row>
    <row r="1141" spans="1:13">
      <c r="A1141" s="96">
        <f t="shared" si="18"/>
        <v>1122</v>
      </c>
      <c r="B1141" s="9"/>
      <c r="C1141" s="28"/>
      <c r="D1141" s="23"/>
      <c r="E1141" s="93"/>
      <c r="F1141" s="24"/>
      <c r="G1141" s="130"/>
      <c r="H1141" s="46"/>
      <c r="I1141" s="131"/>
      <c r="J1141" s="126"/>
      <c r="K1141" s="121"/>
      <c r="L1141" s="78"/>
      <c r="M1141" s="72">
        <f ca="1">IF(INDIRECT(ADDRESS(ROW(),3))&lt;&gt;"",getIBANchecksum(INDIRECT(ADDRESS(ROW(),3))),98)</f>
        <v>98</v>
      </c>
    </row>
    <row r="1142" spans="1:13">
      <c r="A1142" s="96">
        <f t="shared" si="18"/>
        <v>1123</v>
      </c>
      <c r="B1142" s="9"/>
      <c r="C1142" s="28"/>
      <c r="D1142" s="23"/>
      <c r="E1142" s="93"/>
      <c r="F1142" s="24"/>
      <c r="G1142" s="130"/>
      <c r="H1142" s="46"/>
      <c r="I1142" s="131"/>
      <c r="J1142" s="126"/>
      <c r="K1142" s="121"/>
      <c r="L1142" s="78"/>
      <c r="M1142" s="72">
        <f ca="1">IF(INDIRECT(ADDRESS(ROW(),3))&lt;&gt;"",getIBANchecksum(INDIRECT(ADDRESS(ROW(),3))),98)</f>
        <v>98</v>
      </c>
    </row>
    <row r="1143" spans="1:13">
      <c r="A1143" s="96">
        <f t="shared" si="18"/>
        <v>1124</v>
      </c>
      <c r="B1143" s="9"/>
      <c r="C1143" s="28"/>
      <c r="D1143" s="23"/>
      <c r="E1143" s="93"/>
      <c r="F1143" s="24"/>
      <c r="G1143" s="130"/>
      <c r="H1143" s="46"/>
      <c r="I1143" s="131"/>
      <c r="J1143" s="126"/>
      <c r="K1143" s="121"/>
      <c r="L1143" s="78"/>
      <c r="M1143" s="72">
        <f ca="1">IF(INDIRECT(ADDRESS(ROW(),3))&lt;&gt;"",getIBANchecksum(INDIRECT(ADDRESS(ROW(),3))),98)</f>
        <v>98</v>
      </c>
    </row>
    <row r="1144" spans="1:13">
      <c r="A1144" s="96">
        <f t="shared" si="18"/>
        <v>1125</v>
      </c>
      <c r="B1144" s="9"/>
      <c r="C1144" s="28"/>
      <c r="D1144" s="23"/>
      <c r="E1144" s="93"/>
      <c r="F1144" s="24"/>
      <c r="G1144" s="130"/>
      <c r="H1144" s="46"/>
      <c r="I1144" s="131"/>
      <c r="J1144" s="126"/>
      <c r="K1144" s="121"/>
      <c r="L1144" s="78"/>
      <c r="M1144" s="72">
        <f ca="1">IF(INDIRECT(ADDRESS(ROW(),3))&lt;&gt;"",getIBANchecksum(INDIRECT(ADDRESS(ROW(),3))),98)</f>
        <v>98</v>
      </c>
    </row>
    <row r="1145" spans="1:13">
      <c r="A1145" s="96">
        <f t="shared" si="18"/>
        <v>1126</v>
      </c>
      <c r="B1145" s="9"/>
      <c r="C1145" s="28"/>
      <c r="D1145" s="23"/>
      <c r="E1145" s="93"/>
      <c r="F1145" s="24"/>
      <c r="G1145" s="130"/>
      <c r="H1145" s="46"/>
      <c r="I1145" s="131"/>
      <c r="J1145" s="126"/>
      <c r="K1145" s="121"/>
      <c r="L1145" s="78"/>
      <c r="M1145" s="72">
        <f ca="1">IF(INDIRECT(ADDRESS(ROW(),3))&lt;&gt;"",getIBANchecksum(INDIRECT(ADDRESS(ROW(),3))),98)</f>
        <v>98</v>
      </c>
    </row>
    <row r="1146" spans="1:13">
      <c r="A1146" s="96">
        <f t="shared" si="18"/>
        <v>1127</v>
      </c>
      <c r="B1146" s="9"/>
      <c r="C1146" s="28"/>
      <c r="D1146" s="23"/>
      <c r="E1146" s="93"/>
      <c r="F1146" s="24"/>
      <c r="G1146" s="130"/>
      <c r="H1146" s="46"/>
      <c r="I1146" s="131"/>
      <c r="J1146" s="126"/>
      <c r="K1146" s="121"/>
      <c r="L1146" s="78"/>
      <c r="M1146" s="72">
        <f ca="1">IF(INDIRECT(ADDRESS(ROW(),3))&lt;&gt;"",getIBANchecksum(INDIRECT(ADDRESS(ROW(),3))),98)</f>
        <v>98</v>
      </c>
    </row>
    <row r="1147" spans="1:13">
      <c r="A1147" s="96">
        <f t="shared" si="18"/>
        <v>1128</v>
      </c>
      <c r="B1147" s="9"/>
      <c r="C1147" s="28"/>
      <c r="D1147" s="23"/>
      <c r="E1147" s="93"/>
      <c r="F1147" s="24"/>
      <c r="G1147" s="130"/>
      <c r="H1147" s="46"/>
      <c r="I1147" s="131"/>
      <c r="J1147" s="126"/>
      <c r="K1147" s="121"/>
      <c r="L1147" s="78"/>
      <c r="M1147" s="72">
        <f ca="1">IF(INDIRECT(ADDRESS(ROW(),3))&lt;&gt;"",getIBANchecksum(INDIRECT(ADDRESS(ROW(),3))),98)</f>
        <v>98</v>
      </c>
    </row>
    <row r="1148" spans="1:13">
      <c r="A1148" s="96">
        <f t="shared" si="18"/>
        <v>1129</v>
      </c>
      <c r="B1148" s="9"/>
      <c r="C1148" s="28"/>
      <c r="D1148" s="23"/>
      <c r="E1148" s="93"/>
      <c r="F1148" s="24"/>
      <c r="G1148" s="130"/>
      <c r="H1148" s="46"/>
      <c r="I1148" s="131"/>
      <c r="J1148" s="126"/>
      <c r="K1148" s="121"/>
      <c r="L1148" s="78"/>
      <c r="M1148" s="72">
        <f ca="1">IF(INDIRECT(ADDRESS(ROW(),3))&lt;&gt;"",getIBANchecksum(INDIRECT(ADDRESS(ROW(),3))),98)</f>
        <v>98</v>
      </c>
    </row>
    <row r="1149" spans="1:13">
      <c r="A1149" s="96">
        <f t="shared" si="18"/>
        <v>1130</v>
      </c>
      <c r="B1149" s="9"/>
      <c r="C1149" s="28"/>
      <c r="D1149" s="23"/>
      <c r="E1149" s="93"/>
      <c r="F1149" s="24"/>
      <c r="G1149" s="130"/>
      <c r="H1149" s="46"/>
      <c r="I1149" s="131"/>
      <c r="J1149" s="126"/>
      <c r="K1149" s="121"/>
      <c r="L1149" s="78"/>
      <c r="M1149" s="72">
        <f ca="1">IF(INDIRECT(ADDRESS(ROW(),3))&lt;&gt;"",getIBANchecksum(INDIRECT(ADDRESS(ROW(),3))),98)</f>
        <v>98</v>
      </c>
    </row>
    <row r="1150" spans="1:13">
      <c r="A1150" s="96">
        <f t="shared" si="18"/>
        <v>1131</v>
      </c>
      <c r="B1150" s="9"/>
      <c r="C1150" s="28"/>
      <c r="D1150" s="23"/>
      <c r="E1150" s="93"/>
      <c r="F1150" s="24"/>
      <c r="G1150" s="130"/>
      <c r="H1150" s="46"/>
      <c r="I1150" s="131"/>
      <c r="J1150" s="126"/>
      <c r="K1150" s="121"/>
      <c r="L1150" s="78"/>
      <c r="M1150" s="72">
        <f ca="1">IF(INDIRECT(ADDRESS(ROW(),3))&lt;&gt;"",getIBANchecksum(INDIRECT(ADDRESS(ROW(),3))),98)</f>
        <v>98</v>
      </c>
    </row>
    <row r="1151" spans="1:13">
      <c r="A1151" s="96">
        <f t="shared" si="18"/>
        <v>1132</v>
      </c>
      <c r="B1151" s="9"/>
      <c r="C1151" s="28"/>
      <c r="D1151" s="23"/>
      <c r="E1151" s="93"/>
      <c r="F1151" s="24"/>
      <c r="G1151" s="130"/>
      <c r="H1151" s="46"/>
      <c r="I1151" s="131"/>
      <c r="J1151" s="126"/>
      <c r="K1151" s="121"/>
      <c r="L1151" s="78"/>
      <c r="M1151" s="72">
        <f ca="1">IF(INDIRECT(ADDRESS(ROW(),3))&lt;&gt;"",getIBANchecksum(INDIRECT(ADDRESS(ROW(),3))),98)</f>
        <v>98</v>
      </c>
    </row>
    <row r="1152" spans="1:13">
      <c r="A1152" s="96">
        <f t="shared" si="18"/>
        <v>1133</v>
      </c>
      <c r="B1152" s="9"/>
      <c r="C1152" s="28"/>
      <c r="D1152" s="23"/>
      <c r="E1152" s="93"/>
      <c r="F1152" s="24"/>
      <c r="G1152" s="130"/>
      <c r="H1152" s="46"/>
      <c r="I1152" s="131"/>
      <c r="J1152" s="126"/>
      <c r="K1152" s="121"/>
      <c r="L1152" s="78"/>
      <c r="M1152" s="72">
        <f ca="1">IF(INDIRECT(ADDRESS(ROW(),3))&lt;&gt;"",getIBANchecksum(INDIRECT(ADDRESS(ROW(),3))),98)</f>
        <v>98</v>
      </c>
    </row>
    <row r="1153" spans="1:13">
      <c r="A1153" s="96">
        <f t="shared" si="18"/>
        <v>1134</v>
      </c>
      <c r="B1153" s="9"/>
      <c r="C1153" s="28"/>
      <c r="D1153" s="23"/>
      <c r="E1153" s="93"/>
      <c r="F1153" s="24"/>
      <c r="G1153" s="130"/>
      <c r="H1153" s="46"/>
      <c r="I1153" s="131"/>
      <c r="J1153" s="126"/>
      <c r="K1153" s="121"/>
      <c r="L1153" s="78"/>
      <c r="M1153" s="72">
        <f ca="1">IF(INDIRECT(ADDRESS(ROW(),3))&lt;&gt;"",getIBANchecksum(INDIRECT(ADDRESS(ROW(),3))),98)</f>
        <v>98</v>
      </c>
    </row>
    <row r="1154" spans="1:13">
      <c r="A1154" s="96">
        <f t="shared" si="18"/>
        <v>1135</v>
      </c>
      <c r="B1154" s="9"/>
      <c r="C1154" s="28"/>
      <c r="D1154" s="23"/>
      <c r="E1154" s="93"/>
      <c r="F1154" s="24"/>
      <c r="G1154" s="130"/>
      <c r="H1154" s="46"/>
      <c r="I1154" s="131"/>
      <c r="J1154" s="126"/>
      <c r="K1154" s="121"/>
      <c r="L1154" s="78"/>
      <c r="M1154" s="72">
        <f ca="1">IF(INDIRECT(ADDRESS(ROW(),3))&lt;&gt;"",getIBANchecksum(INDIRECT(ADDRESS(ROW(),3))),98)</f>
        <v>98</v>
      </c>
    </row>
    <row r="1155" spans="1:13">
      <c r="A1155" s="96">
        <f t="shared" si="18"/>
        <v>1136</v>
      </c>
      <c r="B1155" s="9"/>
      <c r="C1155" s="28"/>
      <c r="D1155" s="23"/>
      <c r="E1155" s="93"/>
      <c r="F1155" s="24"/>
      <c r="G1155" s="130"/>
      <c r="H1155" s="46"/>
      <c r="I1155" s="131"/>
      <c r="J1155" s="126"/>
      <c r="K1155" s="121"/>
      <c r="L1155" s="78"/>
      <c r="M1155" s="72">
        <f ca="1">IF(INDIRECT(ADDRESS(ROW(),3))&lt;&gt;"",getIBANchecksum(INDIRECT(ADDRESS(ROW(),3))),98)</f>
        <v>98</v>
      </c>
    </row>
    <row r="1156" spans="1:13">
      <c r="A1156" s="96">
        <f t="shared" si="18"/>
        <v>1137</v>
      </c>
      <c r="B1156" s="9"/>
      <c r="C1156" s="28"/>
      <c r="D1156" s="23"/>
      <c r="E1156" s="93"/>
      <c r="F1156" s="24"/>
      <c r="G1156" s="130"/>
      <c r="H1156" s="46"/>
      <c r="I1156" s="131"/>
      <c r="J1156" s="126"/>
      <c r="K1156" s="121"/>
      <c r="L1156" s="78"/>
      <c r="M1156" s="72">
        <f ca="1">IF(INDIRECT(ADDRESS(ROW(),3))&lt;&gt;"",getIBANchecksum(INDIRECT(ADDRESS(ROW(),3))),98)</f>
        <v>98</v>
      </c>
    </row>
    <row r="1157" spans="1:13">
      <c r="A1157" s="96">
        <f t="shared" si="18"/>
        <v>1138</v>
      </c>
      <c r="B1157" s="9"/>
      <c r="C1157" s="28"/>
      <c r="D1157" s="23"/>
      <c r="E1157" s="93"/>
      <c r="F1157" s="24"/>
      <c r="G1157" s="130"/>
      <c r="H1157" s="46"/>
      <c r="I1157" s="131"/>
      <c r="J1157" s="126"/>
      <c r="K1157" s="121"/>
      <c r="L1157" s="78"/>
      <c r="M1157" s="72">
        <f ca="1">IF(INDIRECT(ADDRESS(ROW(),3))&lt;&gt;"",getIBANchecksum(INDIRECT(ADDRESS(ROW(),3))),98)</f>
        <v>98</v>
      </c>
    </row>
    <row r="1158" spans="1:13">
      <c r="A1158" s="96">
        <f t="shared" si="18"/>
        <v>1139</v>
      </c>
      <c r="B1158" s="9"/>
      <c r="C1158" s="28"/>
      <c r="D1158" s="23"/>
      <c r="E1158" s="93"/>
      <c r="F1158" s="24"/>
      <c r="G1158" s="130"/>
      <c r="H1158" s="46"/>
      <c r="I1158" s="131"/>
      <c r="J1158" s="126"/>
      <c r="K1158" s="121"/>
      <c r="L1158" s="78"/>
      <c r="M1158" s="72">
        <f ca="1">IF(INDIRECT(ADDRESS(ROW(),3))&lt;&gt;"",getIBANchecksum(INDIRECT(ADDRESS(ROW(),3))),98)</f>
        <v>98</v>
      </c>
    </row>
    <row r="1159" spans="1:13">
      <c r="A1159" s="96">
        <f t="shared" si="18"/>
        <v>1140</v>
      </c>
      <c r="B1159" s="9"/>
      <c r="C1159" s="28"/>
      <c r="D1159" s="23"/>
      <c r="E1159" s="93"/>
      <c r="F1159" s="24"/>
      <c r="G1159" s="130"/>
      <c r="H1159" s="46"/>
      <c r="I1159" s="131"/>
      <c r="J1159" s="126"/>
      <c r="K1159" s="121"/>
      <c r="L1159" s="78"/>
      <c r="M1159" s="72">
        <f ca="1">IF(INDIRECT(ADDRESS(ROW(),3))&lt;&gt;"",getIBANchecksum(INDIRECT(ADDRESS(ROW(),3))),98)</f>
        <v>98</v>
      </c>
    </row>
    <row r="1160" spans="1:13">
      <c r="A1160" s="96">
        <f t="shared" si="18"/>
        <v>1141</v>
      </c>
      <c r="B1160" s="9"/>
      <c r="C1160" s="28"/>
      <c r="D1160" s="23"/>
      <c r="E1160" s="93"/>
      <c r="F1160" s="24"/>
      <c r="G1160" s="130"/>
      <c r="H1160" s="46"/>
      <c r="I1160" s="131"/>
      <c r="J1160" s="126"/>
      <c r="K1160" s="121"/>
      <c r="L1160" s="78"/>
      <c r="M1160" s="72">
        <f ca="1">IF(INDIRECT(ADDRESS(ROW(),3))&lt;&gt;"",getIBANchecksum(INDIRECT(ADDRESS(ROW(),3))),98)</f>
        <v>98</v>
      </c>
    </row>
    <row r="1161" spans="1:13">
      <c r="A1161" s="96">
        <f t="shared" si="18"/>
        <v>1142</v>
      </c>
      <c r="B1161" s="9"/>
      <c r="C1161" s="28"/>
      <c r="D1161" s="23"/>
      <c r="E1161" s="93"/>
      <c r="F1161" s="24"/>
      <c r="G1161" s="130"/>
      <c r="H1161" s="46"/>
      <c r="I1161" s="131"/>
      <c r="J1161" s="126"/>
      <c r="K1161" s="121"/>
      <c r="L1161" s="78"/>
      <c r="M1161" s="72">
        <f ca="1">IF(INDIRECT(ADDRESS(ROW(),3))&lt;&gt;"",getIBANchecksum(INDIRECT(ADDRESS(ROW(),3))),98)</f>
        <v>98</v>
      </c>
    </row>
    <row r="1162" spans="1:13">
      <c r="A1162" s="96">
        <f t="shared" si="18"/>
        <v>1143</v>
      </c>
      <c r="B1162" s="9"/>
      <c r="C1162" s="28"/>
      <c r="D1162" s="23"/>
      <c r="E1162" s="93"/>
      <c r="F1162" s="24"/>
      <c r="G1162" s="130"/>
      <c r="H1162" s="46"/>
      <c r="I1162" s="131"/>
      <c r="J1162" s="126"/>
      <c r="K1162" s="121"/>
      <c r="L1162" s="78"/>
      <c r="M1162" s="72">
        <f ca="1">IF(INDIRECT(ADDRESS(ROW(),3))&lt;&gt;"",getIBANchecksum(INDIRECT(ADDRESS(ROW(),3))),98)</f>
        <v>98</v>
      </c>
    </row>
    <row r="1163" spans="1:13">
      <c r="A1163" s="96">
        <f t="shared" si="18"/>
        <v>1144</v>
      </c>
      <c r="B1163" s="9"/>
      <c r="C1163" s="28"/>
      <c r="D1163" s="23"/>
      <c r="E1163" s="93"/>
      <c r="F1163" s="24"/>
      <c r="G1163" s="130"/>
      <c r="H1163" s="46"/>
      <c r="I1163" s="131"/>
      <c r="J1163" s="126"/>
      <c r="K1163" s="121"/>
      <c r="L1163" s="78"/>
      <c r="M1163" s="72">
        <f ca="1">IF(INDIRECT(ADDRESS(ROW(),3))&lt;&gt;"",getIBANchecksum(INDIRECT(ADDRESS(ROW(),3))),98)</f>
        <v>98</v>
      </c>
    </row>
    <row r="1164" spans="1:13">
      <c r="A1164" s="96">
        <f t="shared" si="18"/>
        <v>1145</v>
      </c>
      <c r="B1164" s="9"/>
      <c r="C1164" s="28"/>
      <c r="D1164" s="23"/>
      <c r="E1164" s="93"/>
      <c r="F1164" s="24"/>
      <c r="G1164" s="130"/>
      <c r="H1164" s="46"/>
      <c r="I1164" s="131"/>
      <c r="J1164" s="126"/>
      <c r="K1164" s="121"/>
      <c r="L1164" s="78"/>
      <c r="M1164" s="72">
        <f ca="1">IF(INDIRECT(ADDRESS(ROW(),3))&lt;&gt;"",getIBANchecksum(INDIRECT(ADDRESS(ROW(),3))),98)</f>
        <v>98</v>
      </c>
    </row>
    <row r="1165" spans="1:13">
      <c r="A1165" s="96">
        <f t="shared" si="18"/>
        <v>1146</v>
      </c>
      <c r="B1165" s="9"/>
      <c r="C1165" s="28"/>
      <c r="D1165" s="23"/>
      <c r="E1165" s="93"/>
      <c r="F1165" s="24"/>
      <c r="G1165" s="130"/>
      <c r="H1165" s="46"/>
      <c r="I1165" s="131"/>
      <c r="J1165" s="126"/>
      <c r="K1165" s="121"/>
      <c r="L1165" s="78"/>
      <c r="M1165" s="72">
        <f ca="1">IF(INDIRECT(ADDRESS(ROW(),3))&lt;&gt;"",getIBANchecksum(INDIRECT(ADDRESS(ROW(),3))),98)</f>
        <v>98</v>
      </c>
    </row>
    <row r="1166" spans="1:13">
      <c r="A1166" s="96">
        <f t="shared" si="18"/>
        <v>1147</v>
      </c>
      <c r="B1166" s="9"/>
      <c r="C1166" s="28"/>
      <c r="D1166" s="23"/>
      <c r="E1166" s="93"/>
      <c r="F1166" s="24"/>
      <c r="G1166" s="130"/>
      <c r="H1166" s="46"/>
      <c r="I1166" s="131"/>
      <c r="J1166" s="126"/>
      <c r="K1166" s="121"/>
      <c r="L1166" s="78"/>
      <c r="M1166" s="72">
        <f ca="1">IF(INDIRECT(ADDRESS(ROW(),3))&lt;&gt;"",getIBANchecksum(INDIRECT(ADDRESS(ROW(),3))),98)</f>
        <v>98</v>
      </c>
    </row>
    <row r="1167" spans="1:13">
      <c r="A1167" s="96">
        <f t="shared" si="18"/>
        <v>1148</v>
      </c>
      <c r="B1167" s="9"/>
      <c r="C1167" s="28"/>
      <c r="D1167" s="23"/>
      <c r="E1167" s="93"/>
      <c r="F1167" s="24"/>
      <c r="G1167" s="130"/>
      <c r="H1167" s="46"/>
      <c r="I1167" s="131"/>
      <c r="J1167" s="126"/>
      <c r="K1167" s="121"/>
      <c r="L1167" s="78"/>
      <c r="M1167" s="72">
        <f ca="1">IF(INDIRECT(ADDRESS(ROW(),3))&lt;&gt;"",getIBANchecksum(INDIRECT(ADDRESS(ROW(),3))),98)</f>
        <v>98</v>
      </c>
    </row>
    <row r="1168" spans="1:13">
      <c r="A1168" s="96">
        <f t="shared" si="18"/>
        <v>1149</v>
      </c>
      <c r="B1168" s="9"/>
      <c r="C1168" s="28"/>
      <c r="D1168" s="23"/>
      <c r="E1168" s="93"/>
      <c r="F1168" s="24"/>
      <c r="G1168" s="130"/>
      <c r="H1168" s="46"/>
      <c r="I1168" s="131"/>
      <c r="J1168" s="126"/>
      <c r="K1168" s="121"/>
      <c r="L1168" s="78"/>
      <c r="M1168" s="72">
        <f ca="1">IF(INDIRECT(ADDRESS(ROW(),3))&lt;&gt;"",getIBANchecksum(INDIRECT(ADDRESS(ROW(),3))),98)</f>
        <v>98</v>
      </c>
    </row>
    <row r="1169" spans="1:13">
      <c r="A1169" s="96">
        <f t="shared" si="18"/>
        <v>1150</v>
      </c>
      <c r="B1169" s="9"/>
      <c r="C1169" s="28"/>
      <c r="D1169" s="23"/>
      <c r="E1169" s="93"/>
      <c r="F1169" s="24"/>
      <c r="G1169" s="130"/>
      <c r="H1169" s="46"/>
      <c r="I1169" s="131"/>
      <c r="J1169" s="126"/>
      <c r="K1169" s="121"/>
      <c r="L1169" s="78"/>
      <c r="M1169" s="72">
        <f ca="1">IF(INDIRECT(ADDRESS(ROW(),3))&lt;&gt;"",getIBANchecksum(INDIRECT(ADDRESS(ROW(),3))),98)</f>
        <v>98</v>
      </c>
    </row>
    <row r="1170" spans="1:13">
      <c r="A1170" s="96">
        <f t="shared" si="18"/>
        <v>1151</v>
      </c>
      <c r="B1170" s="9"/>
      <c r="C1170" s="28"/>
      <c r="D1170" s="23"/>
      <c r="E1170" s="93"/>
      <c r="F1170" s="24"/>
      <c r="G1170" s="130"/>
      <c r="H1170" s="46"/>
      <c r="I1170" s="131"/>
      <c r="J1170" s="126"/>
      <c r="K1170" s="121"/>
      <c r="L1170" s="78"/>
      <c r="M1170" s="72">
        <f ca="1">IF(INDIRECT(ADDRESS(ROW(),3))&lt;&gt;"",getIBANchecksum(INDIRECT(ADDRESS(ROW(),3))),98)</f>
        <v>98</v>
      </c>
    </row>
    <row r="1171" spans="1:13">
      <c r="A1171" s="96">
        <f t="shared" si="18"/>
        <v>1152</v>
      </c>
      <c r="B1171" s="9"/>
      <c r="C1171" s="28"/>
      <c r="D1171" s="23"/>
      <c r="E1171" s="93"/>
      <c r="F1171" s="24"/>
      <c r="G1171" s="130"/>
      <c r="H1171" s="46"/>
      <c r="I1171" s="131"/>
      <c r="J1171" s="126"/>
      <c r="K1171" s="121"/>
      <c r="L1171" s="78"/>
      <c r="M1171" s="72">
        <f ca="1">IF(INDIRECT(ADDRESS(ROW(),3))&lt;&gt;"",getIBANchecksum(INDIRECT(ADDRESS(ROW(),3))),98)</f>
        <v>98</v>
      </c>
    </row>
    <row r="1172" spans="1:13">
      <c r="A1172" s="96">
        <f t="shared" si="18"/>
        <v>1153</v>
      </c>
      <c r="B1172" s="9"/>
      <c r="C1172" s="28"/>
      <c r="D1172" s="23"/>
      <c r="E1172" s="93"/>
      <c r="F1172" s="24"/>
      <c r="G1172" s="130"/>
      <c r="H1172" s="46"/>
      <c r="I1172" s="131"/>
      <c r="J1172" s="126"/>
      <c r="K1172" s="121"/>
      <c r="L1172" s="78"/>
      <c r="M1172" s="72">
        <f ca="1">IF(INDIRECT(ADDRESS(ROW(),3))&lt;&gt;"",getIBANchecksum(INDIRECT(ADDRESS(ROW(),3))),98)</f>
        <v>98</v>
      </c>
    </row>
    <row r="1173" spans="1:13">
      <c r="A1173" s="96">
        <f t="shared" si="18"/>
        <v>1154</v>
      </c>
      <c r="B1173" s="9"/>
      <c r="C1173" s="28"/>
      <c r="D1173" s="23"/>
      <c r="E1173" s="93"/>
      <c r="F1173" s="24"/>
      <c r="G1173" s="130"/>
      <c r="H1173" s="46"/>
      <c r="I1173" s="131"/>
      <c r="J1173" s="126"/>
      <c r="K1173" s="121"/>
      <c r="L1173" s="78"/>
      <c r="M1173" s="72">
        <f ca="1">IF(INDIRECT(ADDRESS(ROW(),3))&lt;&gt;"",getIBANchecksum(INDIRECT(ADDRESS(ROW(),3))),98)</f>
        <v>98</v>
      </c>
    </row>
    <row r="1174" spans="1:13">
      <c r="A1174" s="96">
        <f t="shared" ref="A1174:A1237" si="19">A1173+1</f>
        <v>1155</v>
      </c>
      <c r="B1174" s="9"/>
      <c r="C1174" s="28"/>
      <c r="D1174" s="23"/>
      <c r="E1174" s="93"/>
      <c r="F1174" s="24"/>
      <c r="G1174" s="130"/>
      <c r="H1174" s="46"/>
      <c r="I1174" s="131"/>
      <c r="J1174" s="126"/>
      <c r="K1174" s="121"/>
      <c r="L1174" s="78"/>
      <c r="M1174" s="72">
        <f ca="1">IF(INDIRECT(ADDRESS(ROW(),3))&lt;&gt;"",getIBANchecksum(INDIRECT(ADDRESS(ROW(),3))),98)</f>
        <v>98</v>
      </c>
    </row>
    <row r="1175" spans="1:13">
      <c r="A1175" s="96">
        <f t="shared" si="19"/>
        <v>1156</v>
      </c>
      <c r="B1175" s="9"/>
      <c r="C1175" s="28"/>
      <c r="D1175" s="23"/>
      <c r="E1175" s="93"/>
      <c r="F1175" s="24"/>
      <c r="G1175" s="130"/>
      <c r="H1175" s="46"/>
      <c r="I1175" s="131"/>
      <c r="J1175" s="126"/>
      <c r="K1175" s="121"/>
      <c r="L1175" s="78"/>
      <c r="M1175" s="72">
        <f ca="1">IF(INDIRECT(ADDRESS(ROW(),3))&lt;&gt;"",getIBANchecksum(INDIRECT(ADDRESS(ROW(),3))),98)</f>
        <v>98</v>
      </c>
    </row>
    <row r="1176" spans="1:13">
      <c r="A1176" s="96">
        <f t="shared" si="19"/>
        <v>1157</v>
      </c>
      <c r="B1176" s="9"/>
      <c r="C1176" s="28"/>
      <c r="D1176" s="23"/>
      <c r="E1176" s="93"/>
      <c r="F1176" s="24"/>
      <c r="G1176" s="130"/>
      <c r="H1176" s="46"/>
      <c r="I1176" s="131"/>
      <c r="J1176" s="126"/>
      <c r="K1176" s="121"/>
      <c r="L1176" s="78"/>
      <c r="M1176" s="72">
        <f ca="1">IF(INDIRECT(ADDRESS(ROW(),3))&lt;&gt;"",getIBANchecksum(INDIRECT(ADDRESS(ROW(),3))),98)</f>
        <v>98</v>
      </c>
    </row>
    <row r="1177" spans="1:13">
      <c r="A1177" s="96">
        <f t="shared" si="19"/>
        <v>1158</v>
      </c>
      <c r="B1177" s="9"/>
      <c r="C1177" s="28"/>
      <c r="D1177" s="23"/>
      <c r="E1177" s="93"/>
      <c r="F1177" s="24"/>
      <c r="G1177" s="130"/>
      <c r="H1177" s="46"/>
      <c r="I1177" s="131"/>
      <c r="J1177" s="126"/>
      <c r="K1177" s="121"/>
      <c r="L1177" s="78"/>
      <c r="M1177" s="72">
        <f ca="1">IF(INDIRECT(ADDRESS(ROW(),3))&lt;&gt;"",getIBANchecksum(INDIRECT(ADDRESS(ROW(),3))),98)</f>
        <v>98</v>
      </c>
    </row>
    <row r="1178" spans="1:13">
      <c r="A1178" s="96">
        <f t="shared" si="19"/>
        <v>1159</v>
      </c>
      <c r="B1178" s="9"/>
      <c r="C1178" s="28"/>
      <c r="D1178" s="23"/>
      <c r="E1178" s="93"/>
      <c r="F1178" s="24"/>
      <c r="G1178" s="130"/>
      <c r="H1178" s="46"/>
      <c r="I1178" s="131"/>
      <c r="J1178" s="126"/>
      <c r="K1178" s="121"/>
      <c r="L1178" s="78"/>
      <c r="M1178" s="72">
        <f ca="1">IF(INDIRECT(ADDRESS(ROW(),3))&lt;&gt;"",getIBANchecksum(INDIRECT(ADDRESS(ROW(),3))),98)</f>
        <v>98</v>
      </c>
    </row>
    <row r="1179" spans="1:13">
      <c r="A1179" s="96">
        <f t="shared" si="19"/>
        <v>1160</v>
      </c>
      <c r="B1179" s="9"/>
      <c r="C1179" s="28"/>
      <c r="D1179" s="23"/>
      <c r="E1179" s="93"/>
      <c r="F1179" s="24"/>
      <c r="G1179" s="130"/>
      <c r="H1179" s="46"/>
      <c r="I1179" s="131"/>
      <c r="J1179" s="126"/>
      <c r="K1179" s="121"/>
      <c r="L1179" s="78"/>
      <c r="M1179" s="72">
        <f ca="1">IF(INDIRECT(ADDRESS(ROW(),3))&lt;&gt;"",getIBANchecksum(INDIRECT(ADDRESS(ROW(),3))),98)</f>
        <v>98</v>
      </c>
    </row>
    <row r="1180" spans="1:13">
      <c r="A1180" s="96">
        <f t="shared" si="19"/>
        <v>1161</v>
      </c>
      <c r="B1180" s="9"/>
      <c r="C1180" s="28"/>
      <c r="D1180" s="23"/>
      <c r="E1180" s="93"/>
      <c r="F1180" s="24"/>
      <c r="G1180" s="130"/>
      <c r="H1180" s="46"/>
      <c r="I1180" s="131"/>
      <c r="J1180" s="126"/>
      <c r="K1180" s="121"/>
      <c r="L1180" s="78"/>
      <c r="M1180" s="72">
        <f ca="1">IF(INDIRECT(ADDRESS(ROW(),3))&lt;&gt;"",getIBANchecksum(INDIRECT(ADDRESS(ROW(),3))),98)</f>
        <v>98</v>
      </c>
    </row>
    <row r="1181" spans="1:13">
      <c r="A1181" s="96">
        <f t="shared" si="19"/>
        <v>1162</v>
      </c>
      <c r="B1181" s="9"/>
      <c r="C1181" s="28"/>
      <c r="D1181" s="23"/>
      <c r="E1181" s="93"/>
      <c r="F1181" s="24"/>
      <c r="G1181" s="130"/>
      <c r="H1181" s="46"/>
      <c r="I1181" s="131"/>
      <c r="J1181" s="126"/>
      <c r="K1181" s="121"/>
      <c r="L1181" s="78"/>
      <c r="M1181" s="72">
        <f ca="1">IF(INDIRECT(ADDRESS(ROW(),3))&lt;&gt;"",getIBANchecksum(INDIRECT(ADDRESS(ROW(),3))),98)</f>
        <v>98</v>
      </c>
    </row>
    <row r="1182" spans="1:13">
      <c r="A1182" s="96">
        <f t="shared" si="19"/>
        <v>1163</v>
      </c>
      <c r="B1182" s="9"/>
      <c r="C1182" s="28"/>
      <c r="D1182" s="23"/>
      <c r="E1182" s="93"/>
      <c r="F1182" s="24"/>
      <c r="G1182" s="130"/>
      <c r="H1182" s="46"/>
      <c r="I1182" s="131"/>
      <c r="J1182" s="126"/>
      <c r="K1182" s="121"/>
      <c r="L1182" s="78"/>
      <c r="M1182" s="72">
        <f ca="1">IF(INDIRECT(ADDRESS(ROW(),3))&lt;&gt;"",getIBANchecksum(INDIRECT(ADDRESS(ROW(),3))),98)</f>
        <v>98</v>
      </c>
    </row>
    <row r="1183" spans="1:13">
      <c r="A1183" s="96">
        <f t="shared" si="19"/>
        <v>1164</v>
      </c>
      <c r="B1183" s="9"/>
      <c r="C1183" s="28"/>
      <c r="D1183" s="23"/>
      <c r="E1183" s="93"/>
      <c r="F1183" s="24"/>
      <c r="G1183" s="130"/>
      <c r="H1183" s="46"/>
      <c r="I1183" s="131"/>
      <c r="J1183" s="126"/>
      <c r="K1183" s="121"/>
      <c r="L1183" s="78"/>
      <c r="M1183" s="72">
        <f ca="1">IF(INDIRECT(ADDRESS(ROW(),3))&lt;&gt;"",getIBANchecksum(INDIRECT(ADDRESS(ROW(),3))),98)</f>
        <v>98</v>
      </c>
    </row>
    <row r="1184" spans="1:13">
      <c r="A1184" s="96">
        <f t="shared" si="19"/>
        <v>1165</v>
      </c>
      <c r="B1184" s="9"/>
      <c r="C1184" s="28"/>
      <c r="D1184" s="23"/>
      <c r="E1184" s="93"/>
      <c r="F1184" s="24"/>
      <c r="G1184" s="130"/>
      <c r="H1184" s="46"/>
      <c r="I1184" s="131"/>
      <c r="J1184" s="126"/>
      <c r="K1184" s="121"/>
      <c r="L1184" s="78"/>
      <c r="M1184" s="72">
        <f ca="1">IF(INDIRECT(ADDRESS(ROW(),3))&lt;&gt;"",getIBANchecksum(INDIRECT(ADDRESS(ROW(),3))),98)</f>
        <v>98</v>
      </c>
    </row>
    <row r="1185" spans="1:13">
      <c r="A1185" s="96">
        <f t="shared" si="19"/>
        <v>1166</v>
      </c>
      <c r="B1185" s="9"/>
      <c r="C1185" s="28"/>
      <c r="D1185" s="23"/>
      <c r="E1185" s="93"/>
      <c r="F1185" s="24"/>
      <c r="G1185" s="130"/>
      <c r="H1185" s="46"/>
      <c r="I1185" s="131"/>
      <c r="J1185" s="126"/>
      <c r="K1185" s="121"/>
      <c r="L1185" s="78"/>
      <c r="M1185" s="72">
        <f ca="1">IF(INDIRECT(ADDRESS(ROW(),3))&lt;&gt;"",getIBANchecksum(INDIRECT(ADDRESS(ROW(),3))),98)</f>
        <v>98</v>
      </c>
    </row>
    <row r="1186" spans="1:13">
      <c r="A1186" s="96">
        <f t="shared" si="19"/>
        <v>1167</v>
      </c>
      <c r="B1186" s="9"/>
      <c r="C1186" s="28"/>
      <c r="D1186" s="23"/>
      <c r="E1186" s="93"/>
      <c r="F1186" s="24"/>
      <c r="G1186" s="130"/>
      <c r="H1186" s="46"/>
      <c r="I1186" s="131"/>
      <c r="J1186" s="126"/>
      <c r="K1186" s="121"/>
      <c r="L1186" s="78"/>
      <c r="M1186" s="72">
        <f ca="1">IF(INDIRECT(ADDRESS(ROW(),3))&lt;&gt;"",getIBANchecksum(INDIRECT(ADDRESS(ROW(),3))),98)</f>
        <v>98</v>
      </c>
    </row>
    <row r="1187" spans="1:13">
      <c r="A1187" s="96">
        <f t="shared" si="19"/>
        <v>1168</v>
      </c>
      <c r="B1187" s="9"/>
      <c r="C1187" s="28"/>
      <c r="D1187" s="23"/>
      <c r="E1187" s="93"/>
      <c r="F1187" s="24"/>
      <c r="G1187" s="130"/>
      <c r="H1187" s="46"/>
      <c r="I1187" s="131"/>
      <c r="J1187" s="126"/>
      <c r="K1187" s="121"/>
      <c r="L1187" s="78"/>
      <c r="M1187" s="72">
        <f ca="1">IF(INDIRECT(ADDRESS(ROW(),3))&lt;&gt;"",getIBANchecksum(INDIRECT(ADDRESS(ROW(),3))),98)</f>
        <v>98</v>
      </c>
    </row>
    <row r="1188" spans="1:13">
      <c r="A1188" s="96">
        <f t="shared" si="19"/>
        <v>1169</v>
      </c>
      <c r="B1188" s="9"/>
      <c r="C1188" s="28"/>
      <c r="D1188" s="23"/>
      <c r="E1188" s="93"/>
      <c r="F1188" s="24"/>
      <c r="G1188" s="130"/>
      <c r="H1188" s="46"/>
      <c r="I1188" s="131"/>
      <c r="J1188" s="126"/>
      <c r="K1188" s="121"/>
      <c r="L1188" s="78"/>
      <c r="M1188" s="72">
        <f ca="1">IF(INDIRECT(ADDRESS(ROW(),3))&lt;&gt;"",getIBANchecksum(INDIRECT(ADDRESS(ROW(),3))),98)</f>
        <v>98</v>
      </c>
    </row>
    <row r="1189" spans="1:13">
      <c r="A1189" s="96">
        <f t="shared" si="19"/>
        <v>1170</v>
      </c>
      <c r="B1189" s="9"/>
      <c r="C1189" s="28"/>
      <c r="D1189" s="23"/>
      <c r="E1189" s="93"/>
      <c r="F1189" s="24"/>
      <c r="G1189" s="130"/>
      <c r="H1189" s="46"/>
      <c r="I1189" s="131"/>
      <c r="J1189" s="126"/>
      <c r="K1189" s="121"/>
      <c r="L1189" s="78"/>
      <c r="M1189" s="72">
        <f ca="1">IF(INDIRECT(ADDRESS(ROW(),3))&lt;&gt;"",getIBANchecksum(INDIRECT(ADDRESS(ROW(),3))),98)</f>
        <v>98</v>
      </c>
    </row>
    <row r="1190" spans="1:13">
      <c r="A1190" s="96">
        <f t="shared" si="19"/>
        <v>1171</v>
      </c>
      <c r="B1190" s="9"/>
      <c r="C1190" s="28"/>
      <c r="D1190" s="23"/>
      <c r="E1190" s="93"/>
      <c r="F1190" s="24"/>
      <c r="G1190" s="130"/>
      <c r="H1190" s="46"/>
      <c r="I1190" s="131"/>
      <c r="J1190" s="126"/>
      <c r="K1190" s="121"/>
      <c r="L1190" s="78"/>
      <c r="M1190" s="72">
        <f ca="1">IF(INDIRECT(ADDRESS(ROW(),3))&lt;&gt;"",getIBANchecksum(INDIRECT(ADDRESS(ROW(),3))),98)</f>
        <v>98</v>
      </c>
    </row>
    <row r="1191" spans="1:13">
      <c r="A1191" s="96">
        <f t="shared" si="19"/>
        <v>1172</v>
      </c>
      <c r="B1191" s="9"/>
      <c r="C1191" s="28"/>
      <c r="D1191" s="23"/>
      <c r="E1191" s="93"/>
      <c r="F1191" s="24"/>
      <c r="G1191" s="130"/>
      <c r="H1191" s="46"/>
      <c r="I1191" s="131"/>
      <c r="J1191" s="126"/>
      <c r="K1191" s="121"/>
      <c r="L1191" s="78"/>
      <c r="M1191" s="72">
        <f ca="1">IF(INDIRECT(ADDRESS(ROW(),3))&lt;&gt;"",getIBANchecksum(INDIRECT(ADDRESS(ROW(),3))),98)</f>
        <v>98</v>
      </c>
    </row>
    <row r="1192" spans="1:13">
      <c r="A1192" s="96">
        <f t="shared" si="19"/>
        <v>1173</v>
      </c>
      <c r="B1192" s="9"/>
      <c r="C1192" s="28"/>
      <c r="D1192" s="23"/>
      <c r="E1192" s="93"/>
      <c r="F1192" s="24"/>
      <c r="G1192" s="130"/>
      <c r="H1192" s="46"/>
      <c r="I1192" s="131"/>
      <c r="J1192" s="126"/>
      <c r="K1192" s="121"/>
      <c r="L1192" s="78"/>
      <c r="M1192" s="72">
        <f ca="1">IF(INDIRECT(ADDRESS(ROW(),3))&lt;&gt;"",getIBANchecksum(INDIRECT(ADDRESS(ROW(),3))),98)</f>
        <v>98</v>
      </c>
    </row>
    <row r="1193" spans="1:13">
      <c r="A1193" s="96">
        <f t="shared" si="19"/>
        <v>1174</v>
      </c>
      <c r="B1193" s="9"/>
      <c r="C1193" s="28"/>
      <c r="D1193" s="23"/>
      <c r="E1193" s="93"/>
      <c r="F1193" s="24"/>
      <c r="G1193" s="130"/>
      <c r="H1193" s="46"/>
      <c r="I1193" s="131"/>
      <c r="J1193" s="126"/>
      <c r="K1193" s="121"/>
      <c r="L1193" s="78"/>
      <c r="M1193" s="72">
        <f ca="1">IF(INDIRECT(ADDRESS(ROW(),3))&lt;&gt;"",getIBANchecksum(INDIRECT(ADDRESS(ROW(),3))),98)</f>
        <v>98</v>
      </c>
    </row>
    <row r="1194" spans="1:13">
      <c r="A1194" s="96">
        <f t="shared" si="19"/>
        <v>1175</v>
      </c>
      <c r="B1194" s="9"/>
      <c r="C1194" s="28"/>
      <c r="D1194" s="23"/>
      <c r="E1194" s="93"/>
      <c r="F1194" s="24"/>
      <c r="G1194" s="130"/>
      <c r="H1194" s="46"/>
      <c r="I1194" s="131"/>
      <c r="J1194" s="126"/>
      <c r="K1194" s="121"/>
      <c r="L1194" s="78"/>
      <c r="M1194" s="72">
        <f ca="1">IF(INDIRECT(ADDRESS(ROW(),3))&lt;&gt;"",getIBANchecksum(INDIRECT(ADDRESS(ROW(),3))),98)</f>
        <v>98</v>
      </c>
    </row>
    <row r="1195" spans="1:13">
      <c r="A1195" s="96">
        <f t="shared" si="19"/>
        <v>1176</v>
      </c>
      <c r="B1195" s="9"/>
      <c r="C1195" s="28"/>
      <c r="D1195" s="23"/>
      <c r="E1195" s="93"/>
      <c r="F1195" s="24"/>
      <c r="G1195" s="130"/>
      <c r="H1195" s="46"/>
      <c r="I1195" s="131"/>
      <c r="J1195" s="126"/>
      <c r="K1195" s="121"/>
      <c r="L1195" s="78"/>
      <c r="M1195" s="72">
        <f ca="1">IF(INDIRECT(ADDRESS(ROW(),3))&lt;&gt;"",getIBANchecksum(INDIRECT(ADDRESS(ROW(),3))),98)</f>
        <v>98</v>
      </c>
    </row>
    <row r="1196" spans="1:13">
      <c r="A1196" s="96">
        <f t="shared" si="19"/>
        <v>1177</v>
      </c>
      <c r="B1196" s="9"/>
      <c r="C1196" s="28"/>
      <c r="D1196" s="23"/>
      <c r="E1196" s="93"/>
      <c r="F1196" s="24"/>
      <c r="G1196" s="130"/>
      <c r="H1196" s="46"/>
      <c r="I1196" s="131"/>
      <c r="J1196" s="126"/>
      <c r="K1196" s="121"/>
      <c r="L1196" s="78"/>
      <c r="M1196" s="72">
        <f ca="1">IF(INDIRECT(ADDRESS(ROW(),3))&lt;&gt;"",getIBANchecksum(INDIRECT(ADDRESS(ROW(),3))),98)</f>
        <v>98</v>
      </c>
    </row>
    <row r="1197" spans="1:13">
      <c r="A1197" s="96">
        <f t="shared" si="19"/>
        <v>1178</v>
      </c>
      <c r="B1197" s="9"/>
      <c r="C1197" s="28"/>
      <c r="D1197" s="23"/>
      <c r="E1197" s="93"/>
      <c r="F1197" s="24"/>
      <c r="G1197" s="130"/>
      <c r="H1197" s="46"/>
      <c r="I1197" s="131"/>
      <c r="J1197" s="126"/>
      <c r="K1197" s="121"/>
      <c r="L1197" s="78"/>
      <c r="M1197" s="72">
        <f ca="1">IF(INDIRECT(ADDRESS(ROW(),3))&lt;&gt;"",getIBANchecksum(INDIRECT(ADDRESS(ROW(),3))),98)</f>
        <v>98</v>
      </c>
    </row>
    <row r="1198" spans="1:13">
      <c r="A1198" s="96">
        <f t="shared" si="19"/>
        <v>1179</v>
      </c>
      <c r="B1198" s="9"/>
      <c r="C1198" s="28"/>
      <c r="D1198" s="23"/>
      <c r="E1198" s="93"/>
      <c r="F1198" s="24"/>
      <c r="G1198" s="130"/>
      <c r="H1198" s="46"/>
      <c r="I1198" s="131"/>
      <c r="J1198" s="126"/>
      <c r="K1198" s="121"/>
      <c r="L1198" s="78"/>
      <c r="M1198" s="72">
        <f ca="1">IF(INDIRECT(ADDRESS(ROW(),3))&lt;&gt;"",getIBANchecksum(INDIRECT(ADDRESS(ROW(),3))),98)</f>
        <v>98</v>
      </c>
    </row>
    <row r="1199" spans="1:13">
      <c r="A1199" s="96">
        <f t="shared" si="19"/>
        <v>1180</v>
      </c>
      <c r="B1199" s="9"/>
      <c r="C1199" s="28"/>
      <c r="D1199" s="23"/>
      <c r="E1199" s="93"/>
      <c r="F1199" s="24"/>
      <c r="G1199" s="130"/>
      <c r="H1199" s="46"/>
      <c r="I1199" s="131"/>
      <c r="J1199" s="126"/>
      <c r="K1199" s="121"/>
      <c r="L1199" s="78"/>
      <c r="M1199" s="72">
        <f ca="1">IF(INDIRECT(ADDRESS(ROW(),3))&lt;&gt;"",getIBANchecksum(INDIRECT(ADDRESS(ROW(),3))),98)</f>
        <v>98</v>
      </c>
    </row>
    <row r="1200" spans="1:13">
      <c r="A1200" s="96">
        <f t="shared" si="19"/>
        <v>1181</v>
      </c>
      <c r="B1200" s="9"/>
      <c r="C1200" s="28"/>
      <c r="D1200" s="23"/>
      <c r="E1200" s="93"/>
      <c r="F1200" s="24"/>
      <c r="G1200" s="130"/>
      <c r="H1200" s="46"/>
      <c r="I1200" s="131"/>
      <c r="J1200" s="126"/>
      <c r="K1200" s="121"/>
      <c r="L1200" s="78"/>
      <c r="M1200" s="72">
        <f ca="1">IF(INDIRECT(ADDRESS(ROW(),3))&lt;&gt;"",getIBANchecksum(INDIRECT(ADDRESS(ROW(),3))),98)</f>
        <v>98</v>
      </c>
    </row>
    <row r="1201" spans="1:13">
      <c r="A1201" s="96">
        <f t="shared" si="19"/>
        <v>1182</v>
      </c>
      <c r="B1201" s="9"/>
      <c r="C1201" s="28"/>
      <c r="D1201" s="23"/>
      <c r="E1201" s="93"/>
      <c r="F1201" s="24"/>
      <c r="G1201" s="130"/>
      <c r="H1201" s="46"/>
      <c r="I1201" s="131"/>
      <c r="J1201" s="126"/>
      <c r="K1201" s="121"/>
      <c r="L1201" s="78"/>
      <c r="M1201" s="72">
        <f ca="1">IF(INDIRECT(ADDRESS(ROW(),3))&lt;&gt;"",getIBANchecksum(INDIRECT(ADDRESS(ROW(),3))),98)</f>
        <v>98</v>
      </c>
    </row>
    <row r="1202" spans="1:13">
      <c r="A1202" s="96">
        <f t="shared" si="19"/>
        <v>1183</v>
      </c>
      <c r="B1202" s="9"/>
      <c r="C1202" s="28"/>
      <c r="D1202" s="23"/>
      <c r="E1202" s="93"/>
      <c r="F1202" s="24"/>
      <c r="G1202" s="130"/>
      <c r="H1202" s="46"/>
      <c r="I1202" s="131"/>
      <c r="J1202" s="126"/>
      <c r="K1202" s="121"/>
      <c r="L1202" s="78"/>
      <c r="M1202" s="72">
        <f ca="1">IF(INDIRECT(ADDRESS(ROW(),3))&lt;&gt;"",getIBANchecksum(INDIRECT(ADDRESS(ROW(),3))),98)</f>
        <v>98</v>
      </c>
    </row>
    <row r="1203" spans="1:13">
      <c r="A1203" s="96">
        <f t="shared" si="19"/>
        <v>1184</v>
      </c>
      <c r="B1203" s="9"/>
      <c r="C1203" s="28"/>
      <c r="D1203" s="23"/>
      <c r="E1203" s="93"/>
      <c r="F1203" s="24"/>
      <c r="G1203" s="130"/>
      <c r="H1203" s="46"/>
      <c r="I1203" s="131"/>
      <c r="J1203" s="126"/>
      <c r="K1203" s="121"/>
      <c r="L1203" s="78"/>
      <c r="M1203" s="72">
        <f ca="1">IF(INDIRECT(ADDRESS(ROW(),3))&lt;&gt;"",getIBANchecksum(INDIRECT(ADDRESS(ROW(),3))),98)</f>
        <v>98</v>
      </c>
    </row>
    <row r="1204" spans="1:13">
      <c r="A1204" s="96">
        <f t="shared" si="19"/>
        <v>1185</v>
      </c>
      <c r="B1204" s="9"/>
      <c r="C1204" s="28"/>
      <c r="D1204" s="23"/>
      <c r="E1204" s="93"/>
      <c r="F1204" s="24"/>
      <c r="G1204" s="130"/>
      <c r="H1204" s="46"/>
      <c r="I1204" s="131"/>
      <c r="J1204" s="126"/>
      <c r="K1204" s="121"/>
      <c r="L1204" s="78"/>
      <c r="M1204" s="72">
        <f ca="1">IF(INDIRECT(ADDRESS(ROW(),3))&lt;&gt;"",getIBANchecksum(INDIRECT(ADDRESS(ROW(),3))),98)</f>
        <v>98</v>
      </c>
    </row>
    <row r="1205" spans="1:13">
      <c r="A1205" s="96">
        <f t="shared" si="19"/>
        <v>1186</v>
      </c>
      <c r="B1205" s="9"/>
      <c r="C1205" s="28"/>
      <c r="D1205" s="23"/>
      <c r="E1205" s="93"/>
      <c r="F1205" s="24"/>
      <c r="G1205" s="130"/>
      <c r="H1205" s="46"/>
      <c r="I1205" s="131"/>
      <c r="J1205" s="126"/>
      <c r="K1205" s="121"/>
      <c r="L1205" s="78"/>
      <c r="M1205" s="72">
        <f ca="1">IF(INDIRECT(ADDRESS(ROW(),3))&lt;&gt;"",getIBANchecksum(INDIRECT(ADDRESS(ROW(),3))),98)</f>
        <v>98</v>
      </c>
    </row>
    <row r="1206" spans="1:13">
      <c r="A1206" s="96">
        <f t="shared" si="19"/>
        <v>1187</v>
      </c>
      <c r="B1206" s="9"/>
      <c r="C1206" s="28"/>
      <c r="D1206" s="23"/>
      <c r="E1206" s="93"/>
      <c r="F1206" s="24"/>
      <c r="G1206" s="130"/>
      <c r="H1206" s="46"/>
      <c r="I1206" s="131"/>
      <c r="J1206" s="126"/>
      <c r="K1206" s="121"/>
      <c r="L1206" s="78"/>
      <c r="M1206" s="72">
        <f ca="1">IF(INDIRECT(ADDRESS(ROW(),3))&lt;&gt;"",getIBANchecksum(INDIRECT(ADDRESS(ROW(),3))),98)</f>
        <v>98</v>
      </c>
    </row>
    <row r="1207" spans="1:13">
      <c r="A1207" s="96">
        <f t="shared" si="19"/>
        <v>1188</v>
      </c>
      <c r="B1207" s="9"/>
      <c r="C1207" s="28"/>
      <c r="D1207" s="23"/>
      <c r="E1207" s="93"/>
      <c r="F1207" s="24"/>
      <c r="G1207" s="130"/>
      <c r="H1207" s="46"/>
      <c r="I1207" s="131"/>
      <c r="J1207" s="126"/>
      <c r="K1207" s="121"/>
      <c r="L1207" s="78"/>
      <c r="M1207" s="72">
        <f ca="1">IF(INDIRECT(ADDRESS(ROW(),3))&lt;&gt;"",getIBANchecksum(INDIRECT(ADDRESS(ROW(),3))),98)</f>
        <v>98</v>
      </c>
    </row>
    <row r="1208" spans="1:13">
      <c r="A1208" s="96">
        <f t="shared" si="19"/>
        <v>1189</v>
      </c>
      <c r="B1208" s="9"/>
      <c r="C1208" s="28"/>
      <c r="D1208" s="23"/>
      <c r="E1208" s="93"/>
      <c r="F1208" s="24"/>
      <c r="G1208" s="130"/>
      <c r="H1208" s="46"/>
      <c r="I1208" s="131"/>
      <c r="J1208" s="126"/>
      <c r="K1208" s="121"/>
      <c r="L1208" s="78"/>
      <c r="M1208" s="72">
        <f ca="1">IF(INDIRECT(ADDRESS(ROW(),3))&lt;&gt;"",getIBANchecksum(INDIRECT(ADDRESS(ROW(),3))),98)</f>
        <v>98</v>
      </c>
    </row>
    <row r="1209" spans="1:13">
      <c r="A1209" s="96">
        <f t="shared" si="19"/>
        <v>1190</v>
      </c>
      <c r="B1209" s="9"/>
      <c r="C1209" s="28"/>
      <c r="D1209" s="23"/>
      <c r="E1209" s="93"/>
      <c r="F1209" s="24"/>
      <c r="G1209" s="130"/>
      <c r="H1209" s="46"/>
      <c r="I1209" s="131"/>
      <c r="J1209" s="126"/>
      <c r="K1209" s="121"/>
      <c r="L1209" s="78"/>
      <c r="M1209" s="72">
        <f ca="1">IF(INDIRECT(ADDRESS(ROW(),3))&lt;&gt;"",getIBANchecksum(INDIRECT(ADDRESS(ROW(),3))),98)</f>
        <v>98</v>
      </c>
    </row>
    <row r="1210" spans="1:13">
      <c r="A1210" s="96">
        <f t="shared" si="19"/>
        <v>1191</v>
      </c>
      <c r="B1210" s="9"/>
      <c r="C1210" s="28"/>
      <c r="D1210" s="23"/>
      <c r="E1210" s="93"/>
      <c r="F1210" s="24"/>
      <c r="G1210" s="130"/>
      <c r="H1210" s="46"/>
      <c r="I1210" s="131"/>
      <c r="J1210" s="126"/>
      <c r="K1210" s="121"/>
      <c r="L1210" s="78"/>
      <c r="M1210" s="72">
        <f ca="1">IF(INDIRECT(ADDRESS(ROW(),3))&lt;&gt;"",getIBANchecksum(INDIRECT(ADDRESS(ROW(),3))),98)</f>
        <v>98</v>
      </c>
    </row>
    <row r="1211" spans="1:13">
      <c r="A1211" s="96">
        <f t="shared" si="19"/>
        <v>1192</v>
      </c>
      <c r="B1211" s="9"/>
      <c r="C1211" s="28"/>
      <c r="D1211" s="23"/>
      <c r="E1211" s="93"/>
      <c r="F1211" s="24"/>
      <c r="G1211" s="130"/>
      <c r="H1211" s="46"/>
      <c r="I1211" s="131"/>
      <c r="J1211" s="126"/>
      <c r="K1211" s="121"/>
      <c r="L1211" s="78"/>
      <c r="M1211" s="72">
        <f ca="1">IF(INDIRECT(ADDRESS(ROW(),3))&lt;&gt;"",getIBANchecksum(INDIRECT(ADDRESS(ROW(),3))),98)</f>
        <v>98</v>
      </c>
    </row>
    <row r="1212" spans="1:13">
      <c r="A1212" s="96">
        <f t="shared" si="19"/>
        <v>1193</v>
      </c>
      <c r="B1212" s="9"/>
      <c r="C1212" s="28"/>
      <c r="D1212" s="23"/>
      <c r="E1212" s="93"/>
      <c r="F1212" s="24"/>
      <c r="G1212" s="130"/>
      <c r="H1212" s="46"/>
      <c r="I1212" s="131"/>
      <c r="J1212" s="126"/>
      <c r="K1212" s="121"/>
      <c r="L1212" s="78"/>
      <c r="M1212" s="72">
        <f ca="1">IF(INDIRECT(ADDRESS(ROW(),3))&lt;&gt;"",getIBANchecksum(INDIRECT(ADDRESS(ROW(),3))),98)</f>
        <v>98</v>
      </c>
    </row>
    <row r="1213" spans="1:13">
      <c r="A1213" s="96">
        <f t="shared" si="19"/>
        <v>1194</v>
      </c>
      <c r="B1213" s="9"/>
      <c r="C1213" s="28"/>
      <c r="D1213" s="23"/>
      <c r="E1213" s="93"/>
      <c r="F1213" s="24"/>
      <c r="G1213" s="130"/>
      <c r="H1213" s="46"/>
      <c r="I1213" s="131"/>
      <c r="J1213" s="126"/>
      <c r="K1213" s="121"/>
      <c r="L1213" s="78"/>
      <c r="M1213" s="72">
        <f ca="1">IF(INDIRECT(ADDRESS(ROW(),3))&lt;&gt;"",getIBANchecksum(INDIRECT(ADDRESS(ROW(),3))),98)</f>
        <v>98</v>
      </c>
    </row>
    <row r="1214" spans="1:13">
      <c r="A1214" s="96">
        <f t="shared" si="19"/>
        <v>1195</v>
      </c>
      <c r="B1214" s="9"/>
      <c r="C1214" s="28"/>
      <c r="D1214" s="23"/>
      <c r="E1214" s="93"/>
      <c r="F1214" s="24"/>
      <c r="G1214" s="130"/>
      <c r="H1214" s="46"/>
      <c r="I1214" s="131"/>
      <c r="J1214" s="126"/>
      <c r="K1214" s="121"/>
      <c r="L1214" s="78"/>
      <c r="M1214" s="72">
        <f ca="1">IF(INDIRECT(ADDRESS(ROW(),3))&lt;&gt;"",getIBANchecksum(INDIRECT(ADDRESS(ROW(),3))),98)</f>
        <v>98</v>
      </c>
    </row>
    <row r="1215" spans="1:13">
      <c r="A1215" s="96">
        <f t="shared" si="19"/>
        <v>1196</v>
      </c>
      <c r="B1215" s="9"/>
      <c r="C1215" s="28"/>
      <c r="D1215" s="23"/>
      <c r="E1215" s="93"/>
      <c r="F1215" s="24"/>
      <c r="G1215" s="130"/>
      <c r="H1215" s="46"/>
      <c r="I1215" s="131"/>
      <c r="J1215" s="126"/>
      <c r="K1215" s="121"/>
      <c r="L1215" s="78"/>
      <c r="M1215" s="72">
        <f ca="1">IF(INDIRECT(ADDRESS(ROW(),3))&lt;&gt;"",getIBANchecksum(INDIRECT(ADDRESS(ROW(),3))),98)</f>
        <v>98</v>
      </c>
    </row>
    <row r="1216" spans="1:13">
      <c r="A1216" s="96">
        <f t="shared" si="19"/>
        <v>1197</v>
      </c>
      <c r="B1216" s="9"/>
      <c r="C1216" s="28"/>
      <c r="D1216" s="23"/>
      <c r="E1216" s="93"/>
      <c r="F1216" s="24"/>
      <c r="G1216" s="130"/>
      <c r="H1216" s="46"/>
      <c r="I1216" s="131"/>
      <c r="J1216" s="126"/>
      <c r="K1216" s="121"/>
      <c r="L1216" s="78"/>
      <c r="M1216" s="72">
        <f ca="1">IF(INDIRECT(ADDRESS(ROW(),3))&lt;&gt;"",getIBANchecksum(INDIRECT(ADDRESS(ROW(),3))),98)</f>
        <v>98</v>
      </c>
    </row>
    <row r="1217" spans="1:13">
      <c r="A1217" s="96">
        <f t="shared" si="19"/>
        <v>1198</v>
      </c>
      <c r="B1217" s="9"/>
      <c r="C1217" s="28"/>
      <c r="D1217" s="23"/>
      <c r="E1217" s="93"/>
      <c r="F1217" s="24"/>
      <c r="G1217" s="130"/>
      <c r="H1217" s="46"/>
      <c r="I1217" s="131"/>
      <c r="J1217" s="126"/>
      <c r="K1217" s="121"/>
      <c r="L1217" s="78"/>
      <c r="M1217" s="72">
        <f ca="1">IF(INDIRECT(ADDRESS(ROW(),3))&lt;&gt;"",getIBANchecksum(INDIRECT(ADDRESS(ROW(),3))),98)</f>
        <v>98</v>
      </c>
    </row>
    <row r="1218" spans="1:13">
      <c r="A1218" s="96">
        <f t="shared" si="19"/>
        <v>1199</v>
      </c>
      <c r="B1218" s="9"/>
      <c r="C1218" s="28"/>
      <c r="D1218" s="23"/>
      <c r="E1218" s="93"/>
      <c r="F1218" s="24"/>
      <c r="G1218" s="130"/>
      <c r="H1218" s="46"/>
      <c r="I1218" s="131"/>
      <c r="J1218" s="126"/>
      <c r="K1218" s="121"/>
      <c r="L1218" s="78"/>
      <c r="M1218" s="72">
        <f ca="1">IF(INDIRECT(ADDRESS(ROW(),3))&lt;&gt;"",getIBANchecksum(INDIRECT(ADDRESS(ROW(),3))),98)</f>
        <v>98</v>
      </c>
    </row>
    <row r="1219" spans="1:13">
      <c r="A1219" s="96">
        <f t="shared" si="19"/>
        <v>1200</v>
      </c>
      <c r="B1219" s="9"/>
      <c r="C1219" s="28"/>
      <c r="D1219" s="23"/>
      <c r="E1219" s="93"/>
      <c r="F1219" s="24"/>
      <c r="G1219" s="130"/>
      <c r="H1219" s="46"/>
      <c r="I1219" s="131"/>
      <c r="J1219" s="126"/>
      <c r="K1219" s="121"/>
      <c r="L1219" s="78"/>
      <c r="M1219" s="72">
        <f ca="1">IF(INDIRECT(ADDRESS(ROW(),3))&lt;&gt;"",getIBANchecksum(INDIRECT(ADDRESS(ROW(),3))),98)</f>
        <v>98</v>
      </c>
    </row>
    <row r="1220" spans="1:13">
      <c r="A1220" s="96">
        <f t="shared" si="19"/>
        <v>1201</v>
      </c>
      <c r="B1220" s="9"/>
      <c r="C1220" s="28"/>
      <c r="D1220" s="23"/>
      <c r="E1220" s="93"/>
      <c r="F1220" s="24"/>
      <c r="G1220" s="130"/>
      <c r="H1220" s="46"/>
      <c r="I1220" s="131"/>
      <c r="J1220" s="126"/>
      <c r="K1220" s="121"/>
      <c r="L1220" s="78"/>
      <c r="M1220" s="72">
        <f ca="1">IF(INDIRECT(ADDRESS(ROW(),3))&lt;&gt;"",getIBANchecksum(INDIRECT(ADDRESS(ROW(),3))),98)</f>
        <v>98</v>
      </c>
    </row>
    <row r="1221" spans="1:13">
      <c r="A1221" s="96">
        <f t="shared" si="19"/>
        <v>1202</v>
      </c>
      <c r="B1221" s="9"/>
      <c r="C1221" s="28"/>
      <c r="D1221" s="23"/>
      <c r="E1221" s="93"/>
      <c r="F1221" s="24"/>
      <c r="G1221" s="130"/>
      <c r="H1221" s="46"/>
      <c r="I1221" s="131"/>
      <c r="J1221" s="126"/>
      <c r="K1221" s="121"/>
      <c r="L1221" s="78"/>
      <c r="M1221" s="72">
        <f ca="1">IF(INDIRECT(ADDRESS(ROW(),3))&lt;&gt;"",getIBANchecksum(INDIRECT(ADDRESS(ROW(),3))),98)</f>
        <v>98</v>
      </c>
    </row>
    <row r="1222" spans="1:13">
      <c r="A1222" s="96">
        <f t="shared" si="19"/>
        <v>1203</v>
      </c>
      <c r="B1222" s="9"/>
      <c r="C1222" s="28"/>
      <c r="D1222" s="23"/>
      <c r="E1222" s="93"/>
      <c r="F1222" s="24"/>
      <c r="G1222" s="130"/>
      <c r="H1222" s="46"/>
      <c r="I1222" s="131"/>
      <c r="J1222" s="126"/>
      <c r="K1222" s="121"/>
      <c r="L1222" s="78"/>
      <c r="M1222" s="72">
        <f ca="1">IF(INDIRECT(ADDRESS(ROW(),3))&lt;&gt;"",getIBANchecksum(INDIRECT(ADDRESS(ROW(),3))),98)</f>
        <v>98</v>
      </c>
    </row>
    <row r="1223" spans="1:13">
      <c r="A1223" s="96">
        <f t="shared" si="19"/>
        <v>1204</v>
      </c>
      <c r="B1223" s="9"/>
      <c r="C1223" s="28"/>
      <c r="D1223" s="23"/>
      <c r="E1223" s="93"/>
      <c r="F1223" s="24"/>
      <c r="G1223" s="130"/>
      <c r="H1223" s="46"/>
      <c r="I1223" s="131"/>
      <c r="J1223" s="126"/>
      <c r="K1223" s="121"/>
      <c r="L1223" s="78"/>
      <c r="M1223" s="72">
        <f ca="1">IF(INDIRECT(ADDRESS(ROW(),3))&lt;&gt;"",getIBANchecksum(INDIRECT(ADDRESS(ROW(),3))),98)</f>
        <v>98</v>
      </c>
    </row>
    <row r="1224" spans="1:13">
      <c r="A1224" s="96">
        <f t="shared" si="19"/>
        <v>1205</v>
      </c>
      <c r="B1224" s="9"/>
      <c r="C1224" s="28"/>
      <c r="D1224" s="23"/>
      <c r="E1224" s="93"/>
      <c r="F1224" s="24"/>
      <c r="G1224" s="130"/>
      <c r="H1224" s="46"/>
      <c r="I1224" s="131"/>
      <c r="J1224" s="126"/>
      <c r="K1224" s="121"/>
      <c r="L1224" s="78"/>
      <c r="M1224" s="72">
        <f ca="1">IF(INDIRECT(ADDRESS(ROW(),3))&lt;&gt;"",getIBANchecksum(INDIRECT(ADDRESS(ROW(),3))),98)</f>
        <v>98</v>
      </c>
    </row>
    <row r="1225" spans="1:13">
      <c r="A1225" s="96">
        <f t="shared" si="19"/>
        <v>1206</v>
      </c>
      <c r="B1225" s="9"/>
      <c r="C1225" s="28"/>
      <c r="D1225" s="23"/>
      <c r="E1225" s="93"/>
      <c r="F1225" s="24"/>
      <c r="G1225" s="130"/>
      <c r="H1225" s="46"/>
      <c r="I1225" s="131"/>
      <c r="J1225" s="126"/>
      <c r="K1225" s="121"/>
      <c r="L1225" s="78"/>
      <c r="M1225" s="72">
        <f ca="1">IF(INDIRECT(ADDRESS(ROW(),3))&lt;&gt;"",getIBANchecksum(INDIRECT(ADDRESS(ROW(),3))),98)</f>
        <v>98</v>
      </c>
    </row>
    <row r="1226" spans="1:13">
      <c r="A1226" s="96">
        <f t="shared" si="19"/>
        <v>1207</v>
      </c>
      <c r="B1226" s="9"/>
      <c r="C1226" s="28"/>
      <c r="D1226" s="23"/>
      <c r="E1226" s="93"/>
      <c r="F1226" s="24"/>
      <c r="G1226" s="130"/>
      <c r="H1226" s="46"/>
      <c r="I1226" s="131"/>
      <c r="J1226" s="126"/>
      <c r="K1226" s="121"/>
      <c r="L1226" s="78"/>
      <c r="M1226" s="72">
        <f ca="1">IF(INDIRECT(ADDRESS(ROW(),3))&lt;&gt;"",getIBANchecksum(INDIRECT(ADDRESS(ROW(),3))),98)</f>
        <v>98</v>
      </c>
    </row>
    <row r="1227" spans="1:13">
      <c r="A1227" s="96">
        <f t="shared" si="19"/>
        <v>1208</v>
      </c>
      <c r="B1227" s="9"/>
      <c r="C1227" s="28"/>
      <c r="D1227" s="23"/>
      <c r="E1227" s="93"/>
      <c r="F1227" s="24"/>
      <c r="G1227" s="130"/>
      <c r="H1227" s="46"/>
      <c r="I1227" s="131"/>
      <c r="J1227" s="126"/>
      <c r="K1227" s="121"/>
      <c r="L1227" s="78"/>
      <c r="M1227" s="72">
        <f ca="1">IF(INDIRECT(ADDRESS(ROW(),3))&lt;&gt;"",getIBANchecksum(INDIRECT(ADDRESS(ROW(),3))),98)</f>
        <v>98</v>
      </c>
    </row>
    <row r="1228" spans="1:13">
      <c r="A1228" s="96">
        <f t="shared" si="19"/>
        <v>1209</v>
      </c>
      <c r="B1228" s="9"/>
      <c r="C1228" s="28"/>
      <c r="D1228" s="23"/>
      <c r="E1228" s="93"/>
      <c r="F1228" s="24"/>
      <c r="G1228" s="130"/>
      <c r="H1228" s="46"/>
      <c r="I1228" s="131"/>
      <c r="J1228" s="126"/>
      <c r="K1228" s="121"/>
      <c r="L1228" s="78"/>
      <c r="M1228" s="72">
        <f ca="1">IF(INDIRECT(ADDRESS(ROW(),3))&lt;&gt;"",getIBANchecksum(INDIRECT(ADDRESS(ROW(),3))),98)</f>
        <v>98</v>
      </c>
    </row>
    <row r="1229" spans="1:13">
      <c r="A1229" s="96">
        <f t="shared" si="19"/>
        <v>1210</v>
      </c>
      <c r="B1229" s="9"/>
      <c r="C1229" s="28"/>
      <c r="D1229" s="23"/>
      <c r="E1229" s="93"/>
      <c r="F1229" s="24"/>
      <c r="G1229" s="130"/>
      <c r="H1229" s="46"/>
      <c r="I1229" s="131"/>
      <c r="J1229" s="126"/>
      <c r="K1229" s="121"/>
      <c r="L1229" s="78"/>
      <c r="M1229" s="72">
        <f ca="1">IF(INDIRECT(ADDRESS(ROW(),3))&lt;&gt;"",getIBANchecksum(INDIRECT(ADDRESS(ROW(),3))),98)</f>
        <v>98</v>
      </c>
    </row>
    <row r="1230" spans="1:13">
      <c r="A1230" s="96">
        <f t="shared" si="19"/>
        <v>1211</v>
      </c>
      <c r="B1230" s="9"/>
      <c r="C1230" s="28"/>
      <c r="D1230" s="23"/>
      <c r="E1230" s="93"/>
      <c r="F1230" s="24"/>
      <c r="G1230" s="130"/>
      <c r="H1230" s="46"/>
      <c r="I1230" s="131"/>
      <c r="J1230" s="126"/>
      <c r="K1230" s="121"/>
      <c r="L1230" s="78"/>
      <c r="M1230" s="72">
        <f ca="1">IF(INDIRECT(ADDRESS(ROW(),3))&lt;&gt;"",getIBANchecksum(INDIRECT(ADDRESS(ROW(),3))),98)</f>
        <v>98</v>
      </c>
    </row>
    <row r="1231" spans="1:13">
      <c r="A1231" s="96">
        <f t="shared" si="19"/>
        <v>1212</v>
      </c>
      <c r="B1231" s="9"/>
      <c r="C1231" s="28"/>
      <c r="D1231" s="23"/>
      <c r="E1231" s="93"/>
      <c r="F1231" s="24"/>
      <c r="G1231" s="130"/>
      <c r="H1231" s="46"/>
      <c r="I1231" s="131"/>
      <c r="J1231" s="126"/>
      <c r="K1231" s="121"/>
      <c r="L1231" s="78"/>
      <c r="M1231" s="72">
        <f ca="1">IF(INDIRECT(ADDRESS(ROW(),3))&lt;&gt;"",getIBANchecksum(INDIRECT(ADDRESS(ROW(),3))),98)</f>
        <v>98</v>
      </c>
    </row>
    <row r="1232" spans="1:13">
      <c r="A1232" s="96">
        <f t="shared" si="19"/>
        <v>1213</v>
      </c>
      <c r="B1232" s="9"/>
      <c r="C1232" s="28"/>
      <c r="D1232" s="23"/>
      <c r="E1232" s="93"/>
      <c r="F1232" s="24"/>
      <c r="G1232" s="130"/>
      <c r="H1232" s="46"/>
      <c r="I1232" s="131"/>
      <c r="J1232" s="126"/>
      <c r="K1232" s="121"/>
      <c r="L1232" s="78"/>
      <c r="M1232" s="72">
        <f ca="1">IF(INDIRECT(ADDRESS(ROW(),3))&lt;&gt;"",getIBANchecksum(INDIRECT(ADDRESS(ROW(),3))),98)</f>
        <v>98</v>
      </c>
    </row>
    <row r="1233" spans="1:13">
      <c r="A1233" s="96">
        <f t="shared" si="19"/>
        <v>1214</v>
      </c>
      <c r="B1233" s="9"/>
      <c r="C1233" s="28"/>
      <c r="D1233" s="23"/>
      <c r="E1233" s="93"/>
      <c r="F1233" s="24"/>
      <c r="G1233" s="130"/>
      <c r="H1233" s="46"/>
      <c r="I1233" s="131"/>
      <c r="J1233" s="126"/>
      <c r="K1233" s="121"/>
      <c r="L1233" s="78"/>
      <c r="M1233" s="72">
        <f ca="1">IF(INDIRECT(ADDRESS(ROW(),3))&lt;&gt;"",getIBANchecksum(INDIRECT(ADDRESS(ROW(),3))),98)</f>
        <v>98</v>
      </c>
    </row>
    <row r="1234" spans="1:13">
      <c r="A1234" s="96">
        <f t="shared" si="19"/>
        <v>1215</v>
      </c>
      <c r="B1234" s="9"/>
      <c r="C1234" s="28"/>
      <c r="D1234" s="23"/>
      <c r="E1234" s="93"/>
      <c r="F1234" s="24"/>
      <c r="G1234" s="130"/>
      <c r="H1234" s="46"/>
      <c r="I1234" s="131"/>
      <c r="J1234" s="126"/>
      <c r="K1234" s="121"/>
      <c r="L1234" s="78"/>
      <c r="M1234" s="72">
        <f ca="1">IF(INDIRECT(ADDRESS(ROW(),3))&lt;&gt;"",getIBANchecksum(INDIRECT(ADDRESS(ROW(),3))),98)</f>
        <v>98</v>
      </c>
    </row>
    <row r="1235" spans="1:13">
      <c r="A1235" s="96">
        <f t="shared" si="19"/>
        <v>1216</v>
      </c>
      <c r="B1235" s="9"/>
      <c r="C1235" s="28"/>
      <c r="D1235" s="23"/>
      <c r="E1235" s="93"/>
      <c r="F1235" s="24"/>
      <c r="G1235" s="130"/>
      <c r="H1235" s="46"/>
      <c r="I1235" s="131"/>
      <c r="J1235" s="126"/>
      <c r="K1235" s="121"/>
      <c r="L1235" s="78"/>
      <c r="M1235" s="72">
        <f ca="1">IF(INDIRECT(ADDRESS(ROW(),3))&lt;&gt;"",getIBANchecksum(INDIRECT(ADDRESS(ROW(),3))),98)</f>
        <v>98</v>
      </c>
    </row>
    <row r="1236" spans="1:13">
      <c r="A1236" s="96">
        <f t="shared" si="19"/>
        <v>1217</v>
      </c>
      <c r="B1236" s="9"/>
      <c r="C1236" s="28"/>
      <c r="D1236" s="23"/>
      <c r="E1236" s="93"/>
      <c r="F1236" s="24"/>
      <c r="G1236" s="130"/>
      <c r="H1236" s="46"/>
      <c r="I1236" s="131"/>
      <c r="J1236" s="126"/>
      <c r="K1236" s="121"/>
      <c r="L1236" s="78"/>
      <c r="M1236" s="72">
        <f ca="1">IF(INDIRECT(ADDRESS(ROW(),3))&lt;&gt;"",getIBANchecksum(INDIRECT(ADDRESS(ROW(),3))),98)</f>
        <v>98</v>
      </c>
    </row>
    <row r="1237" spans="1:13">
      <c r="A1237" s="96">
        <f t="shared" si="19"/>
        <v>1218</v>
      </c>
      <c r="B1237" s="9"/>
      <c r="C1237" s="28"/>
      <c r="D1237" s="23"/>
      <c r="E1237" s="93"/>
      <c r="F1237" s="24"/>
      <c r="G1237" s="130"/>
      <c r="H1237" s="46"/>
      <c r="I1237" s="131"/>
      <c r="J1237" s="126"/>
      <c r="K1237" s="121"/>
      <c r="L1237" s="78"/>
      <c r="M1237" s="72">
        <f ca="1">IF(INDIRECT(ADDRESS(ROW(),3))&lt;&gt;"",getIBANchecksum(INDIRECT(ADDRESS(ROW(),3))),98)</f>
        <v>98</v>
      </c>
    </row>
    <row r="1238" spans="1:13">
      <c r="A1238" s="96">
        <f t="shared" ref="A1238:A1301" si="20">A1237+1</f>
        <v>1219</v>
      </c>
      <c r="B1238" s="9"/>
      <c r="C1238" s="28"/>
      <c r="D1238" s="23"/>
      <c r="E1238" s="93"/>
      <c r="F1238" s="24"/>
      <c r="G1238" s="130"/>
      <c r="H1238" s="46"/>
      <c r="I1238" s="131"/>
      <c r="J1238" s="126"/>
      <c r="K1238" s="121"/>
      <c r="L1238" s="78"/>
      <c r="M1238" s="72">
        <f ca="1">IF(INDIRECT(ADDRESS(ROW(),3))&lt;&gt;"",getIBANchecksum(INDIRECT(ADDRESS(ROW(),3))),98)</f>
        <v>98</v>
      </c>
    </row>
    <row r="1239" spans="1:13">
      <c r="A1239" s="96">
        <f t="shared" si="20"/>
        <v>1220</v>
      </c>
      <c r="B1239" s="9"/>
      <c r="C1239" s="28"/>
      <c r="D1239" s="23"/>
      <c r="E1239" s="93"/>
      <c r="F1239" s="24"/>
      <c r="G1239" s="130"/>
      <c r="H1239" s="46"/>
      <c r="I1239" s="131"/>
      <c r="J1239" s="126"/>
      <c r="K1239" s="121"/>
      <c r="L1239" s="78"/>
      <c r="M1239" s="72">
        <f ca="1">IF(INDIRECT(ADDRESS(ROW(),3))&lt;&gt;"",getIBANchecksum(INDIRECT(ADDRESS(ROW(),3))),98)</f>
        <v>98</v>
      </c>
    </row>
    <row r="1240" spans="1:13">
      <c r="A1240" s="96">
        <f t="shared" si="20"/>
        <v>1221</v>
      </c>
      <c r="B1240" s="9"/>
      <c r="C1240" s="28"/>
      <c r="D1240" s="23"/>
      <c r="E1240" s="93"/>
      <c r="F1240" s="24"/>
      <c r="G1240" s="130"/>
      <c r="H1240" s="46"/>
      <c r="I1240" s="131"/>
      <c r="J1240" s="126"/>
      <c r="K1240" s="121"/>
      <c r="L1240" s="78"/>
      <c r="M1240" s="72">
        <f ca="1">IF(INDIRECT(ADDRESS(ROW(),3))&lt;&gt;"",getIBANchecksum(INDIRECT(ADDRESS(ROW(),3))),98)</f>
        <v>98</v>
      </c>
    </row>
    <row r="1241" spans="1:13">
      <c r="A1241" s="96">
        <f t="shared" si="20"/>
        <v>1222</v>
      </c>
      <c r="B1241" s="9"/>
      <c r="C1241" s="28"/>
      <c r="D1241" s="23"/>
      <c r="E1241" s="93"/>
      <c r="F1241" s="24"/>
      <c r="G1241" s="130"/>
      <c r="H1241" s="46"/>
      <c r="I1241" s="131"/>
      <c r="J1241" s="126"/>
      <c r="K1241" s="121"/>
      <c r="L1241" s="78"/>
      <c r="M1241" s="72">
        <f ca="1">IF(INDIRECT(ADDRESS(ROW(),3))&lt;&gt;"",getIBANchecksum(INDIRECT(ADDRESS(ROW(),3))),98)</f>
        <v>98</v>
      </c>
    </row>
    <row r="1242" spans="1:13">
      <c r="A1242" s="96">
        <f t="shared" si="20"/>
        <v>1223</v>
      </c>
      <c r="B1242" s="9"/>
      <c r="C1242" s="28"/>
      <c r="D1242" s="23"/>
      <c r="E1242" s="93"/>
      <c r="F1242" s="24"/>
      <c r="G1242" s="130"/>
      <c r="H1242" s="46"/>
      <c r="I1242" s="131"/>
      <c r="J1242" s="126"/>
      <c r="K1242" s="121"/>
      <c r="L1242" s="78"/>
      <c r="M1242" s="72">
        <f ca="1">IF(INDIRECT(ADDRESS(ROW(),3))&lt;&gt;"",getIBANchecksum(INDIRECT(ADDRESS(ROW(),3))),98)</f>
        <v>98</v>
      </c>
    </row>
    <row r="1243" spans="1:13">
      <c r="A1243" s="96">
        <f t="shared" si="20"/>
        <v>1224</v>
      </c>
      <c r="B1243" s="9"/>
      <c r="C1243" s="28"/>
      <c r="D1243" s="23"/>
      <c r="E1243" s="93"/>
      <c r="F1243" s="24"/>
      <c r="G1243" s="130"/>
      <c r="H1243" s="46"/>
      <c r="I1243" s="131"/>
      <c r="J1243" s="126"/>
      <c r="K1243" s="121"/>
      <c r="L1243" s="78"/>
      <c r="M1243" s="72">
        <f ca="1">IF(INDIRECT(ADDRESS(ROW(),3))&lt;&gt;"",getIBANchecksum(INDIRECT(ADDRESS(ROW(),3))),98)</f>
        <v>98</v>
      </c>
    </row>
    <row r="1244" spans="1:13">
      <c r="A1244" s="96">
        <f t="shared" si="20"/>
        <v>1225</v>
      </c>
      <c r="B1244" s="9"/>
      <c r="C1244" s="28"/>
      <c r="D1244" s="23"/>
      <c r="E1244" s="93"/>
      <c r="F1244" s="24"/>
      <c r="G1244" s="130"/>
      <c r="H1244" s="46"/>
      <c r="I1244" s="131"/>
      <c r="J1244" s="126"/>
      <c r="K1244" s="121"/>
      <c r="L1244" s="78"/>
      <c r="M1244" s="72">
        <f ca="1">IF(INDIRECT(ADDRESS(ROW(),3))&lt;&gt;"",getIBANchecksum(INDIRECT(ADDRESS(ROW(),3))),98)</f>
        <v>98</v>
      </c>
    </row>
    <row r="1245" spans="1:13">
      <c r="A1245" s="96">
        <f t="shared" si="20"/>
        <v>1226</v>
      </c>
      <c r="B1245" s="9"/>
      <c r="C1245" s="28"/>
      <c r="D1245" s="23"/>
      <c r="E1245" s="93"/>
      <c r="F1245" s="24"/>
      <c r="G1245" s="130"/>
      <c r="H1245" s="46"/>
      <c r="I1245" s="131"/>
      <c r="J1245" s="126"/>
      <c r="K1245" s="121"/>
      <c r="L1245" s="78"/>
      <c r="M1245" s="72">
        <f ca="1">IF(INDIRECT(ADDRESS(ROW(),3))&lt;&gt;"",getIBANchecksum(INDIRECT(ADDRESS(ROW(),3))),98)</f>
        <v>98</v>
      </c>
    </row>
    <row r="1246" spans="1:13">
      <c r="A1246" s="96">
        <f t="shared" si="20"/>
        <v>1227</v>
      </c>
      <c r="B1246" s="9"/>
      <c r="C1246" s="28"/>
      <c r="D1246" s="23"/>
      <c r="E1246" s="93"/>
      <c r="F1246" s="24"/>
      <c r="G1246" s="130"/>
      <c r="H1246" s="46"/>
      <c r="I1246" s="131"/>
      <c r="J1246" s="126"/>
      <c r="K1246" s="121"/>
      <c r="L1246" s="78"/>
      <c r="M1246" s="72">
        <f ca="1">IF(INDIRECT(ADDRESS(ROW(),3))&lt;&gt;"",getIBANchecksum(INDIRECT(ADDRESS(ROW(),3))),98)</f>
        <v>98</v>
      </c>
    </row>
    <row r="1247" spans="1:13">
      <c r="A1247" s="96">
        <f t="shared" si="20"/>
        <v>1228</v>
      </c>
      <c r="B1247" s="9"/>
      <c r="C1247" s="28"/>
      <c r="D1247" s="23"/>
      <c r="E1247" s="93"/>
      <c r="F1247" s="24"/>
      <c r="G1247" s="130"/>
      <c r="H1247" s="46"/>
      <c r="I1247" s="131"/>
      <c r="J1247" s="126"/>
      <c r="K1247" s="121"/>
      <c r="L1247" s="78"/>
      <c r="M1247" s="72">
        <f ca="1">IF(INDIRECT(ADDRESS(ROW(),3))&lt;&gt;"",getIBANchecksum(INDIRECT(ADDRESS(ROW(),3))),98)</f>
        <v>98</v>
      </c>
    </row>
    <row r="1248" spans="1:13">
      <c r="A1248" s="96">
        <f t="shared" si="20"/>
        <v>1229</v>
      </c>
      <c r="B1248" s="9"/>
      <c r="C1248" s="28"/>
      <c r="D1248" s="23"/>
      <c r="E1248" s="93"/>
      <c r="F1248" s="24"/>
      <c r="G1248" s="130"/>
      <c r="H1248" s="46"/>
      <c r="I1248" s="131"/>
      <c r="J1248" s="126"/>
      <c r="K1248" s="121"/>
      <c r="L1248" s="78"/>
      <c r="M1248" s="72">
        <f ca="1">IF(INDIRECT(ADDRESS(ROW(),3))&lt;&gt;"",getIBANchecksum(INDIRECT(ADDRESS(ROW(),3))),98)</f>
        <v>98</v>
      </c>
    </row>
    <row r="1249" spans="1:13">
      <c r="A1249" s="96">
        <f t="shared" si="20"/>
        <v>1230</v>
      </c>
      <c r="B1249" s="9"/>
      <c r="C1249" s="28"/>
      <c r="D1249" s="23"/>
      <c r="E1249" s="93"/>
      <c r="F1249" s="24"/>
      <c r="G1249" s="130"/>
      <c r="H1249" s="46"/>
      <c r="I1249" s="131"/>
      <c r="J1249" s="126"/>
      <c r="K1249" s="121"/>
      <c r="L1249" s="78"/>
      <c r="M1249" s="72">
        <f ca="1">IF(INDIRECT(ADDRESS(ROW(),3))&lt;&gt;"",getIBANchecksum(INDIRECT(ADDRESS(ROW(),3))),98)</f>
        <v>98</v>
      </c>
    </row>
    <row r="1250" spans="1:13">
      <c r="A1250" s="96">
        <f t="shared" si="20"/>
        <v>1231</v>
      </c>
      <c r="B1250" s="9"/>
      <c r="C1250" s="28"/>
      <c r="D1250" s="23"/>
      <c r="E1250" s="93"/>
      <c r="F1250" s="24"/>
      <c r="G1250" s="130"/>
      <c r="H1250" s="46"/>
      <c r="I1250" s="131"/>
      <c r="J1250" s="126"/>
      <c r="K1250" s="121"/>
      <c r="L1250" s="78"/>
      <c r="M1250" s="72">
        <f ca="1">IF(INDIRECT(ADDRESS(ROW(),3))&lt;&gt;"",getIBANchecksum(INDIRECT(ADDRESS(ROW(),3))),98)</f>
        <v>98</v>
      </c>
    </row>
    <row r="1251" spans="1:13">
      <c r="A1251" s="96">
        <f t="shared" si="20"/>
        <v>1232</v>
      </c>
      <c r="B1251" s="9"/>
      <c r="C1251" s="28"/>
      <c r="D1251" s="23"/>
      <c r="E1251" s="93"/>
      <c r="F1251" s="24"/>
      <c r="G1251" s="130"/>
      <c r="H1251" s="46"/>
      <c r="I1251" s="131"/>
      <c r="J1251" s="126"/>
      <c r="K1251" s="121"/>
      <c r="L1251" s="78"/>
      <c r="M1251" s="72">
        <f ca="1">IF(INDIRECT(ADDRESS(ROW(),3))&lt;&gt;"",getIBANchecksum(INDIRECT(ADDRESS(ROW(),3))),98)</f>
        <v>98</v>
      </c>
    </row>
    <row r="1252" spans="1:13">
      <c r="A1252" s="96">
        <f t="shared" si="20"/>
        <v>1233</v>
      </c>
      <c r="B1252" s="9"/>
      <c r="C1252" s="28"/>
      <c r="D1252" s="23"/>
      <c r="E1252" s="93"/>
      <c r="F1252" s="24"/>
      <c r="G1252" s="130"/>
      <c r="H1252" s="46"/>
      <c r="I1252" s="131"/>
      <c r="J1252" s="126"/>
      <c r="K1252" s="121"/>
      <c r="L1252" s="78"/>
      <c r="M1252" s="72">
        <f ca="1">IF(INDIRECT(ADDRESS(ROW(),3))&lt;&gt;"",getIBANchecksum(INDIRECT(ADDRESS(ROW(),3))),98)</f>
        <v>98</v>
      </c>
    </row>
    <row r="1253" spans="1:13">
      <c r="A1253" s="96">
        <f t="shared" si="20"/>
        <v>1234</v>
      </c>
      <c r="B1253" s="9"/>
      <c r="C1253" s="28"/>
      <c r="D1253" s="23"/>
      <c r="E1253" s="93"/>
      <c r="F1253" s="24"/>
      <c r="G1253" s="130"/>
      <c r="H1253" s="46"/>
      <c r="I1253" s="131"/>
      <c r="J1253" s="126"/>
      <c r="K1253" s="121"/>
      <c r="L1253" s="78"/>
      <c r="M1253" s="72">
        <f ca="1">IF(INDIRECT(ADDRESS(ROW(),3))&lt;&gt;"",getIBANchecksum(INDIRECT(ADDRESS(ROW(),3))),98)</f>
        <v>98</v>
      </c>
    </row>
    <row r="1254" spans="1:13">
      <c r="A1254" s="96">
        <f t="shared" si="20"/>
        <v>1235</v>
      </c>
      <c r="B1254" s="9"/>
      <c r="C1254" s="28"/>
      <c r="D1254" s="23"/>
      <c r="E1254" s="93"/>
      <c r="F1254" s="24"/>
      <c r="G1254" s="130"/>
      <c r="H1254" s="46"/>
      <c r="I1254" s="131"/>
      <c r="J1254" s="126"/>
      <c r="K1254" s="121"/>
      <c r="L1254" s="78"/>
      <c r="M1254" s="72">
        <f ca="1">IF(INDIRECT(ADDRESS(ROW(),3))&lt;&gt;"",getIBANchecksum(INDIRECT(ADDRESS(ROW(),3))),98)</f>
        <v>98</v>
      </c>
    </row>
    <row r="1255" spans="1:13">
      <c r="A1255" s="96">
        <f t="shared" si="20"/>
        <v>1236</v>
      </c>
      <c r="B1255" s="9"/>
      <c r="C1255" s="28"/>
      <c r="D1255" s="23"/>
      <c r="E1255" s="93"/>
      <c r="F1255" s="24"/>
      <c r="G1255" s="130"/>
      <c r="H1255" s="46"/>
      <c r="I1255" s="131"/>
      <c r="J1255" s="126"/>
      <c r="K1255" s="121"/>
      <c r="L1255" s="78"/>
      <c r="M1255" s="72">
        <f ca="1">IF(INDIRECT(ADDRESS(ROW(),3))&lt;&gt;"",getIBANchecksum(INDIRECT(ADDRESS(ROW(),3))),98)</f>
        <v>98</v>
      </c>
    </row>
    <row r="1256" spans="1:13">
      <c r="A1256" s="96">
        <f t="shared" si="20"/>
        <v>1237</v>
      </c>
      <c r="B1256" s="9"/>
      <c r="C1256" s="28"/>
      <c r="D1256" s="23"/>
      <c r="E1256" s="93"/>
      <c r="F1256" s="24"/>
      <c r="G1256" s="130"/>
      <c r="H1256" s="46"/>
      <c r="I1256" s="131"/>
      <c r="J1256" s="126"/>
      <c r="K1256" s="121"/>
      <c r="L1256" s="78"/>
      <c r="M1256" s="72">
        <f ca="1">IF(INDIRECT(ADDRESS(ROW(),3))&lt;&gt;"",getIBANchecksum(INDIRECT(ADDRESS(ROW(),3))),98)</f>
        <v>98</v>
      </c>
    </row>
    <row r="1257" spans="1:13">
      <c r="A1257" s="96">
        <f t="shared" si="20"/>
        <v>1238</v>
      </c>
      <c r="B1257" s="9"/>
      <c r="C1257" s="28"/>
      <c r="D1257" s="23"/>
      <c r="E1257" s="93"/>
      <c r="F1257" s="24"/>
      <c r="G1257" s="130"/>
      <c r="H1257" s="46"/>
      <c r="I1257" s="131"/>
      <c r="J1257" s="126"/>
      <c r="K1257" s="121"/>
      <c r="L1257" s="78"/>
      <c r="M1257" s="72">
        <f ca="1">IF(INDIRECT(ADDRESS(ROW(),3))&lt;&gt;"",getIBANchecksum(INDIRECT(ADDRESS(ROW(),3))),98)</f>
        <v>98</v>
      </c>
    </row>
    <row r="1258" spans="1:13">
      <c r="A1258" s="96">
        <f t="shared" si="20"/>
        <v>1239</v>
      </c>
      <c r="B1258" s="9"/>
      <c r="C1258" s="28"/>
      <c r="D1258" s="23"/>
      <c r="E1258" s="93"/>
      <c r="F1258" s="24"/>
      <c r="G1258" s="130"/>
      <c r="H1258" s="46"/>
      <c r="I1258" s="131"/>
      <c r="J1258" s="126"/>
      <c r="K1258" s="121"/>
      <c r="L1258" s="78"/>
      <c r="M1258" s="72">
        <f ca="1">IF(INDIRECT(ADDRESS(ROW(),3))&lt;&gt;"",getIBANchecksum(INDIRECT(ADDRESS(ROW(),3))),98)</f>
        <v>98</v>
      </c>
    </row>
    <row r="1259" spans="1:13">
      <c r="A1259" s="96">
        <f t="shared" si="20"/>
        <v>1240</v>
      </c>
      <c r="B1259" s="9"/>
      <c r="C1259" s="28"/>
      <c r="D1259" s="23"/>
      <c r="E1259" s="93"/>
      <c r="F1259" s="24"/>
      <c r="G1259" s="130"/>
      <c r="H1259" s="46"/>
      <c r="I1259" s="131"/>
      <c r="J1259" s="126"/>
      <c r="K1259" s="121"/>
      <c r="L1259" s="78"/>
      <c r="M1259" s="72">
        <f ca="1">IF(INDIRECT(ADDRESS(ROW(),3))&lt;&gt;"",getIBANchecksum(INDIRECT(ADDRESS(ROW(),3))),98)</f>
        <v>98</v>
      </c>
    </row>
    <row r="1260" spans="1:13">
      <c r="A1260" s="96">
        <f t="shared" si="20"/>
        <v>1241</v>
      </c>
      <c r="B1260" s="9"/>
      <c r="C1260" s="28"/>
      <c r="D1260" s="23"/>
      <c r="E1260" s="93"/>
      <c r="F1260" s="24"/>
      <c r="G1260" s="130"/>
      <c r="H1260" s="46"/>
      <c r="I1260" s="131"/>
      <c r="J1260" s="126"/>
      <c r="K1260" s="121"/>
      <c r="L1260" s="78"/>
      <c r="M1260" s="72">
        <f ca="1">IF(INDIRECT(ADDRESS(ROW(),3))&lt;&gt;"",getIBANchecksum(INDIRECT(ADDRESS(ROW(),3))),98)</f>
        <v>98</v>
      </c>
    </row>
    <row r="1261" spans="1:13">
      <c r="A1261" s="96">
        <f t="shared" si="20"/>
        <v>1242</v>
      </c>
      <c r="B1261" s="9"/>
      <c r="C1261" s="28"/>
      <c r="D1261" s="23"/>
      <c r="E1261" s="93"/>
      <c r="F1261" s="24"/>
      <c r="G1261" s="130"/>
      <c r="H1261" s="46"/>
      <c r="I1261" s="131"/>
      <c r="J1261" s="126"/>
      <c r="K1261" s="121"/>
      <c r="L1261" s="78"/>
      <c r="M1261" s="72">
        <f ca="1">IF(INDIRECT(ADDRESS(ROW(),3))&lt;&gt;"",getIBANchecksum(INDIRECT(ADDRESS(ROW(),3))),98)</f>
        <v>98</v>
      </c>
    </row>
    <row r="1262" spans="1:13">
      <c r="A1262" s="96">
        <f t="shared" si="20"/>
        <v>1243</v>
      </c>
      <c r="B1262" s="9"/>
      <c r="C1262" s="28"/>
      <c r="D1262" s="23"/>
      <c r="E1262" s="93"/>
      <c r="F1262" s="24"/>
      <c r="G1262" s="130"/>
      <c r="H1262" s="46"/>
      <c r="I1262" s="131"/>
      <c r="J1262" s="126"/>
      <c r="K1262" s="121"/>
      <c r="L1262" s="78"/>
      <c r="M1262" s="72">
        <f ca="1">IF(INDIRECT(ADDRESS(ROW(),3))&lt;&gt;"",getIBANchecksum(INDIRECT(ADDRESS(ROW(),3))),98)</f>
        <v>98</v>
      </c>
    </row>
    <row r="1263" spans="1:13">
      <c r="A1263" s="96">
        <f t="shared" si="20"/>
        <v>1244</v>
      </c>
      <c r="B1263" s="9"/>
      <c r="C1263" s="28"/>
      <c r="D1263" s="23"/>
      <c r="E1263" s="93"/>
      <c r="F1263" s="24"/>
      <c r="G1263" s="130"/>
      <c r="H1263" s="46"/>
      <c r="I1263" s="131"/>
      <c r="J1263" s="126"/>
      <c r="K1263" s="121"/>
      <c r="L1263" s="78"/>
      <c r="M1263" s="72">
        <f ca="1">IF(INDIRECT(ADDRESS(ROW(),3))&lt;&gt;"",getIBANchecksum(INDIRECT(ADDRESS(ROW(),3))),98)</f>
        <v>98</v>
      </c>
    </row>
    <row r="1264" spans="1:13">
      <c r="A1264" s="96">
        <f t="shared" si="20"/>
        <v>1245</v>
      </c>
      <c r="B1264" s="9"/>
      <c r="C1264" s="28"/>
      <c r="D1264" s="23"/>
      <c r="E1264" s="93"/>
      <c r="F1264" s="24"/>
      <c r="G1264" s="130"/>
      <c r="H1264" s="46"/>
      <c r="I1264" s="131"/>
      <c r="J1264" s="126"/>
      <c r="K1264" s="121"/>
      <c r="L1264" s="78"/>
      <c r="M1264" s="72">
        <f ca="1">IF(INDIRECT(ADDRESS(ROW(),3))&lt;&gt;"",getIBANchecksum(INDIRECT(ADDRESS(ROW(),3))),98)</f>
        <v>98</v>
      </c>
    </row>
    <row r="1265" spans="1:13">
      <c r="A1265" s="96">
        <f t="shared" si="20"/>
        <v>1246</v>
      </c>
      <c r="B1265" s="9"/>
      <c r="C1265" s="28"/>
      <c r="D1265" s="23"/>
      <c r="E1265" s="93"/>
      <c r="F1265" s="24"/>
      <c r="G1265" s="130"/>
      <c r="H1265" s="46"/>
      <c r="I1265" s="131"/>
      <c r="J1265" s="126"/>
      <c r="K1265" s="121"/>
      <c r="L1265" s="78"/>
      <c r="M1265" s="72">
        <f ca="1">IF(INDIRECT(ADDRESS(ROW(),3))&lt;&gt;"",getIBANchecksum(INDIRECT(ADDRESS(ROW(),3))),98)</f>
        <v>98</v>
      </c>
    </row>
    <row r="1266" spans="1:13">
      <c r="A1266" s="96">
        <f t="shared" si="20"/>
        <v>1247</v>
      </c>
      <c r="B1266" s="9"/>
      <c r="C1266" s="28"/>
      <c r="D1266" s="23"/>
      <c r="E1266" s="93"/>
      <c r="F1266" s="24"/>
      <c r="G1266" s="130"/>
      <c r="H1266" s="46"/>
      <c r="I1266" s="131"/>
      <c r="J1266" s="126"/>
      <c r="K1266" s="121"/>
      <c r="L1266" s="78"/>
      <c r="M1266" s="72">
        <f ca="1">IF(INDIRECT(ADDRESS(ROW(),3))&lt;&gt;"",getIBANchecksum(INDIRECT(ADDRESS(ROW(),3))),98)</f>
        <v>98</v>
      </c>
    </row>
    <row r="1267" spans="1:13">
      <c r="A1267" s="96">
        <f t="shared" si="20"/>
        <v>1248</v>
      </c>
      <c r="B1267" s="9"/>
      <c r="C1267" s="28"/>
      <c r="D1267" s="23"/>
      <c r="E1267" s="93"/>
      <c r="F1267" s="24"/>
      <c r="G1267" s="130"/>
      <c r="H1267" s="46"/>
      <c r="I1267" s="131"/>
      <c r="J1267" s="126"/>
      <c r="K1267" s="121"/>
      <c r="L1267" s="78"/>
      <c r="M1267" s="72">
        <f ca="1">IF(INDIRECT(ADDRESS(ROW(),3))&lt;&gt;"",getIBANchecksum(INDIRECT(ADDRESS(ROW(),3))),98)</f>
        <v>98</v>
      </c>
    </row>
    <row r="1268" spans="1:13">
      <c r="A1268" s="96">
        <f t="shared" si="20"/>
        <v>1249</v>
      </c>
      <c r="B1268" s="9"/>
      <c r="C1268" s="28"/>
      <c r="D1268" s="23"/>
      <c r="E1268" s="93"/>
      <c r="F1268" s="24"/>
      <c r="G1268" s="130"/>
      <c r="H1268" s="46"/>
      <c r="I1268" s="131"/>
      <c r="J1268" s="126"/>
      <c r="K1268" s="121"/>
      <c r="L1268" s="78"/>
      <c r="M1268" s="72">
        <f ca="1">IF(INDIRECT(ADDRESS(ROW(),3))&lt;&gt;"",getIBANchecksum(INDIRECT(ADDRESS(ROW(),3))),98)</f>
        <v>98</v>
      </c>
    </row>
    <row r="1269" spans="1:13">
      <c r="A1269" s="96">
        <f t="shared" si="20"/>
        <v>1250</v>
      </c>
      <c r="B1269" s="9"/>
      <c r="C1269" s="28"/>
      <c r="D1269" s="23"/>
      <c r="E1269" s="93"/>
      <c r="F1269" s="24"/>
      <c r="G1269" s="130"/>
      <c r="H1269" s="46"/>
      <c r="I1269" s="131"/>
      <c r="J1269" s="126"/>
      <c r="K1269" s="121"/>
      <c r="L1269" s="78"/>
      <c r="M1269" s="72">
        <f ca="1">IF(INDIRECT(ADDRESS(ROW(),3))&lt;&gt;"",getIBANchecksum(INDIRECT(ADDRESS(ROW(),3))),98)</f>
        <v>98</v>
      </c>
    </row>
    <row r="1270" spans="1:13">
      <c r="A1270" s="96">
        <f t="shared" si="20"/>
        <v>1251</v>
      </c>
      <c r="B1270" s="9"/>
      <c r="C1270" s="28"/>
      <c r="D1270" s="23"/>
      <c r="E1270" s="93"/>
      <c r="F1270" s="24"/>
      <c r="G1270" s="130"/>
      <c r="H1270" s="46"/>
      <c r="I1270" s="131"/>
      <c r="J1270" s="126"/>
      <c r="K1270" s="121"/>
      <c r="L1270" s="78"/>
      <c r="M1270" s="72">
        <f ca="1">IF(INDIRECT(ADDRESS(ROW(),3))&lt;&gt;"",getIBANchecksum(INDIRECT(ADDRESS(ROW(),3))),98)</f>
        <v>98</v>
      </c>
    </row>
    <row r="1271" spans="1:13">
      <c r="A1271" s="96">
        <f t="shared" si="20"/>
        <v>1252</v>
      </c>
      <c r="B1271" s="9"/>
      <c r="C1271" s="28"/>
      <c r="D1271" s="23"/>
      <c r="E1271" s="93"/>
      <c r="F1271" s="24"/>
      <c r="G1271" s="130"/>
      <c r="H1271" s="46"/>
      <c r="I1271" s="131"/>
      <c r="J1271" s="126"/>
      <c r="K1271" s="121"/>
      <c r="L1271" s="78"/>
      <c r="M1271" s="72">
        <f ca="1">IF(INDIRECT(ADDRESS(ROW(),3))&lt;&gt;"",getIBANchecksum(INDIRECT(ADDRESS(ROW(),3))),98)</f>
        <v>98</v>
      </c>
    </row>
    <row r="1272" spans="1:13">
      <c r="A1272" s="96">
        <f t="shared" si="20"/>
        <v>1253</v>
      </c>
      <c r="B1272" s="9"/>
      <c r="C1272" s="28"/>
      <c r="D1272" s="23"/>
      <c r="E1272" s="93"/>
      <c r="F1272" s="24"/>
      <c r="G1272" s="130"/>
      <c r="H1272" s="46"/>
      <c r="I1272" s="131"/>
      <c r="J1272" s="126"/>
      <c r="K1272" s="121"/>
      <c r="L1272" s="78"/>
      <c r="M1272" s="72">
        <f ca="1">IF(INDIRECT(ADDRESS(ROW(),3))&lt;&gt;"",getIBANchecksum(INDIRECT(ADDRESS(ROW(),3))),98)</f>
        <v>98</v>
      </c>
    </row>
    <row r="1273" spans="1:13">
      <c r="A1273" s="96">
        <f t="shared" si="20"/>
        <v>1254</v>
      </c>
      <c r="B1273" s="9"/>
      <c r="C1273" s="28"/>
      <c r="D1273" s="23"/>
      <c r="E1273" s="93"/>
      <c r="F1273" s="24"/>
      <c r="G1273" s="130"/>
      <c r="H1273" s="46"/>
      <c r="I1273" s="131"/>
      <c r="J1273" s="126"/>
      <c r="K1273" s="121"/>
      <c r="L1273" s="78"/>
      <c r="M1273" s="72">
        <f ca="1">IF(INDIRECT(ADDRESS(ROW(),3))&lt;&gt;"",getIBANchecksum(INDIRECT(ADDRESS(ROW(),3))),98)</f>
        <v>98</v>
      </c>
    </row>
    <row r="1274" spans="1:13">
      <c r="A1274" s="96">
        <f t="shared" si="20"/>
        <v>1255</v>
      </c>
      <c r="B1274" s="9"/>
      <c r="C1274" s="28"/>
      <c r="D1274" s="23"/>
      <c r="E1274" s="93"/>
      <c r="F1274" s="24"/>
      <c r="G1274" s="130"/>
      <c r="H1274" s="46"/>
      <c r="I1274" s="131"/>
      <c r="J1274" s="126"/>
      <c r="K1274" s="121"/>
      <c r="L1274" s="78"/>
      <c r="M1274" s="72">
        <f ca="1">IF(INDIRECT(ADDRESS(ROW(),3))&lt;&gt;"",getIBANchecksum(INDIRECT(ADDRESS(ROW(),3))),98)</f>
        <v>98</v>
      </c>
    </row>
    <row r="1275" spans="1:13">
      <c r="A1275" s="96">
        <f t="shared" si="20"/>
        <v>1256</v>
      </c>
      <c r="B1275" s="9"/>
      <c r="C1275" s="28"/>
      <c r="D1275" s="23"/>
      <c r="E1275" s="93"/>
      <c r="F1275" s="24"/>
      <c r="G1275" s="130"/>
      <c r="H1275" s="46"/>
      <c r="I1275" s="131"/>
      <c r="J1275" s="126"/>
      <c r="K1275" s="121"/>
      <c r="L1275" s="78"/>
      <c r="M1275" s="72">
        <f ca="1">IF(INDIRECT(ADDRESS(ROW(),3))&lt;&gt;"",getIBANchecksum(INDIRECT(ADDRESS(ROW(),3))),98)</f>
        <v>98</v>
      </c>
    </row>
    <row r="1276" spans="1:13">
      <c r="A1276" s="96">
        <f t="shared" si="20"/>
        <v>1257</v>
      </c>
      <c r="B1276" s="9"/>
      <c r="C1276" s="28"/>
      <c r="D1276" s="23"/>
      <c r="E1276" s="93"/>
      <c r="F1276" s="24"/>
      <c r="G1276" s="130"/>
      <c r="H1276" s="46"/>
      <c r="I1276" s="131"/>
      <c r="J1276" s="126"/>
      <c r="K1276" s="121"/>
      <c r="L1276" s="78"/>
      <c r="M1276" s="72">
        <f ca="1">IF(INDIRECT(ADDRESS(ROW(),3))&lt;&gt;"",getIBANchecksum(INDIRECT(ADDRESS(ROW(),3))),98)</f>
        <v>98</v>
      </c>
    </row>
    <row r="1277" spans="1:13">
      <c r="A1277" s="96">
        <f t="shared" si="20"/>
        <v>1258</v>
      </c>
      <c r="B1277" s="9"/>
      <c r="C1277" s="28"/>
      <c r="D1277" s="23"/>
      <c r="E1277" s="93"/>
      <c r="F1277" s="24"/>
      <c r="G1277" s="130"/>
      <c r="H1277" s="46"/>
      <c r="I1277" s="131"/>
      <c r="J1277" s="126"/>
      <c r="K1277" s="121"/>
      <c r="L1277" s="78"/>
      <c r="M1277" s="72">
        <f ca="1">IF(INDIRECT(ADDRESS(ROW(),3))&lt;&gt;"",getIBANchecksum(INDIRECT(ADDRESS(ROW(),3))),98)</f>
        <v>98</v>
      </c>
    </row>
    <row r="1278" spans="1:13">
      <c r="A1278" s="96">
        <f t="shared" si="20"/>
        <v>1259</v>
      </c>
      <c r="B1278" s="9"/>
      <c r="C1278" s="28"/>
      <c r="D1278" s="23"/>
      <c r="E1278" s="93"/>
      <c r="F1278" s="24"/>
      <c r="G1278" s="130"/>
      <c r="H1278" s="46"/>
      <c r="I1278" s="131"/>
      <c r="J1278" s="126"/>
      <c r="K1278" s="121"/>
      <c r="L1278" s="78"/>
      <c r="M1278" s="72">
        <f ca="1">IF(INDIRECT(ADDRESS(ROW(),3))&lt;&gt;"",getIBANchecksum(INDIRECT(ADDRESS(ROW(),3))),98)</f>
        <v>98</v>
      </c>
    </row>
    <row r="1279" spans="1:13">
      <c r="A1279" s="96">
        <f t="shared" si="20"/>
        <v>1260</v>
      </c>
      <c r="B1279" s="9"/>
      <c r="C1279" s="28"/>
      <c r="D1279" s="23"/>
      <c r="E1279" s="93"/>
      <c r="F1279" s="24"/>
      <c r="G1279" s="130"/>
      <c r="H1279" s="46"/>
      <c r="I1279" s="131"/>
      <c r="J1279" s="126"/>
      <c r="K1279" s="121"/>
      <c r="L1279" s="78"/>
      <c r="M1279" s="72">
        <f ca="1">IF(INDIRECT(ADDRESS(ROW(),3))&lt;&gt;"",getIBANchecksum(INDIRECT(ADDRESS(ROW(),3))),98)</f>
        <v>98</v>
      </c>
    </row>
    <row r="1280" spans="1:13">
      <c r="A1280" s="96">
        <f t="shared" si="20"/>
        <v>1261</v>
      </c>
      <c r="B1280" s="9"/>
      <c r="C1280" s="28"/>
      <c r="D1280" s="23"/>
      <c r="E1280" s="93"/>
      <c r="F1280" s="24"/>
      <c r="G1280" s="130"/>
      <c r="H1280" s="46"/>
      <c r="I1280" s="131"/>
      <c r="J1280" s="126"/>
      <c r="K1280" s="121"/>
      <c r="L1280" s="78"/>
      <c r="M1280" s="72">
        <f ca="1">IF(INDIRECT(ADDRESS(ROW(),3))&lt;&gt;"",getIBANchecksum(INDIRECT(ADDRESS(ROW(),3))),98)</f>
        <v>98</v>
      </c>
    </row>
    <row r="1281" spans="1:13">
      <c r="A1281" s="96">
        <f t="shared" si="20"/>
        <v>1262</v>
      </c>
      <c r="B1281" s="9"/>
      <c r="C1281" s="28"/>
      <c r="D1281" s="23"/>
      <c r="E1281" s="93"/>
      <c r="F1281" s="24"/>
      <c r="G1281" s="130"/>
      <c r="H1281" s="46"/>
      <c r="I1281" s="131"/>
      <c r="J1281" s="126"/>
      <c r="K1281" s="121"/>
      <c r="L1281" s="78"/>
      <c r="M1281" s="72">
        <f ca="1">IF(INDIRECT(ADDRESS(ROW(),3))&lt;&gt;"",getIBANchecksum(INDIRECT(ADDRESS(ROW(),3))),98)</f>
        <v>98</v>
      </c>
    </row>
    <row r="1282" spans="1:13">
      <c r="A1282" s="96">
        <f t="shared" si="20"/>
        <v>1263</v>
      </c>
      <c r="B1282" s="9"/>
      <c r="C1282" s="28"/>
      <c r="D1282" s="23"/>
      <c r="E1282" s="93"/>
      <c r="F1282" s="24"/>
      <c r="G1282" s="130"/>
      <c r="H1282" s="46"/>
      <c r="I1282" s="131"/>
      <c r="J1282" s="126"/>
      <c r="K1282" s="121"/>
      <c r="L1282" s="78"/>
      <c r="M1282" s="72">
        <f ca="1">IF(INDIRECT(ADDRESS(ROW(),3))&lt;&gt;"",getIBANchecksum(INDIRECT(ADDRESS(ROW(),3))),98)</f>
        <v>98</v>
      </c>
    </row>
    <row r="1283" spans="1:13">
      <c r="A1283" s="96">
        <f t="shared" si="20"/>
        <v>1264</v>
      </c>
      <c r="B1283" s="9"/>
      <c r="C1283" s="28"/>
      <c r="D1283" s="23"/>
      <c r="E1283" s="93"/>
      <c r="F1283" s="24"/>
      <c r="G1283" s="130"/>
      <c r="H1283" s="46"/>
      <c r="I1283" s="131"/>
      <c r="J1283" s="126"/>
      <c r="K1283" s="121"/>
      <c r="L1283" s="78"/>
      <c r="M1283" s="72">
        <f ca="1">IF(INDIRECT(ADDRESS(ROW(),3))&lt;&gt;"",getIBANchecksum(INDIRECT(ADDRESS(ROW(),3))),98)</f>
        <v>98</v>
      </c>
    </row>
    <row r="1284" spans="1:13">
      <c r="A1284" s="96">
        <f t="shared" si="20"/>
        <v>1265</v>
      </c>
      <c r="B1284" s="9"/>
      <c r="C1284" s="28"/>
      <c r="D1284" s="23"/>
      <c r="E1284" s="93"/>
      <c r="F1284" s="24"/>
      <c r="G1284" s="130"/>
      <c r="H1284" s="46"/>
      <c r="I1284" s="131"/>
      <c r="J1284" s="126"/>
      <c r="K1284" s="121"/>
      <c r="L1284" s="78"/>
      <c r="M1284" s="72">
        <f ca="1">IF(INDIRECT(ADDRESS(ROW(),3))&lt;&gt;"",getIBANchecksum(INDIRECT(ADDRESS(ROW(),3))),98)</f>
        <v>98</v>
      </c>
    </row>
    <row r="1285" spans="1:13">
      <c r="A1285" s="96">
        <f t="shared" si="20"/>
        <v>1266</v>
      </c>
      <c r="B1285" s="9"/>
      <c r="C1285" s="28"/>
      <c r="D1285" s="23"/>
      <c r="E1285" s="93"/>
      <c r="F1285" s="24"/>
      <c r="G1285" s="130"/>
      <c r="H1285" s="46"/>
      <c r="I1285" s="131"/>
      <c r="J1285" s="126"/>
      <c r="K1285" s="121"/>
      <c r="L1285" s="78"/>
      <c r="M1285" s="72">
        <f ca="1">IF(INDIRECT(ADDRESS(ROW(),3))&lt;&gt;"",getIBANchecksum(INDIRECT(ADDRESS(ROW(),3))),98)</f>
        <v>98</v>
      </c>
    </row>
    <row r="1286" spans="1:13">
      <c r="A1286" s="96">
        <f t="shared" si="20"/>
        <v>1267</v>
      </c>
      <c r="B1286" s="9"/>
      <c r="C1286" s="28"/>
      <c r="D1286" s="23"/>
      <c r="E1286" s="93"/>
      <c r="F1286" s="24"/>
      <c r="G1286" s="130"/>
      <c r="H1286" s="46"/>
      <c r="I1286" s="131"/>
      <c r="J1286" s="126"/>
      <c r="K1286" s="121"/>
      <c r="L1286" s="78"/>
      <c r="M1286" s="72">
        <f ca="1">IF(INDIRECT(ADDRESS(ROW(),3))&lt;&gt;"",getIBANchecksum(INDIRECT(ADDRESS(ROW(),3))),98)</f>
        <v>98</v>
      </c>
    </row>
    <row r="1287" spans="1:13">
      <c r="A1287" s="96">
        <f t="shared" si="20"/>
        <v>1268</v>
      </c>
      <c r="B1287" s="9"/>
      <c r="C1287" s="28"/>
      <c r="D1287" s="23"/>
      <c r="E1287" s="93"/>
      <c r="F1287" s="24"/>
      <c r="G1287" s="130"/>
      <c r="H1287" s="46"/>
      <c r="I1287" s="131"/>
      <c r="J1287" s="126"/>
      <c r="K1287" s="121"/>
      <c r="L1287" s="78"/>
      <c r="M1287" s="72">
        <f ca="1">IF(INDIRECT(ADDRESS(ROW(),3))&lt;&gt;"",getIBANchecksum(INDIRECT(ADDRESS(ROW(),3))),98)</f>
        <v>98</v>
      </c>
    </row>
    <row r="1288" spans="1:13">
      <c r="A1288" s="96">
        <f t="shared" si="20"/>
        <v>1269</v>
      </c>
      <c r="B1288" s="9"/>
      <c r="C1288" s="28"/>
      <c r="D1288" s="23"/>
      <c r="E1288" s="93"/>
      <c r="F1288" s="24"/>
      <c r="G1288" s="130"/>
      <c r="H1288" s="46"/>
      <c r="I1288" s="131"/>
      <c r="J1288" s="126"/>
      <c r="K1288" s="121"/>
      <c r="L1288" s="78"/>
      <c r="M1288" s="72">
        <f ca="1">IF(INDIRECT(ADDRESS(ROW(),3))&lt;&gt;"",getIBANchecksum(INDIRECT(ADDRESS(ROW(),3))),98)</f>
        <v>98</v>
      </c>
    </row>
    <row r="1289" spans="1:13">
      <c r="A1289" s="96">
        <f t="shared" si="20"/>
        <v>1270</v>
      </c>
      <c r="B1289" s="9"/>
      <c r="C1289" s="28"/>
      <c r="D1289" s="23"/>
      <c r="E1289" s="93"/>
      <c r="F1289" s="24"/>
      <c r="G1289" s="130"/>
      <c r="H1289" s="46"/>
      <c r="I1289" s="131"/>
      <c r="J1289" s="126"/>
      <c r="K1289" s="121"/>
      <c r="L1289" s="78"/>
      <c r="M1289" s="72">
        <f ca="1">IF(INDIRECT(ADDRESS(ROW(),3))&lt;&gt;"",getIBANchecksum(INDIRECT(ADDRESS(ROW(),3))),98)</f>
        <v>98</v>
      </c>
    </row>
    <row r="1290" spans="1:13">
      <c r="A1290" s="96">
        <f t="shared" si="20"/>
        <v>1271</v>
      </c>
      <c r="B1290" s="9"/>
      <c r="C1290" s="28"/>
      <c r="D1290" s="23"/>
      <c r="E1290" s="93"/>
      <c r="F1290" s="24"/>
      <c r="G1290" s="130"/>
      <c r="H1290" s="46"/>
      <c r="I1290" s="131"/>
      <c r="J1290" s="126"/>
      <c r="K1290" s="121"/>
      <c r="L1290" s="78"/>
      <c r="M1290" s="72">
        <f ca="1">IF(INDIRECT(ADDRESS(ROW(),3))&lt;&gt;"",getIBANchecksum(INDIRECT(ADDRESS(ROW(),3))),98)</f>
        <v>98</v>
      </c>
    </row>
    <row r="1291" spans="1:13">
      <c r="A1291" s="96">
        <f t="shared" si="20"/>
        <v>1272</v>
      </c>
      <c r="B1291" s="9"/>
      <c r="C1291" s="28"/>
      <c r="D1291" s="23"/>
      <c r="E1291" s="93"/>
      <c r="F1291" s="24"/>
      <c r="G1291" s="130"/>
      <c r="H1291" s="46"/>
      <c r="I1291" s="131"/>
      <c r="J1291" s="126"/>
      <c r="K1291" s="121"/>
      <c r="L1291" s="78"/>
      <c r="M1291" s="72">
        <f ca="1">IF(INDIRECT(ADDRESS(ROW(),3))&lt;&gt;"",getIBANchecksum(INDIRECT(ADDRESS(ROW(),3))),98)</f>
        <v>98</v>
      </c>
    </row>
    <row r="1292" spans="1:13">
      <c r="A1292" s="96">
        <f t="shared" si="20"/>
        <v>1273</v>
      </c>
      <c r="B1292" s="9"/>
      <c r="C1292" s="28"/>
      <c r="D1292" s="23"/>
      <c r="E1292" s="93"/>
      <c r="F1292" s="24"/>
      <c r="G1292" s="130"/>
      <c r="H1292" s="46"/>
      <c r="I1292" s="131"/>
      <c r="J1292" s="126"/>
      <c r="K1292" s="121"/>
      <c r="L1292" s="78"/>
      <c r="M1292" s="72">
        <f ca="1">IF(INDIRECT(ADDRESS(ROW(),3))&lt;&gt;"",getIBANchecksum(INDIRECT(ADDRESS(ROW(),3))),98)</f>
        <v>98</v>
      </c>
    </row>
    <row r="1293" spans="1:13">
      <c r="A1293" s="96">
        <f t="shared" si="20"/>
        <v>1274</v>
      </c>
      <c r="B1293" s="9"/>
      <c r="C1293" s="28"/>
      <c r="D1293" s="23"/>
      <c r="E1293" s="93"/>
      <c r="F1293" s="24"/>
      <c r="G1293" s="130"/>
      <c r="H1293" s="46"/>
      <c r="I1293" s="131"/>
      <c r="J1293" s="126"/>
      <c r="K1293" s="121"/>
      <c r="L1293" s="78"/>
      <c r="M1293" s="72">
        <f ca="1">IF(INDIRECT(ADDRESS(ROW(),3))&lt;&gt;"",getIBANchecksum(INDIRECT(ADDRESS(ROW(),3))),98)</f>
        <v>98</v>
      </c>
    </row>
    <row r="1294" spans="1:13">
      <c r="A1294" s="96">
        <f t="shared" si="20"/>
        <v>1275</v>
      </c>
      <c r="B1294" s="9"/>
      <c r="C1294" s="28"/>
      <c r="D1294" s="23"/>
      <c r="E1294" s="93"/>
      <c r="F1294" s="24"/>
      <c r="G1294" s="130"/>
      <c r="H1294" s="46"/>
      <c r="I1294" s="131"/>
      <c r="J1294" s="126"/>
      <c r="K1294" s="121"/>
      <c r="L1294" s="78"/>
      <c r="M1294" s="72">
        <f ca="1">IF(INDIRECT(ADDRESS(ROW(),3))&lt;&gt;"",getIBANchecksum(INDIRECT(ADDRESS(ROW(),3))),98)</f>
        <v>98</v>
      </c>
    </row>
    <row r="1295" spans="1:13">
      <c r="A1295" s="96">
        <f t="shared" si="20"/>
        <v>1276</v>
      </c>
      <c r="B1295" s="9"/>
      <c r="C1295" s="28"/>
      <c r="D1295" s="23"/>
      <c r="E1295" s="93"/>
      <c r="F1295" s="24"/>
      <c r="G1295" s="130"/>
      <c r="H1295" s="46"/>
      <c r="I1295" s="131"/>
      <c r="J1295" s="126"/>
      <c r="K1295" s="121"/>
      <c r="L1295" s="78"/>
      <c r="M1295" s="72">
        <f ca="1">IF(INDIRECT(ADDRESS(ROW(),3))&lt;&gt;"",getIBANchecksum(INDIRECT(ADDRESS(ROW(),3))),98)</f>
        <v>98</v>
      </c>
    </row>
    <row r="1296" spans="1:13">
      <c r="A1296" s="96">
        <f t="shared" si="20"/>
        <v>1277</v>
      </c>
      <c r="B1296" s="9"/>
      <c r="C1296" s="28"/>
      <c r="D1296" s="23"/>
      <c r="E1296" s="93"/>
      <c r="F1296" s="24"/>
      <c r="G1296" s="130"/>
      <c r="H1296" s="46"/>
      <c r="I1296" s="131"/>
      <c r="J1296" s="126"/>
      <c r="K1296" s="121"/>
      <c r="L1296" s="78"/>
      <c r="M1296" s="72">
        <f ca="1">IF(INDIRECT(ADDRESS(ROW(),3))&lt;&gt;"",getIBANchecksum(INDIRECT(ADDRESS(ROW(),3))),98)</f>
        <v>98</v>
      </c>
    </row>
    <row r="1297" spans="1:13">
      <c r="A1297" s="96">
        <f t="shared" si="20"/>
        <v>1278</v>
      </c>
      <c r="B1297" s="9"/>
      <c r="C1297" s="28"/>
      <c r="D1297" s="23"/>
      <c r="E1297" s="93"/>
      <c r="F1297" s="24"/>
      <c r="G1297" s="130"/>
      <c r="H1297" s="46"/>
      <c r="I1297" s="131"/>
      <c r="J1297" s="126"/>
      <c r="K1297" s="121"/>
      <c r="L1297" s="78"/>
      <c r="M1297" s="72">
        <f ca="1">IF(INDIRECT(ADDRESS(ROW(),3))&lt;&gt;"",getIBANchecksum(INDIRECT(ADDRESS(ROW(),3))),98)</f>
        <v>98</v>
      </c>
    </row>
    <row r="1298" spans="1:13">
      <c r="A1298" s="96">
        <f t="shared" si="20"/>
        <v>1279</v>
      </c>
      <c r="B1298" s="9"/>
      <c r="C1298" s="28"/>
      <c r="D1298" s="23"/>
      <c r="E1298" s="93"/>
      <c r="F1298" s="24"/>
      <c r="G1298" s="130"/>
      <c r="H1298" s="46"/>
      <c r="I1298" s="131"/>
      <c r="J1298" s="126"/>
      <c r="K1298" s="121"/>
      <c r="L1298" s="78"/>
      <c r="M1298" s="72">
        <f ca="1">IF(INDIRECT(ADDRESS(ROW(),3))&lt;&gt;"",getIBANchecksum(INDIRECT(ADDRESS(ROW(),3))),98)</f>
        <v>98</v>
      </c>
    </row>
    <row r="1299" spans="1:13">
      <c r="A1299" s="96">
        <f t="shared" si="20"/>
        <v>1280</v>
      </c>
      <c r="B1299" s="9"/>
      <c r="C1299" s="28"/>
      <c r="D1299" s="23"/>
      <c r="E1299" s="93"/>
      <c r="F1299" s="24"/>
      <c r="G1299" s="130"/>
      <c r="H1299" s="46"/>
      <c r="I1299" s="131"/>
      <c r="J1299" s="126"/>
      <c r="K1299" s="121"/>
      <c r="L1299" s="78"/>
      <c r="M1299" s="72">
        <f ca="1">IF(INDIRECT(ADDRESS(ROW(),3))&lt;&gt;"",getIBANchecksum(INDIRECT(ADDRESS(ROW(),3))),98)</f>
        <v>98</v>
      </c>
    </row>
    <row r="1300" spans="1:13">
      <c r="A1300" s="96">
        <f t="shared" si="20"/>
        <v>1281</v>
      </c>
      <c r="B1300" s="9"/>
      <c r="C1300" s="28"/>
      <c r="D1300" s="23"/>
      <c r="E1300" s="93"/>
      <c r="F1300" s="24"/>
      <c r="G1300" s="130"/>
      <c r="H1300" s="46"/>
      <c r="I1300" s="131"/>
      <c r="J1300" s="126"/>
      <c r="K1300" s="121"/>
      <c r="L1300" s="78"/>
      <c r="M1300" s="72">
        <f ca="1">IF(INDIRECT(ADDRESS(ROW(),3))&lt;&gt;"",getIBANchecksum(INDIRECT(ADDRESS(ROW(),3))),98)</f>
        <v>98</v>
      </c>
    </row>
    <row r="1301" spans="1:13">
      <c r="A1301" s="96">
        <f t="shared" si="20"/>
        <v>1282</v>
      </c>
      <c r="B1301" s="9"/>
      <c r="C1301" s="28"/>
      <c r="D1301" s="23"/>
      <c r="E1301" s="93"/>
      <c r="F1301" s="24"/>
      <c r="G1301" s="130"/>
      <c r="H1301" s="46"/>
      <c r="I1301" s="131"/>
      <c r="J1301" s="126"/>
      <c r="K1301" s="121"/>
      <c r="L1301" s="78"/>
      <c r="M1301" s="72">
        <f ca="1">IF(INDIRECT(ADDRESS(ROW(),3))&lt;&gt;"",getIBANchecksum(INDIRECT(ADDRESS(ROW(),3))),98)</f>
        <v>98</v>
      </c>
    </row>
    <row r="1302" spans="1:13">
      <c r="A1302" s="96">
        <f t="shared" ref="A1302:A1365" si="21">A1301+1</f>
        <v>1283</v>
      </c>
      <c r="B1302" s="9"/>
      <c r="C1302" s="28"/>
      <c r="D1302" s="23"/>
      <c r="E1302" s="93"/>
      <c r="F1302" s="24"/>
      <c r="G1302" s="130"/>
      <c r="H1302" s="46"/>
      <c r="I1302" s="131"/>
      <c r="J1302" s="126"/>
      <c r="K1302" s="121"/>
      <c r="L1302" s="78"/>
      <c r="M1302" s="72">
        <f ca="1">IF(INDIRECT(ADDRESS(ROW(),3))&lt;&gt;"",getIBANchecksum(INDIRECT(ADDRESS(ROW(),3))),98)</f>
        <v>98</v>
      </c>
    </row>
    <row r="1303" spans="1:13">
      <c r="A1303" s="96">
        <f t="shared" si="21"/>
        <v>1284</v>
      </c>
      <c r="B1303" s="9"/>
      <c r="C1303" s="28"/>
      <c r="D1303" s="23"/>
      <c r="E1303" s="93"/>
      <c r="F1303" s="24"/>
      <c r="G1303" s="130"/>
      <c r="H1303" s="46"/>
      <c r="I1303" s="131"/>
      <c r="J1303" s="126"/>
      <c r="K1303" s="121"/>
      <c r="L1303" s="78"/>
      <c r="M1303" s="72">
        <f ca="1">IF(INDIRECT(ADDRESS(ROW(),3))&lt;&gt;"",getIBANchecksum(INDIRECT(ADDRESS(ROW(),3))),98)</f>
        <v>98</v>
      </c>
    </row>
    <row r="1304" spans="1:13">
      <c r="A1304" s="96">
        <f t="shared" si="21"/>
        <v>1285</v>
      </c>
      <c r="B1304" s="9"/>
      <c r="C1304" s="28"/>
      <c r="D1304" s="23"/>
      <c r="E1304" s="93"/>
      <c r="F1304" s="24"/>
      <c r="G1304" s="130"/>
      <c r="H1304" s="46"/>
      <c r="I1304" s="131"/>
      <c r="J1304" s="126"/>
      <c r="K1304" s="121"/>
      <c r="L1304" s="78"/>
      <c r="M1304" s="72">
        <f ca="1">IF(INDIRECT(ADDRESS(ROW(),3))&lt;&gt;"",getIBANchecksum(INDIRECT(ADDRESS(ROW(),3))),98)</f>
        <v>98</v>
      </c>
    </row>
    <row r="1305" spans="1:13">
      <c r="A1305" s="96">
        <f t="shared" si="21"/>
        <v>1286</v>
      </c>
      <c r="B1305" s="9"/>
      <c r="C1305" s="28"/>
      <c r="D1305" s="23"/>
      <c r="E1305" s="93"/>
      <c r="F1305" s="24"/>
      <c r="G1305" s="130"/>
      <c r="H1305" s="46"/>
      <c r="I1305" s="131"/>
      <c r="J1305" s="126"/>
      <c r="K1305" s="121"/>
      <c r="L1305" s="78"/>
      <c r="M1305" s="72">
        <f ca="1">IF(INDIRECT(ADDRESS(ROW(),3))&lt;&gt;"",getIBANchecksum(INDIRECT(ADDRESS(ROW(),3))),98)</f>
        <v>98</v>
      </c>
    </row>
    <row r="1306" spans="1:13">
      <c r="A1306" s="96">
        <f t="shared" si="21"/>
        <v>1287</v>
      </c>
      <c r="B1306" s="9"/>
      <c r="C1306" s="28"/>
      <c r="D1306" s="23"/>
      <c r="E1306" s="93"/>
      <c r="F1306" s="24"/>
      <c r="G1306" s="130"/>
      <c r="H1306" s="46"/>
      <c r="I1306" s="131"/>
      <c r="J1306" s="126"/>
      <c r="K1306" s="121"/>
      <c r="L1306" s="78"/>
      <c r="M1306" s="72">
        <f ca="1">IF(INDIRECT(ADDRESS(ROW(),3))&lt;&gt;"",getIBANchecksum(INDIRECT(ADDRESS(ROW(),3))),98)</f>
        <v>98</v>
      </c>
    </row>
    <row r="1307" spans="1:13">
      <c r="A1307" s="96">
        <f t="shared" si="21"/>
        <v>1288</v>
      </c>
      <c r="B1307" s="9"/>
      <c r="C1307" s="28"/>
      <c r="D1307" s="23"/>
      <c r="E1307" s="93"/>
      <c r="F1307" s="24"/>
      <c r="G1307" s="130"/>
      <c r="H1307" s="46"/>
      <c r="I1307" s="131"/>
      <c r="J1307" s="126"/>
      <c r="K1307" s="121"/>
      <c r="L1307" s="78"/>
      <c r="M1307" s="72">
        <f ca="1">IF(INDIRECT(ADDRESS(ROW(),3))&lt;&gt;"",getIBANchecksum(INDIRECT(ADDRESS(ROW(),3))),98)</f>
        <v>98</v>
      </c>
    </row>
    <row r="1308" spans="1:13">
      <c r="A1308" s="96">
        <f t="shared" si="21"/>
        <v>1289</v>
      </c>
      <c r="B1308" s="9"/>
      <c r="C1308" s="28"/>
      <c r="D1308" s="23"/>
      <c r="E1308" s="93"/>
      <c r="F1308" s="24"/>
      <c r="G1308" s="130"/>
      <c r="H1308" s="46"/>
      <c r="I1308" s="131"/>
      <c r="J1308" s="126"/>
      <c r="K1308" s="121"/>
      <c r="L1308" s="78"/>
      <c r="M1308" s="72">
        <f ca="1">IF(INDIRECT(ADDRESS(ROW(),3))&lt;&gt;"",getIBANchecksum(INDIRECT(ADDRESS(ROW(),3))),98)</f>
        <v>98</v>
      </c>
    </row>
    <row r="1309" spans="1:13">
      <c r="A1309" s="96">
        <f t="shared" si="21"/>
        <v>1290</v>
      </c>
      <c r="B1309" s="9"/>
      <c r="C1309" s="28"/>
      <c r="D1309" s="23"/>
      <c r="E1309" s="93"/>
      <c r="F1309" s="24"/>
      <c r="G1309" s="130"/>
      <c r="H1309" s="46"/>
      <c r="I1309" s="131"/>
      <c r="J1309" s="126"/>
      <c r="K1309" s="121"/>
      <c r="L1309" s="78"/>
      <c r="M1309" s="72">
        <f ca="1">IF(INDIRECT(ADDRESS(ROW(),3))&lt;&gt;"",getIBANchecksum(INDIRECT(ADDRESS(ROW(),3))),98)</f>
        <v>98</v>
      </c>
    </row>
    <row r="1310" spans="1:13">
      <c r="A1310" s="96">
        <f t="shared" si="21"/>
        <v>1291</v>
      </c>
      <c r="B1310" s="9"/>
      <c r="C1310" s="28"/>
      <c r="D1310" s="23"/>
      <c r="E1310" s="93"/>
      <c r="F1310" s="24"/>
      <c r="G1310" s="130"/>
      <c r="H1310" s="46"/>
      <c r="I1310" s="131"/>
      <c r="J1310" s="126"/>
      <c r="K1310" s="121"/>
      <c r="L1310" s="78"/>
      <c r="M1310" s="72">
        <f ca="1">IF(INDIRECT(ADDRESS(ROW(),3))&lt;&gt;"",getIBANchecksum(INDIRECT(ADDRESS(ROW(),3))),98)</f>
        <v>98</v>
      </c>
    </row>
    <row r="1311" spans="1:13">
      <c r="A1311" s="96">
        <f t="shared" si="21"/>
        <v>1292</v>
      </c>
      <c r="B1311" s="9"/>
      <c r="C1311" s="28"/>
      <c r="D1311" s="23"/>
      <c r="E1311" s="93"/>
      <c r="F1311" s="24"/>
      <c r="G1311" s="130"/>
      <c r="H1311" s="46"/>
      <c r="I1311" s="131"/>
      <c r="J1311" s="126"/>
      <c r="K1311" s="121"/>
      <c r="L1311" s="78"/>
      <c r="M1311" s="72">
        <f ca="1">IF(INDIRECT(ADDRESS(ROW(),3))&lt;&gt;"",getIBANchecksum(INDIRECT(ADDRESS(ROW(),3))),98)</f>
        <v>98</v>
      </c>
    </row>
    <row r="1312" spans="1:13">
      <c r="A1312" s="96">
        <f t="shared" si="21"/>
        <v>1293</v>
      </c>
      <c r="B1312" s="9"/>
      <c r="C1312" s="28"/>
      <c r="D1312" s="23"/>
      <c r="E1312" s="93"/>
      <c r="F1312" s="24"/>
      <c r="G1312" s="130"/>
      <c r="H1312" s="46"/>
      <c r="I1312" s="131"/>
      <c r="J1312" s="126"/>
      <c r="K1312" s="121"/>
      <c r="L1312" s="78"/>
      <c r="M1312" s="72">
        <f ca="1">IF(INDIRECT(ADDRESS(ROW(),3))&lt;&gt;"",getIBANchecksum(INDIRECT(ADDRESS(ROW(),3))),98)</f>
        <v>98</v>
      </c>
    </row>
    <row r="1313" spans="1:13">
      <c r="A1313" s="96">
        <f t="shared" si="21"/>
        <v>1294</v>
      </c>
      <c r="B1313" s="9"/>
      <c r="C1313" s="28"/>
      <c r="D1313" s="23"/>
      <c r="E1313" s="93"/>
      <c r="F1313" s="24"/>
      <c r="G1313" s="130"/>
      <c r="H1313" s="46"/>
      <c r="I1313" s="131"/>
      <c r="J1313" s="126"/>
      <c r="K1313" s="121"/>
      <c r="L1313" s="78"/>
      <c r="M1313" s="72">
        <f ca="1">IF(INDIRECT(ADDRESS(ROW(),3))&lt;&gt;"",getIBANchecksum(INDIRECT(ADDRESS(ROW(),3))),98)</f>
        <v>98</v>
      </c>
    </row>
    <row r="1314" spans="1:13">
      <c r="A1314" s="96">
        <f t="shared" si="21"/>
        <v>1295</v>
      </c>
      <c r="B1314" s="9"/>
      <c r="C1314" s="28"/>
      <c r="D1314" s="23"/>
      <c r="E1314" s="93"/>
      <c r="F1314" s="24"/>
      <c r="G1314" s="130"/>
      <c r="H1314" s="46"/>
      <c r="I1314" s="131"/>
      <c r="J1314" s="126"/>
      <c r="K1314" s="121"/>
      <c r="L1314" s="78"/>
      <c r="M1314" s="72">
        <f ca="1">IF(INDIRECT(ADDRESS(ROW(),3))&lt;&gt;"",getIBANchecksum(INDIRECT(ADDRESS(ROW(),3))),98)</f>
        <v>98</v>
      </c>
    </row>
    <row r="1315" spans="1:13">
      <c r="A1315" s="96">
        <f t="shared" si="21"/>
        <v>1296</v>
      </c>
      <c r="B1315" s="9"/>
      <c r="C1315" s="28"/>
      <c r="D1315" s="23"/>
      <c r="E1315" s="93"/>
      <c r="F1315" s="24"/>
      <c r="G1315" s="130"/>
      <c r="H1315" s="46"/>
      <c r="I1315" s="131"/>
      <c r="J1315" s="126"/>
      <c r="K1315" s="121"/>
      <c r="L1315" s="78"/>
      <c r="M1315" s="72">
        <f ca="1">IF(INDIRECT(ADDRESS(ROW(),3))&lt;&gt;"",getIBANchecksum(INDIRECT(ADDRESS(ROW(),3))),98)</f>
        <v>98</v>
      </c>
    </row>
    <row r="1316" spans="1:13">
      <c r="A1316" s="96">
        <f t="shared" si="21"/>
        <v>1297</v>
      </c>
      <c r="B1316" s="9"/>
      <c r="C1316" s="28"/>
      <c r="D1316" s="23"/>
      <c r="E1316" s="93"/>
      <c r="F1316" s="24"/>
      <c r="G1316" s="130"/>
      <c r="H1316" s="46"/>
      <c r="I1316" s="131"/>
      <c r="J1316" s="126"/>
      <c r="K1316" s="121"/>
      <c r="L1316" s="78"/>
      <c r="M1316" s="72">
        <f ca="1">IF(INDIRECT(ADDRESS(ROW(),3))&lt;&gt;"",getIBANchecksum(INDIRECT(ADDRESS(ROW(),3))),98)</f>
        <v>98</v>
      </c>
    </row>
    <row r="1317" spans="1:13">
      <c r="A1317" s="96">
        <f t="shared" si="21"/>
        <v>1298</v>
      </c>
      <c r="B1317" s="9"/>
      <c r="C1317" s="28"/>
      <c r="D1317" s="23"/>
      <c r="E1317" s="93"/>
      <c r="F1317" s="24"/>
      <c r="G1317" s="130"/>
      <c r="H1317" s="46"/>
      <c r="I1317" s="131"/>
      <c r="J1317" s="126"/>
      <c r="K1317" s="121"/>
      <c r="L1317" s="78"/>
      <c r="M1317" s="72">
        <f ca="1">IF(INDIRECT(ADDRESS(ROW(),3))&lt;&gt;"",getIBANchecksum(INDIRECT(ADDRESS(ROW(),3))),98)</f>
        <v>98</v>
      </c>
    </row>
    <row r="1318" spans="1:13">
      <c r="A1318" s="96">
        <f t="shared" si="21"/>
        <v>1299</v>
      </c>
      <c r="B1318" s="9"/>
      <c r="C1318" s="28"/>
      <c r="D1318" s="23"/>
      <c r="E1318" s="93"/>
      <c r="F1318" s="24"/>
      <c r="G1318" s="130"/>
      <c r="H1318" s="46"/>
      <c r="I1318" s="131"/>
      <c r="J1318" s="126"/>
      <c r="K1318" s="121"/>
      <c r="L1318" s="78"/>
      <c r="M1318" s="72">
        <f ca="1">IF(INDIRECT(ADDRESS(ROW(),3))&lt;&gt;"",getIBANchecksum(INDIRECT(ADDRESS(ROW(),3))),98)</f>
        <v>98</v>
      </c>
    </row>
    <row r="1319" spans="1:13">
      <c r="A1319" s="96">
        <f t="shared" si="21"/>
        <v>1300</v>
      </c>
      <c r="B1319" s="9"/>
      <c r="C1319" s="28"/>
      <c r="D1319" s="23"/>
      <c r="E1319" s="93"/>
      <c r="F1319" s="24"/>
      <c r="G1319" s="130"/>
      <c r="H1319" s="46"/>
      <c r="I1319" s="131"/>
      <c r="J1319" s="126"/>
      <c r="K1319" s="121"/>
      <c r="L1319" s="78"/>
      <c r="M1319" s="72">
        <f ca="1">IF(INDIRECT(ADDRESS(ROW(),3))&lt;&gt;"",getIBANchecksum(INDIRECT(ADDRESS(ROW(),3))),98)</f>
        <v>98</v>
      </c>
    </row>
    <row r="1320" spans="1:13">
      <c r="A1320" s="96">
        <f t="shared" si="21"/>
        <v>1301</v>
      </c>
      <c r="B1320" s="9"/>
      <c r="C1320" s="28"/>
      <c r="D1320" s="23"/>
      <c r="E1320" s="93"/>
      <c r="F1320" s="24"/>
      <c r="G1320" s="130"/>
      <c r="H1320" s="46"/>
      <c r="I1320" s="131"/>
      <c r="J1320" s="126"/>
      <c r="K1320" s="121"/>
      <c r="L1320" s="78"/>
      <c r="M1320" s="72">
        <f ca="1">IF(INDIRECT(ADDRESS(ROW(),3))&lt;&gt;"",getIBANchecksum(INDIRECT(ADDRESS(ROW(),3))),98)</f>
        <v>98</v>
      </c>
    </row>
    <row r="1321" spans="1:13">
      <c r="A1321" s="96">
        <f t="shared" si="21"/>
        <v>1302</v>
      </c>
      <c r="B1321" s="9"/>
      <c r="C1321" s="28"/>
      <c r="D1321" s="23"/>
      <c r="E1321" s="93"/>
      <c r="F1321" s="24"/>
      <c r="G1321" s="130"/>
      <c r="H1321" s="46"/>
      <c r="I1321" s="131"/>
      <c r="J1321" s="126"/>
      <c r="K1321" s="121"/>
      <c r="L1321" s="78"/>
      <c r="M1321" s="72">
        <f ca="1">IF(INDIRECT(ADDRESS(ROW(),3))&lt;&gt;"",getIBANchecksum(INDIRECT(ADDRESS(ROW(),3))),98)</f>
        <v>98</v>
      </c>
    </row>
    <row r="1322" spans="1:13">
      <c r="A1322" s="96">
        <f t="shared" si="21"/>
        <v>1303</v>
      </c>
      <c r="B1322" s="9"/>
      <c r="C1322" s="28"/>
      <c r="D1322" s="23"/>
      <c r="E1322" s="93"/>
      <c r="F1322" s="24"/>
      <c r="G1322" s="130"/>
      <c r="H1322" s="46"/>
      <c r="I1322" s="131"/>
      <c r="J1322" s="126"/>
      <c r="K1322" s="121"/>
      <c r="L1322" s="78"/>
      <c r="M1322" s="72">
        <f ca="1">IF(INDIRECT(ADDRESS(ROW(),3))&lt;&gt;"",getIBANchecksum(INDIRECT(ADDRESS(ROW(),3))),98)</f>
        <v>98</v>
      </c>
    </row>
    <row r="1323" spans="1:13">
      <c r="A1323" s="96">
        <f t="shared" si="21"/>
        <v>1304</v>
      </c>
      <c r="B1323" s="9"/>
      <c r="C1323" s="28"/>
      <c r="D1323" s="23"/>
      <c r="E1323" s="93"/>
      <c r="F1323" s="24"/>
      <c r="G1323" s="130"/>
      <c r="H1323" s="46"/>
      <c r="I1323" s="131"/>
      <c r="J1323" s="126"/>
      <c r="K1323" s="121"/>
      <c r="L1323" s="78"/>
      <c r="M1323" s="72">
        <f ca="1">IF(INDIRECT(ADDRESS(ROW(),3))&lt;&gt;"",getIBANchecksum(INDIRECT(ADDRESS(ROW(),3))),98)</f>
        <v>98</v>
      </c>
    </row>
    <row r="1324" spans="1:13">
      <c r="A1324" s="96">
        <f t="shared" si="21"/>
        <v>1305</v>
      </c>
      <c r="B1324" s="9"/>
      <c r="C1324" s="28"/>
      <c r="D1324" s="23"/>
      <c r="E1324" s="93"/>
      <c r="F1324" s="24"/>
      <c r="G1324" s="130"/>
      <c r="H1324" s="46"/>
      <c r="I1324" s="131"/>
      <c r="J1324" s="126"/>
      <c r="K1324" s="121"/>
      <c r="L1324" s="78"/>
      <c r="M1324" s="72">
        <f ca="1">IF(INDIRECT(ADDRESS(ROW(),3))&lt;&gt;"",getIBANchecksum(INDIRECT(ADDRESS(ROW(),3))),98)</f>
        <v>98</v>
      </c>
    </row>
    <row r="1325" spans="1:13">
      <c r="A1325" s="96">
        <f t="shared" si="21"/>
        <v>1306</v>
      </c>
      <c r="B1325" s="9"/>
      <c r="C1325" s="28"/>
      <c r="D1325" s="23"/>
      <c r="E1325" s="93"/>
      <c r="F1325" s="24"/>
      <c r="G1325" s="130"/>
      <c r="H1325" s="46"/>
      <c r="I1325" s="131"/>
      <c r="J1325" s="126"/>
      <c r="K1325" s="121"/>
      <c r="L1325" s="78"/>
      <c r="M1325" s="72">
        <f ca="1">IF(INDIRECT(ADDRESS(ROW(),3))&lt;&gt;"",getIBANchecksum(INDIRECT(ADDRESS(ROW(),3))),98)</f>
        <v>98</v>
      </c>
    </row>
    <row r="1326" spans="1:13">
      <c r="A1326" s="96">
        <f t="shared" si="21"/>
        <v>1307</v>
      </c>
      <c r="B1326" s="9"/>
      <c r="C1326" s="28"/>
      <c r="D1326" s="23"/>
      <c r="E1326" s="93"/>
      <c r="F1326" s="24"/>
      <c r="G1326" s="130"/>
      <c r="H1326" s="46"/>
      <c r="I1326" s="131"/>
      <c r="J1326" s="126"/>
      <c r="K1326" s="121"/>
      <c r="L1326" s="78"/>
      <c r="M1326" s="72">
        <f ca="1">IF(INDIRECT(ADDRESS(ROW(),3))&lt;&gt;"",getIBANchecksum(INDIRECT(ADDRESS(ROW(),3))),98)</f>
        <v>98</v>
      </c>
    </row>
    <row r="1327" spans="1:13">
      <c r="A1327" s="96">
        <f t="shared" si="21"/>
        <v>1308</v>
      </c>
      <c r="B1327" s="9"/>
      <c r="C1327" s="28"/>
      <c r="D1327" s="23"/>
      <c r="E1327" s="93"/>
      <c r="F1327" s="24"/>
      <c r="G1327" s="130"/>
      <c r="H1327" s="46"/>
      <c r="I1327" s="131"/>
      <c r="J1327" s="126"/>
      <c r="K1327" s="121"/>
      <c r="L1327" s="78"/>
      <c r="M1327" s="72">
        <f ca="1">IF(INDIRECT(ADDRESS(ROW(),3))&lt;&gt;"",getIBANchecksum(INDIRECT(ADDRESS(ROW(),3))),98)</f>
        <v>98</v>
      </c>
    </row>
    <row r="1328" spans="1:13">
      <c r="A1328" s="96">
        <f t="shared" si="21"/>
        <v>1309</v>
      </c>
      <c r="B1328" s="9"/>
      <c r="C1328" s="28"/>
      <c r="D1328" s="23"/>
      <c r="E1328" s="93"/>
      <c r="F1328" s="24"/>
      <c r="G1328" s="130"/>
      <c r="H1328" s="46"/>
      <c r="I1328" s="131"/>
      <c r="J1328" s="126"/>
      <c r="K1328" s="121"/>
      <c r="L1328" s="78"/>
      <c r="M1328" s="72">
        <f ca="1">IF(INDIRECT(ADDRESS(ROW(),3))&lt;&gt;"",getIBANchecksum(INDIRECT(ADDRESS(ROW(),3))),98)</f>
        <v>98</v>
      </c>
    </row>
    <row r="1329" spans="1:13">
      <c r="A1329" s="96">
        <f t="shared" si="21"/>
        <v>1310</v>
      </c>
      <c r="B1329" s="9"/>
      <c r="C1329" s="28"/>
      <c r="D1329" s="23"/>
      <c r="E1329" s="93"/>
      <c r="F1329" s="24"/>
      <c r="G1329" s="130"/>
      <c r="H1329" s="46"/>
      <c r="I1329" s="131"/>
      <c r="J1329" s="126"/>
      <c r="K1329" s="121"/>
      <c r="L1329" s="78"/>
      <c r="M1329" s="72">
        <f ca="1">IF(INDIRECT(ADDRESS(ROW(),3))&lt;&gt;"",getIBANchecksum(INDIRECT(ADDRESS(ROW(),3))),98)</f>
        <v>98</v>
      </c>
    </row>
    <row r="1330" spans="1:13">
      <c r="A1330" s="96">
        <f t="shared" si="21"/>
        <v>1311</v>
      </c>
      <c r="B1330" s="9"/>
      <c r="C1330" s="28"/>
      <c r="D1330" s="23"/>
      <c r="E1330" s="93"/>
      <c r="F1330" s="24"/>
      <c r="G1330" s="130"/>
      <c r="H1330" s="46"/>
      <c r="I1330" s="131"/>
      <c r="J1330" s="126"/>
      <c r="K1330" s="121"/>
      <c r="L1330" s="78"/>
      <c r="M1330" s="72">
        <f ca="1">IF(INDIRECT(ADDRESS(ROW(),3))&lt;&gt;"",getIBANchecksum(INDIRECT(ADDRESS(ROW(),3))),98)</f>
        <v>98</v>
      </c>
    </row>
    <row r="1331" spans="1:13">
      <c r="A1331" s="96">
        <f t="shared" si="21"/>
        <v>1312</v>
      </c>
      <c r="B1331" s="9"/>
      <c r="C1331" s="28"/>
      <c r="D1331" s="23"/>
      <c r="E1331" s="93"/>
      <c r="F1331" s="24"/>
      <c r="G1331" s="130"/>
      <c r="H1331" s="46"/>
      <c r="I1331" s="131"/>
      <c r="J1331" s="126"/>
      <c r="K1331" s="121"/>
      <c r="L1331" s="78"/>
      <c r="M1331" s="72">
        <f ca="1">IF(INDIRECT(ADDRESS(ROW(),3))&lt;&gt;"",getIBANchecksum(INDIRECT(ADDRESS(ROW(),3))),98)</f>
        <v>98</v>
      </c>
    </row>
    <row r="1332" spans="1:13">
      <c r="A1332" s="96">
        <f t="shared" si="21"/>
        <v>1313</v>
      </c>
      <c r="B1332" s="9"/>
      <c r="C1332" s="28"/>
      <c r="D1332" s="23"/>
      <c r="E1332" s="93"/>
      <c r="F1332" s="24"/>
      <c r="G1332" s="130"/>
      <c r="H1332" s="46"/>
      <c r="I1332" s="131"/>
      <c r="J1332" s="126"/>
      <c r="K1332" s="121"/>
      <c r="L1332" s="78"/>
      <c r="M1332" s="72">
        <f ca="1">IF(INDIRECT(ADDRESS(ROW(),3))&lt;&gt;"",getIBANchecksum(INDIRECT(ADDRESS(ROW(),3))),98)</f>
        <v>98</v>
      </c>
    </row>
    <row r="1333" spans="1:13">
      <c r="A1333" s="96">
        <f t="shared" si="21"/>
        <v>1314</v>
      </c>
      <c r="B1333" s="9"/>
      <c r="C1333" s="28"/>
      <c r="D1333" s="23"/>
      <c r="E1333" s="93"/>
      <c r="F1333" s="24"/>
      <c r="G1333" s="130"/>
      <c r="H1333" s="46"/>
      <c r="I1333" s="131"/>
      <c r="J1333" s="126"/>
      <c r="K1333" s="121"/>
      <c r="L1333" s="78"/>
      <c r="M1333" s="72">
        <f ca="1">IF(INDIRECT(ADDRESS(ROW(),3))&lt;&gt;"",getIBANchecksum(INDIRECT(ADDRESS(ROW(),3))),98)</f>
        <v>98</v>
      </c>
    </row>
    <row r="1334" spans="1:13">
      <c r="A1334" s="96">
        <f t="shared" si="21"/>
        <v>1315</v>
      </c>
      <c r="B1334" s="9"/>
      <c r="C1334" s="28"/>
      <c r="D1334" s="23"/>
      <c r="E1334" s="93"/>
      <c r="F1334" s="24"/>
      <c r="G1334" s="130"/>
      <c r="H1334" s="46"/>
      <c r="I1334" s="131"/>
      <c r="J1334" s="126"/>
      <c r="K1334" s="121"/>
      <c r="L1334" s="78"/>
      <c r="M1334" s="72">
        <f ca="1">IF(INDIRECT(ADDRESS(ROW(),3))&lt;&gt;"",getIBANchecksum(INDIRECT(ADDRESS(ROW(),3))),98)</f>
        <v>98</v>
      </c>
    </row>
    <row r="1335" spans="1:13">
      <c r="A1335" s="96">
        <f t="shared" si="21"/>
        <v>1316</v>
      </c>
      <c r="B1335" s="9"/>
      <c r="C1335" s="28"/>
      <c r="D1335" s="23"/>
      <c r="E1335" s="93"/>
      <c r="F1335" s="24"/>
      <c r="G1335" s="130"/>
      <c r="H1335" s="46"/>
      <c r="I1335" s="131"/>
      <c r="J1335" s="126"/>
      <c r="K1335" s="121"/>
      <c r="L1335" s="78"/>
      <c r="M1335" s="72">
        <f ca="1">IF(INDIRECT(ADDRESS(ROW(),3))&lt;&gt;"",getIBANchecksum(INDIRECT(ADDRESS(ROW(),3))),98)</f>
        <v>98</v>
      </c>
    </row>
    <row r="1336" spans="1:13">
      <c r="A1336" s="96">
        <f t="shared" si="21"/>
        <v>1317</v>
      </c>
      <c r="B1336" s="9"/>
      <c r="C1336" s="28"/>
      <c r="D1336" s="23"/>
      <c r="E1336" s="93"/>
      <c r="F1336" s="24"/>
      <c r="G1336" s="130"/>
      <c r="H1336" s="46"/>
      <c r="I1336" s="131"/>
      <c r="J1336" s="126"/>
      <c r="K1336" s="121"/>
      <c r="L1336" s="78"/>
      <c r="M1336" s="72">
        <f ca="1">IF(INDIRECT(ADDRESS(ROW(),3))&lt;&gt;"",getIBANchecksum(INDIRECT(ADDRESS(ROW(),3))),98)</f>
        <v>98</v>
      </c>
    </row>
    <row r="1337" spans="1:13">
      <c r="A1337" s="96">
        <f t="shared" si="21"/>
        <v>1318</v>
      </c>
      <c r="B1337" s="9"/>
      <c r="C1337" s="28"/>
      <c r="D1337" s="23"/>
      <c r="E1337" s="93"/>
      <c r="F1337" s="24"/>
      <c r="G1337" s="130"/>
      <c r="H1337" s="46"/>
      <c r="I1337" s="131"/>
      <c r="J1337" s="126"/>
      <c r="K1337" s="121"/>
      <c r="L1337" s="78"/>
      <c r="M1337" s="72">
        <f ca="1">IF(INDIRECT(ADDRESS(ROW(),3))&lt;&gt;"",getIBANchecksum(INDIRECT(ADDRESS(ROW(),3))),98)</f>
        <v>98</v>
      </c>
    </row>
    <row r="1338" spans="1:13">
      <c r="A1338" s="96">
        <f t="shared" si="21"/>
        <v>1319</v>
      </c>
      <c r="B1338" s="9"/>
      <c r="C1338" s="28"/>
      <c r="D1338" s="23"/>
      <c r="E1338" s="93"/>
      <c r="F1338" s="24"/>
      <c r="G1338" s="130"/>
      <c r="H1338" s="46"/>
      <c r="I1338" s="131"/>
      <c r="J1338" s="126"/>
      <c r="K1338" s="121"/>
      <c r="L1338" s="78"/>
      <c r="M1338" s="72">
        <f ca="1">IF(INDIRECT(ADDRESS(ROW(),3))&lt;&gt;"",getIBANchecksum(INDIRECT(ADDRESS(ROW(),3))),98)</f>
        <v>98</v>
      </c>
    </row>
    <row r="1339" spans="1:13">
      <c r="A1339" s="96">
        <f t="shared" si="21"/>
        <v>1320</v>
      </c>
      <c r="B1339" s="9"/>
      <c r="C1339" s="28"/>
      <c r="D1339" s="23"/>
      <c r="E1339" s="93"/>
      <c r="F1339" s="24"/>
      <c r="G1339" s="130"/>
      <c r="H1339" s="46"/>
      <c r="I1339" s="131"/>
      <c r="J1339" s="126"/>
      <c r="K1339" s="121"/>
      <c r="L1339" s="78"/>
      <c r="M1339" s="72">
        <f ca="1">IF(INDIRECT(ADDRESS(ROW(),3))&lt;&gt;"",getIBANchecksum(INDIRECT(ADDRESS(ROW(),3))),98)</f>
        <v>98</v>
      </c>
    </row>
    <row r="1340" spans="1:13">
      <c r="A1340" s="96">
        <f t="shared" si="21"/>
        <v>1321</v>
      </c>
      <c r="B1340" s="9"/>
      <c r="C1340" s="28"/>
      <c r="D1340" s="23"/>
      <c r="E1340" s="93"/>
      <c r="F1340" s="24"/>
      <c r="G1340" s="130"/>
      <c r="H1340" s="46"/>
      <c r="I1340" s="131"/>
      <c r="J1340" s="126"/>
      <c r="K1340" s="121"/>
      <c r="L1340" s="78"/>
      <c r="M1340" s="72">
        <f ca="1">IF(INDIRECT(ADDRESS(ROW(),3))&lt;&gt;"",getIBANchecksum(INDIRECT(ADDRESS(ROW(),3))),98)</f>
        <v>98</v>
      </c>
    </row>
    <row r="1341" spans="1:13">
      <c r="A1341" s="96">
        <f t="shared" si="21"/>
        <v>1322</v>
      </c>
      <c r="B1341" s="9"/>
      <c r="C1341" s="28"/>
      <c r="D1341" s="23"/>
      <c r="E1341" s="93"/>
      <c r="F1341" s="24"/>
      <c r="G1341" s="130"/>
      <c r="H1341" s="46"/>
      <c r="I1341" s="131"/>
      <c r="J1341" s="126"/>
      <c r="K1341" s="121"/>
      <c r="L1341" s="78"/>
      <c r="M1341" s="72">
        <f ca="1">IF(INDIRECT(ADDRESS(ROW(),3))&lt;&gt;"",getIBANchecksum(INDIRECT(ADDRESS(ROW(),3))),98)</f>
        <v>98</v>
      </c>
    </row>
    <row r="1342" spans="1:13">
      <c r="A1342" s="96">
        <f t="shared" si="21"/>
        <v>1323</v>
      </c>
      <c r="B1342" s="9"/>
      <c r="C1342" s="28"/>
      <c r="D1342" s="23"/>
      <c r="E1342" s="93"/>
      <c r="F1342" s="24"/>
      <c r="G1342" s="130"/>
      <c r="H1342" s="46"/>
      <c r="I1342" s="131"/>
      <c r="J1342" s="126"/>
      <c r="K1342" s="121"/>
      <c r="L1342" s="78"/>
      <c r="M1342" s="72">
        <f ca="1">IF(INDIRECT(ADDRESS(ROW(),3))&lt;&gt;"",getIBANchecksum(INDIRECT(ADDRESS(ROW(),3))),98)</f>
        <v>98</v>
      </c>
    </row>
    <row r="1343" spans="1:13">
      <c r="A1343" s="96">
        <f t="shared" si="21"/>
        <v>1324</v>
      </c>
      <c r="B1343" s="9"/>
      <c r="C1343" s="28"/>
      <c r="D1343" s="23"/>
      <c r="E1343" s="93"/>
      <c r="F1343" s="24"/>
      <c r="G1343" s="130"/>
      <c r="H1343" s="46"/>
      <c r="I1343" s="131"/>
      <c r="J1343" s="126"/>
      <c r="K1343" s="121"/>
      <c r="L1343" s="78"/>
      <c r="M1343" s="72">
        <f ca="1">IF(INDIRECT(ADDRESS(ROW(),3))&lt;&gt;"",getIBANchecksum(INDIRECT(ADDRESS(ROW(),3))),98)</f>
        <v>98</v>
      </c>
    </row>
    <row r="1344" spans="1:13">
      <c r="A1344" s="96">
        <f t="shared" si="21"/>
        <v>1325</v>
      </c>
      <c r="B1344" s="9"/>
      <c r="C1344" s="28"/>
      <c r="D1344" s="23"/>
      <c r="E1344" s="93"/>
      <c r="F1344" s="24"/>
      <c r="G1344" s="130"/>
      <c r="H1344" s="46"/>
      <c r="I1344" s="131"/>
      <c r="J1344" s="126"/>
      <c r="K1344" s="121"/>
      <c r="L1344" s="78"/>
      <c r="M1344" s="72">
        <f ca="1">IF(INDIRECT(ADDRESS(ROW(),3))&lt;&gt;"",getIBANchecksum(INDIRECT(ADDRESS(ROW(),3))),98)</f>
        <v>98</v>
      </c>
    </row>
    <row r="1345" spans="1:13">
      <c r="A1345" s="96">
        <f t="shared" si="21"/>
        <v>1326</v>
      </c>
      <c r="B1345" s="9"/>
      <c r="C1345" s="28"/>
      <c r="D1345" s="23"/>
      <c r="E1345" s="93"/>
      <c r="F1345" s="24"/>
      <c r="G1345" s="130"/>
      <c r="H1345" s="46"/>
      <c r="I1345" s="131"/>
      <c r="J1345" s="126"/>
      <c r="K1345" s="121"/>
      <c r="L1345" s="78"/>
      <c r="M1345" s="72">
        <f ca="1">IF(INDIRECT(ADDRESS(ROW(),3))&lt;&gt;"",getIBANchecksum(INDIRECT(ADDRESS(ROW(),3))),98)</f>
        <v>98</v>
      </c>
    </row>
    <row r="1346" spans="1:13">
      <c r="A1346" s="96">
        <f t="shared" si="21"/>
        <v>1327</v>
      </c>
      <c r="B1346" s="9"/>
      <c r="C1346" s="28"/>
      <c r="D1346" s="23"/>
      <c r="E1346" s="93"/>
      <c r="F1346" s="24"/>
      <c r="G1346" s="130"/>
      <c r="H1346" s="46"/>
      <c r="I1346" s="131"/>
      <c r="J1346" s="126"/>
      <c r="K1346" s="121"/>
      <c r="L1346" s="78"/>
      <c r="M1346" s="72">
        <f ca="1">IF(INDIRECT(ADDRESS(ROW(),3))&lt;&gt;"",getIBANchecksum(INDIRECT(ADDRESS(ROW(),3))),98)</f>
        <v>98</v>
      </c>
    </row>
    <row r="1347" spans="1:13">
      <c r="A1347" s="96">
        <f t="shared" si="21"/>
        <v>1328</v>
      </c>
      <c r="B1347" s="9"/>
      <c r="C1347" s="28"/>
      <c r="D1347" s="23"/>
      <c r="E1347" s="93"/>
      <c r="F1347" s="24"/>
      <c r="G1347" s="130"/>
      <c r="H1347" s="46"/>
      <c r="I1347" s="131"/>
      <c r="J1347" s="126"/>
      <c r="K1347" s="121"/>
      <c r="L1347" s="78"/>
      <c r="M1347" s="72">
        <f ca="1">IF(INDIRECT(ADDRESS(ROW(),3))&lt;&gt;"",getIBANchecksum(INDIRECT(ADDRESS(ROW(),3))),98)</f>
        <v>98</v>
      </c>
    </row>
    <row r="1348" spans="1:13">
      <c r="A1348" s="96">
        <f t="shared" si="21"/>
        <v>1329</v>
      </c>
      <c r="B1348" s="9"/>
      <c r="C1348" s="28"/>
      <c r="D1348" s="23"/>
      <c r="E1348" s="93"/>
      <c r="F1348" s="24"/>
      <c r="G1348" s="130"/>
      <c r="H1348" s="46"/>
      <c r="I1348" s="131"/>
      <c r="J1348" s="126"/>
      <c r="K1348" s="121"/>
      <c r="L1348" s="78"/>
      <c r="M1348" s="72">
        <f ca="1">IF(INDIRECT(ADDRESS(ROW(),3))&lt;&gt;"",getIBANchecksum(INDIRECT(ADDRESS(ROW(),3))),98)</f>
        <v>98</v>
      </c>
    </row>
    <row r="1349" spans="1:13">
      <c r="A1349" s="96">
        <f t="shared" si="21"/>
        <v>1330</v>
      </c>
      <c r="B1349" s="9"/>
      <c r="C1349" s="28"/>
      <c r="D1349" s="23"/>
      <c r="E1349" s="93"/>
      <c r="F1349" s="24"/>
      <c r="G1349" s="130"/>
      <c r="H1349" s="46"/>
      <c r="I1349" s="131"/>
      <c r="J1349" s="126"/>
      <c r="K1349" s="121"/>
      <c r="L1349" s="78"/>
      <c r="M1349" s="72">
        <f ca="1">IF(INDIRECT(ADDRESS(ROW(),3))&lt;&gt;"",getIBANchecksum(INDIRECT(ADDRESS(ROW(),3))),98)</f>
        <v>98</v>
      </c>
    </row>
    <row r="1350" spans="1:13">
      <c r="A1350" s="96">
        <f t="shared" si="21"/>
        <v>1331</v>
      </c>
      <c r="B1350" s="9"/>
      <c r="C1350" s="28"/>
      <c r="D1350" s="23"/>
      <c r="E1350" s="93"/>
      <c r="F1350" s="24"/>
      <c r="G1350" s="130"/>
      <c r="H1350" s="46"/>
      <c r="I1350" s="131"/>
      <c r="J1350" s="126"/>
      <c r="K1350" s="121"/>
      <c r="L1350" s="78"/>
      <c r="M1350" s="72">
        <f ca="1">IF(INDIRECT(ADDRESS(ROW(),3))&lt;&gt;"",getIBANchecksum(INDIRECT(ADDRESS(ROW(),3))),98)</f>
        <v>98</v>
      </c>
    </row>
    <row r="1351" spans="1:13">
      <c r="A1351" s="96">
        <f t="shared" si="21"/>
        <v>1332</v>
      </c>
      <c r="B1351" s="9"/>
      <c r="C1351" s="28"/>
      <c r="D1351" s="23"/>
      <c r="E1351" s="93"/>
      <c r="F1351" s="24"/>
      <c r="G1351" s="130"/>
      <c r="H1351" s="46"/>
      <c r="I1351" s="131"/>
      <c r="J1351" s="126"/>
      <c r="K1351" s="121"/>
      <c r="L1351" s="78"/>
      <c r="M1351" s="72">
        <f ca="1">IF(INDIRECT(ADDRESS(ROW(),3))&lt;&gt;"",getIBANchecksum(INDIRECT(ADDRESS(ROW(),3))),98)</f>
        <v>98</v>
      </c>
    </row>
    <row r="1352" spans="1:13">
      <c r="A1352" s="96">
        <f t="shared" si="21"/>
        <v>1333</v>
      </c>
      <c r="B1352" s="9"/>
      <c r="C1352" s="28"/>
      <c r="D1352" s="23"/>
      <c r="E1352" s="93"/>
      <c r="F1352" s="24"/>
      <c r="G1352" s="130"/>
      <c r="H1352" s="46"/>
      <c r="I1352" s="131"/>
      <c r="J1352" s="126"/>
      <c r="K1352" s="121"/>
      <c r="L1352" s="78"/>
      <c r="M1352" s="72">
        <f ca="1">IF(INDIRECT(ADDRESS(ROW(),3))&lt;&gt;"",getIBANchecksum(INDIRECT(ADDRESS(ROW(),3))),98)</f>
        <v>98</v>
      </c>
    </row>
    <row r="1353" spans="1:13">
      <c r="A1353" s="96">
        <f t="shared" si="21"/>
        <v>1334</v>
      </c>
      <c r="B1353" s="9"/>
      <c r="C1353" s="28"/>
      <c r="D1353" s="23"/>
      <c r="E1353" s="93"/>
      <c r="F1353" s="24"/>
      <c r="G1353" s="130"/>
      <c r="H1353" s="46"/>
      <c r="I1353" s="131"/>
      <c r="J1353" s="126"/>
      <c r="K1353" s="121"/>
      <c r="L1353" s="78"/>
      <c r="M1353" s="72">
        <f ca="1">IF(INDIRECT(ADDRESS(ROW(),3))&lt;&gt;"",getIBANchecksum(INDIRECT(ADDRESS(ROW(),3))),98)</f>
        <v>98</v>
      </c>
    </row>
    <row r="1354" spans="1:13">
      <c r="A1354" s="96">
        <f t="shared" si="21"/>
        <v>1335</v>
      </c>
      <c r="B1354" s="9"/>
      <c r="C1354" s="28"/>
      <c r="D1354" s="23"/>
      <c r="E1354" s="93"/>
      <c r="F1354" s="24"/>
      <c r="G1354" s="130"/>
      <c r="H1354" s="46"/>
      <c r="I1354" s="131"/>
      <c r="J1354" s="126"/>
      <c r="K1354" s="121"/>
      <c r="L1354" s="78"/>
      <c r="M1354" s="72">
        <f ca="1">IF(INDIRECT(ADDRESS(ROW(),3))&lt;&gt;"",getIBANchecksum(INDIRECT(ADDRESS(ROW(),3))),98)</f>
        <v>98</v>
      </c>
    </row>
    <row r="1355" spans="1:13">
      <c r="A1355" s="96">
        <f t="shared" si="21"/>
        <v>1336</v>
      </c>
      <c r="B1355" s="9"/>
      <c r="C1355" s="28"/>
      <c r="D1355" s="23"/>
      <c r="E1355" s="93"/>
      <c r="F1355" s="24"/>
      <c r="G1355" s="130"/>
      <c r="H1355" s="46"/>
      <c r="I1355" s="131"/>
      <c r="J1355" s="126"/>
      <c r="K1355" s="121"/>
      <c r="L1355" s="78"/>
      <c r="M1355" s="72">
        <f ca="1">IF(INDIRECT(ADDRESS(ROW(),3))&lt;&gt;"",getIBANchecksum(INDIRECT(ADDRESS(ROW(),3))),98)</f>
        <v>98</v>
      </c>
    </row>
    <row r="1356" spans="1:13">
      <c r="A1356" s="96">
        <f t="shared" si="21"/>
        <v>1337</v>
      </c>
      <c r="B1356" s="9"/>
      <c r="C1356" s="28"/>
      <c r="D1356" s="23"/>
      <c r="E1356" s="93"/>
      <c r="F1356" s="24"/>
      <c r="G1356" s="130"/>
      <c r="H1356" s="46"/>
      <c r="I1356" s="131"/>
      <c r="J1356" s="126"/>
      <c r="K1356" s="121"/>
      <c r="L1356" s="78"/>
      <c r="M1356" s="72">
        <f ca="1">IF(INDIRECT(ADDRESS(ROW(),3))&lt;&gt;"",getIBANchecksum(INDIRECT(ADDRESS(ROW(),3))),98)</f>
        <v>98</v>
      </c>
    </row>
    <row r="1357" spans="1:13">
      <c r="A1357" s="96">
        <f t="shared" si="21"/>
        <v>1338</v>
      </c>
      <c r="B1357" s="9"/>
      <c r="C1357" s="28"/>
      <c r="D1357" s="23"/>
      <c r="E1357" s="93"/>
      <c r="F1357" s="24"/>
      <c r="G1357" s="130"/>
      <c r="H1357" s="46"/>
      <c r="I1357" s="131"/>
      <c r="J1357" s="126"/>
      <c r="K1357" s="121"/>
      <c r="L1357" s="78"/>
      <c r="M1357" s="72">
        <f ca="1">IF(INDIRECT(ADDRESS(ROW(),3))&lt;&gt;"",getIBANchecksum(INDIRECT(ADDRESS(ROW(),3))),98)</f>
        <v>98</v>
      </c>
    </row>
    <row r="1358" spans="1:13">
      <c r="A1358" s="96">
        <f t="shared" si="21"/>
        <v>1339</v>
      </c>
      <c r="B1358" s="9"/>
      <c r="C1358" s="28"/>
      <c r="D1358" s="23"/>
      <c r="E1358" s="93"/>
      <c r="F1358" s="24"/>
      <c r="G1358" s="130"/>
      <c r="H1358" s="46"/>
      <c r="I1358" s="131"/>
      <c r="J1358" s="126"/>
      <c r="K1358" s="121"/>
      <c r="L1358" s="78"/>
      <c r="M1358" s="72">
        <f ca="1">IF(INDIRECT(ADDRESS(ROW(),3))&lt;&gt;"",getIBANchecksum(INDIRECT(ADDRESS(ROW(),3))),98)</f>
        <v>98</v>
      </c>
    </row>
    <row r="1359" spans="1:13">
      <c r="A1359" s="96">
        <f t="shared" si="21"/>
        <v>1340</v>
      </c>
      <c r="B1359" s="9"/>
      <c r="C1359" s="28"/>
      <c r="D1359" s="23"/>
      <c r="E1359" s="93"/>
      <c r="F1359" s="24"/>
      <c r="G1359" s="130"/>
      <c r="H1359" s="46"/>
      <c r="I1359" s="131"/>
      <c r="J1359" s="126"/>
      <c r="K1359" s="121"/>
      <c r="L1359" s="78"/>
      <c r="M1359" s="72">
        <f ca="1">IF(INDIRECT(ADDRESS(ROW(),3))&lt;&gt;"",getIBANchecksum(INDIRECT(ADDRESS(ROW(),3))),98)</f>
        <v>98</v>
      </c>
    </row>
    <row r="1360" spans="1:13">
      <c r="A1360" s="96">
        <f t="shared" si="21"/>
        <v>1341</v>
      </c>
      <c r="B1360" s="9"/>
      <c r="C1360" s="28"/>
      <c r="D1360" s="23"/>
      <c r="E1360" s="93"/>
      <c r="F1360" s="24"/>
      <c r="G1360" s="130"/>
      <c r="H1360" s="46"/>
      <c r="I1360" s="131"/>
      <c r="J1360" s="126"/>
      <c r="K1360" s="121"/>
      <c r="L1360" s="78"/>
      <c r="M1360" s="72">
        <f ca="1">IF(INDIRECT(ADDRESS(ROW(),3))&lt;&gt;"",getIBANchecksum(INDIRECT(ADDRESS(ROW(),3))),98)</f>
        <v>98</v>
      </c>
    </row>
    <row r="1361" spans="1:13">
      <c r="A1361" s="96">
        <f t="shared" si="21"/>
        <v>1342</v>
      </c>
      <c r="B1361" s="9"/>
      <c r="C1361" s="28"/>
      <c r="D1361" s="23"/>
      <c r="E1361" s="93"/>
      <c r="F1361" s="24"/>
      <c r="G1361" s="130"/>
      <c r="H1361" s="46"/>
      <c r="I1361" s="131"/>
      <c r="J1361" s="126"/>
      <c r="K1361" s="121"/>
      <c r="L1361" s="78"/>
      <c r="M1361" s="72">
        <f ca="1">IF(INDIRECT(ADDRESS(ROW(),3))&lt;&gt;"",getIBANchecksum(INDIRECT(ADDRESS(ROW(),3))),98)</f>
        <v>98</v>
      </c>
    </row>
    <row r="1362" spans="1:13">
      <c r="A1362" s="96">
        <f t="shared" si="21"/>
        <v>1343</v>
      </c>
      <c r="B1362" s="9"/>
      <c r="C1362" s="28"/>
      <c r="D1362" s="23"/>
      <c r="E1362" s="93"/>
      <c r="F1362" s="24"/>
      <c r="G1362" s="130"/>
      <c r="H1362" s="46"/>
      <c r="I1362" s="131"/>
      <c r="J1362" s="126"/>
      <c r="K1362" s="121"/>
      <c r="L1362" s="78"/>
      <c r="M1362" s="72">
        <f ca="1">IF(INDIRECT(ADDRESS(ROW(),3))&lt;&gt;"",getIBANchecksum(INDIRECT(ADDRESS(ROW(),3))),98)</f>
        <v>98</v>
      </c>
    </row>
    <row r="1363" spans="1:13">
      <c r="A1363" s="96">
        <f t="shared" si="21"/>
        <v>1344</v>
      </c>
      <c r="B1363" s="9"/>
      <c r="C1363" s="28"/>
      <c r="D1363" s="23"/>
      <c r="E1363" s="93"/>
      <c r="F1363" s="24"/>
      <c r="G1363" s="130"/>
      <c r="H1363" s="46"/>
      <c r="I1363" s="131"/>
      <c r="J1363" s="126"/>
      <c r="K1363" s="121"/>
      <c r="L1363" s="78"/>
      <c r="M1363" s="72">
        <f ca="1">IF(INDIRECT(ADDRESS(ROW(),3))&lt;&gt;"",getIBANchecksum(INDIRECT(ADDRESS(ROW(),3))),98)</f>
        <v>98</v>
      </c>
    </row>
    <row r="1364" spans="1:13">
      <c r="A1364" s="96">
        <f t="shared" si="21"/>
        <v>1345</v>
      </c>
      <c r="B1364" s="9"/>
      <c r="C1364" s="28"/>
      <c r="D1364" s="23"/>
      <c r="E1364" s="93"/>
      <c r="F1364" s="24"/>
      <c r="G1364" s="130"/>
      <c r="H1364" s="46"/>
      <c r="I1364" s="131"/>
      <c r="J1364" s="126"/>
      <c r="K1364" s="121"/>
      <c r="L1364" s="78"/>
      <c r="M1364" s="72">
        <f ca="1">IF(INDIRECT(ADDRESS(ROW(),3))&lt;&gt;"",getIBANchecksum(INDIRECT(ADDRESS(ROW(),3))),98)</f>
        <v>98</v>
      </c>
    </row>
    <row r="1365" spans="1:13">
      <c r="A1365" s="96">
        <f t="shared" si="21"/>
        <v>1346</v>
      </c>
      <c r="B1365" s="9"/>
      <c r="C1365" s="28"/>
      <c r="D1365" s="23"/>
      <c r="E1365" s="93"/>
      <c r="F1365" s="24"/>
      <c r="G1365" s="130"/>
      <c r="H1365" s="46"/>
      <c r="I1365" s="131"/>
      <c r="J1365" s="126"/>
      <c r="K1365" s="121"/>
      <c r="L1365" s="78"/>
      <c r="M1365" s="72">
        <f ca="1">IF(INDIRECT(ADDRESS(ROW(),3))&lt;&gt;"",getIBANchecksum(INDIRECT(ADDRESS(ROW(),3))),98)</f>
        <v>98</v>
      </c>
    </row>
    <row r="1366" spans="1:13">
      <c r="A1366" s="96">
        <f t="shared" ref="A1366:A1429" si="22">A1365+1</f>
        <v>1347</v>
      </c>
      <c r="B1366" s="9"/>
      <c r="C1366" s="28"/>
      <c r="D1366" s="23"/>
      <c r="E1366" s="93"/>
      <c r="F1366" s="24"/>
      <c r="G1366" s="130"/>
      <c r="H1366" s="46"/>
      <c r="I1366" s="131"/>
      <c r="J1366" s="126"/>
      <c r="K1366" s="121"/>
      <c r="L1366" s="78"/>
      <c r="M1366" s="72">
        <f ca="1">IF(INDIRECT(ADDRESS(ROW(),3))&lt;&gt;"",getIBANchecksum(INDIRECT(ADDRESS(ROW(),3))),98)</f>
        <v>98</v>
      </c>
    </row>
    <row r="1367" spans="1:13">
      <c r="A1367" s="96">
        <f t="shared" si="22"/>
        <v>1348</v>
      </c>
      <c r="B1367" s="9"/>
      <c r="C1367" s="28"/>
      <c r="D1367" s="23"/>
      <c r="E1367" s="93"/>
      <c r="F1367" s="24"/>
      <c r="G1367" s="130"/>
      <c r="H1367" s="46"/>
      <c r="I1367" s="131"/>
      <c r="J1367" s="126"/>
      <c r="K1367" s="121"/>
      <c r="L1367" s="78"/>
      <c r="M1367" s="72">
        <f ca="1">IF(INDIRECT(ADDRESS(ROW(),3))&lt;&gt;"",getIBANchecksum(INDIRECT(ADDRESS(ROW(),3))),98)</f>
        <v>98</v>
      </c>
    </row>
    <row r="1368" spans="1:13">
      <c r="A1368" s="96">
        <f t="shared" si="22"/>
        <v>1349</v>
      </c>
      <c r="B1368" s="9"/>
      <c r="C1368" s="28"/>
      <c r="D1368" s="23"/>
      <c r="E1368" s="93"/>
      <c r="F1368" s="24"/>
      <c r="G1368" s="130"/>
      <c r="H1368" s="46"/>
      <c r="I1368" s="131"/>
      <c r="J1368" s="126"/>
      <c r="K1368" s="121"/>
      <c r="L1368" s="78"/>
      <c r="M1368" s="72">
        <f ca="1">IF(INDIRECT(ADDRESS(ROW(),3))&lt;&gt;"",getIBANchecksum(INDIRECT(ADDRESS(ROW(),3))),98)</f>
        <v>98</v>
      </c>
    </row>
    <row r="1369" spans="1:13">
      <c r="A1369" s="96">
        <f t="shared" si="22"/>
        <v>1350</v>
      </c>
      <c r="B1369" s="9"/>
      <c r="C1369" s="28"/>
      <c r="D1369" s="23"/>
      <c r="E1369" s="93"/>
      <c r="F1369" s="24"/>
      <c r="G1369" s="130"/>
      <c r="H1369" s="46"/>
      <c r="I1369" s="131"/>
      <c r="J1369" s="126"/>
      <c r="K1369" s="121"/>
      <c r="L1369" s="78"/>
      <c r="M1369" s="72">
        <f ca="1">IF(INDIRECT(ADDRESS(ROW(),3))&lt;&gt;"",getIBANchecksum(INDIRECT(ADDRESS(ROW(),3))),98)</f>
        <v>98</v>
      </c>
    </row>
    <row r="1370" spans="1:13">
      <c r="A1370" s="96">
        <f t="shared" si="22"/>
        <v>1351</v>
      </c>
      <c r="B1370" s="9"/>
      <c r="C1370" s="28"/>
      <c r="D1370" s="23"/>
      <c r="E1370" s="93"/>
      <c r="F1370" s="24"/>
      <c r="G1370" s="130"/>
      <c r="H1370" s="46"/>
      <c r="I1370" s="131"/>
      <c r="J1370" s="126"/>
      <c r="K1370" s="121"/>
      <c r="L1370" s="78"/>
      <c r="M1370" s="72">
        <f ca="1">IF(INDIRECT(ADDRESS(ROW(),3))&lt;&gt;"",getIBANchecksum(INDIRECT(ADDRESS(ROW(),3))),98)</f>
        <v>98</v>
      </c>
    </row>
    <row r="1371" spans="1:13">
      <c r="A1371" s="96">
        <f t="shared" si="22"/>
        <v>1352</v>
      </c>
      <c r="B1371" s="9"/>
      <c r="C1371" s="28"/>
      <c r="D1371" s="23"/>
      <c r="E1371" s="93"/>
      <c r="F1371" s="24"/>
      <c r="G1371" s="130"/>
      <c r="H1371" s="46"/>
      <c r="I1371" s="131"/>
      <c r="J1371" s="126"/>
      <c r="K1371" s="121"/>
      <c r="L1371" s="78"/>
      <c r="M1371" s="72">
        <f ca="1">IF(INDIRECT(ADDRESS(ROW(),3))&lt;&gt;"",getIBANchecksum(INDIRECT(ADDRESS(ROW(),3))),98)</f>
        <v>98</v>
      </c>
    </row>
    <row r="1372" spans="1:13">
      <c r="A1372" s="96">
        <f t="shared" si="22"/>
        <v>1353</v>
      </c>
      <c r="B1372" s="9"/>
      <c r="C1372" s="28"/>
      <c r="D1372" s="23"/>
      <c r="E1372" s="93"/>
      <c r="F1372" s="24"/>
      <c r="G1372" s="130"/>
      <c r="H1372" s="46"/>
      <c r="I1372" s="131"/>
      <c r="J1372" s="126"/>
      <c r="K1372" s="121"/>
      <c r="L1372" s="78"/>
      <c r="M1372" s="72">
        <f ca="1">IF(INDIRECT(ADDRESS(ROW(),3))&lt;&gt;"",getIBANchecksum(INDIRECT(ADDRESS(ROW(),3))),98)</f>
        <v>98</v>
      </c>
    </row>
    <row r="1373" spans="1:13">
      <c r="A1373" s="96">
        <f t="shared" si="22"/>
        <v>1354</v>
      </c>
      <c r="B1373" s="9"/>
      <c r="C1373" s="28"/>
      <c r="D1373" s="23"/>
      <c r="E1373" s="93"/>
      <c r="F1373" s="24"/>
      <c r="G1373" s="130"/>
      <c r="H1373" s="46"/>
      <c r="I1373" s="131"/>
      <c r="J1373" s="126"/>
      <c r="K1373" s="121"/>
      <c r="L1373" s="78"/>
      <c r="M1373" s="72">
        <f ca="1">IF(INDIRECT(ADDRESS(ROW(),3))&lt;&gt;"",getIBANchecksum(INDIRECT(ADDRESS(ROW(),3))),98)</f>
        <v>98</v>
      </c>
    </row>
    <row r="1374" spans="1:13">
      <c r="A1374" s="96">
        <f t="shared" si="22"/>
        <v>1355</v>
      </c>
      <c r="B1374" s="9"/>
      <c r="C1374" s="28"/>
      <c r="D1374" s="23"/>
      <c r="E1374" s="93"/>
      <c r="F1374" s="24"/>
      <c r="G1374" s="130"/>
      <c r="H1374" s="46"/>
      <c r="I1374" s="131"/>
      <c r="J1374" s="126"/>
      <c r="K1374" s="121"/>
      <c r="L1374" s="78"/>
      <c r="M1374" s="72">
        <f ca="1">IF(INDIRECT(ADDRESS(ROW(),3))&lt;&gt;"",getIBANchecksum(INDIRECT(ADDRESS(ROW(),3))),98)</f>
        <v>98</v>
      </c>
    </row>
    <row r="1375" spans="1:13">
      <c r="A1375" s="96">
        <f t="shared" si="22"/>
        <v>1356</v>
      </c>
      <c r="B1375" s="9"/>
      <c r="C1375" s="28"/>
      <c r="D1375" s="23"/>
      <c r="E1375" s="93"/>
      <c r="F1375" s="24"/>
      <c r="G1375" s="130"/>
      <c r="H1375" s="46"/>
      <c r="I1375" s="131"/>
      <c r="J1375" s="126"/>
      <c r="K1375" s="121"/>
      <c r="L1375" s="78"/>
      <c r="M1375" s="72">
        <f ca="1">IF(INDIRECT(ADDRESS(ROW(),3))&lt;&gt;"",getIBANchecksum(INDIRECT(ADDRESS(ROW(),3))),98)</f>
        <v>98</v>
      </c>
    </row>
    <row r="1376" spans="1:13">
      <c r="A1376" s="96">
        <f t="shared" si="22"/>
        <v>1357</v>
      </c>
      <c r="B1376" s="9"/>
      <c r="C1376" s="28"/>
      <c r="D1376" s="23"/>
      <c r="E1376" s="93"/>
      <c r="F1376" s="24"/>
      <c r="G1376" s="130"/>
      <c r="H1376" s="46"/>
      <c r="I1376" s="131"/>
      <c r="J1376" s="126"/>
      <c r="K1376" s="121"/>
      <c r="L1376" s="78"/>
      <c r="M1376" s="72">
        <f ca="1">IF(INDIRECT(ADDRESS(ROW(),3))&lt;&gt;"",getIBANchecksum(INDIRECT(ADDRESS(ROW(),3))),98)</f>
        <v>98</v>
      </c>
    </row>
    <row r="1377" spans="1:13">
      <c r="A1377" s="96">
        <f t="shared" si="22"/>
        <v>1358</v>
      </c>
      <c r="B1377" s="9"/>
      <c r="C1377" s="28"/>
      <c r="D1377" s="23"/>
      <c r="E1377" s="93"/>
      <c r="F1377" s="24"/>
      <c r="G1377" s="130"/>
      <c r="H1377" s="46"/>
      <c r="I1377" s="131"/>
      <c r="J1377" s="126"/>
      <c r="K1377" s="121"/>
      <c r="L1377" s="78"/>
      <c r="M1377" s="72">
        <f ca="1">IF(INDIRECT(ADDRESS(ROW(),3))&lt;&gt;"",getIBANchecksum(INDIRECT(ADDRESS(ROW(),3))),98)</f>
        <v>98</v>
      </c>
    </row>
    <row r="1378" spans="1:13">
      <c r="A1378" s="96">
        <f t="shared" si="22"/>
        <v>1359</v>
      </c>
      <c r="B1378" s="9"/>
      <c r="C1378" s="28"/>
      <c r="D1378" s="23"/>
      <c r="E1378" s="93"/>
      <c r="F1378" s="24"/>
      <c r="G1378" s="130"/>
      <c r="H1378" s="46"/>
      <c r="I1378" s="131"/>
      <c r="J1378" s="126"/>
      <c r="K1378" s="121"/>
      <c r="L1378" s="78"/>
      <c r="M1378" s="72">
        <f ca="1">IF(INDIRECT(ADDRESS(ROW(),3))&lt;&gt;"",getIBANchecksum(INDIRECT(ADDRESS(ROW(),3))),98)</f>
        <v>98</v>
      </c>
    </row>
    <row r="1379" spans="1:13">
      <c r="A1379" s="96">
        <f t="shared" si="22"/>
        <v>1360</v>
      </c>
      <c r="B1379" s="9"/>
      <c r="C1379" s="28"/>
      <c r="D1379" s="23"/>
      <c r="E1379" s="93"/>
      <c r="F1379" s="24"/>
      <c r="G1379" s="130"/>
      <c r="H1379" s="46"/>
      <c r="I1379" s="131"/>
      <c r="J1379" s="126"/>
      <c r="K1379" s="121"/>
      <c r="L1379" s="78"/>
      <c r="M1379" s="72">
        <f ca="1">IF(INDIRECT(ADDRESS(ROW(),3))&lt;&gt;"",getIBANchecksum(INDIRECT(ADDRESS(ROW(),3))),98)</f>
        <v>98</v>
      </c>
    </row>
    <row r="1380" spans="1:13">
      <c r="A1380" s="96">
        <f t="shared" si="22"/>
        <v>1361</v>
      </c>
      <c r="B1380" s="9"/>
      <c r="C1380" s="28"/>
      <c r="D1380" s="23"/>
      <c r="E1380" s="93"/>
      <c r="F1380" s="24"/>
      <c r="G1380" s="130"/>
      <c r="H1380" s="46"/>
      <c r="I1380" s="131"/>
      <c r="J1380" s="126"/>
      <c r="K1380" s="121"/>
      <c r="L1380" s="78"/>
      <c r="M1380" s="72">
        <f ca="1">IF(INDIRECT(ADDRESS(ROW(),3))&lt;&gt;"",getIBANchecksum(INDIRECT(ADDRESS(ROW(),3))),98)</f>
        <v>98</v>
      </c>
    </row>
    <row r="1381" spans="1:13">
      <c r="A1381" s="96">
        <f t="shared" si="22"/>
        <v>1362</v>
      </c>
      <c r="B1381" s="9"/>
      <c r="C1381" s="28"/>
      <c r="D1381" s="23"/>
      <c r="E1381" s="93"/>
      <c r="F1381" s="24"/>
      <c r="G1381" s="130"/>
      <c r="H1381" s="46"/>
      <c r="I1381" s="131"/>
      <c r="J1381" s="126"/>
      <c r="K1381" s="121"/>
      <c r="L1381" s="78"/>
      <c r="M1381" s="72">
        <f ca="1">IF(INDIRECT(ADDRESS(ROW(),3))&lt;&gt;"",getIBANchecksum(INDIRECT(ADDRESS(ROW(),3))),98)</f>
        <v>98</v>
      </c>
    </row>
    <row r="1382" spans="1:13">
      <c r="A1382" s="96">
        <f t="shared" si="22"/>
        <v>1363</v>
      </c>
      <c r="B1382" s="9"/>
      <c r="C1382" s="28"/>
      <c r="D1382" s="23"/>
      <c r="E1382" s="93"/>
      <c r="F1382" s="24"/>
      <c r="G1382" s="130"/>
      <c r="H1382" s="46"/>
      <c r="I1382" s="131"/>
      <c r="J1382" s="126"/>
      <c r="K1382" s="121"/>
      <c r="L1382" s="78"/>
      <c r="M1382" s="72">
        <f ca="1">IF(INDIRECT(ADDRESS(ROW(),3))&lt;&gt;"",getIBANchecksum(INDIRECT(ADDRESS(ROW(),3))),98)</f>
        <v>98</v>
      </c>
    </row>
    <row r="1383" spans="1:13">
      <c r="A1383" s="96">
        <f t="shared" si="22"/>
        <v>1364</v>
      </c>
      <c r="B1383" s="9"/>
      <c r="C1383" s="28"/>
      <c r="D1383" s="23"/>
      <c r="E1383" s="93"/>
      <c r="F1383" s="24"/>
      <c r="G1383" s="130"/>
      <c r="H1383" s="46"/>
      <c r="I1383" s="131"/>
      <c r="J1383" s="126"/>
      <c r="K1383" s="121"/>
      <c r="L1383" s="78"/>
      <c r="M1383" s="72">
        <f ca="1">IF(INDIRECT(ADDRESS(ROW(),3))&lt;&gt;"",getIBANchecksum(INDIRECT(ADDRESS(ROW(),3))),98)</f>
        <v>98</v>
      </c>
    </row>
    <row r="1384" spans="1:13">
      <c r="A1384" s="96">
        <f t="shared" si="22"/>
        <v>1365</v>
      </c>
      <c r="B1384" s="9"/>
      <c r="C1384" s="28"/>
      <c r="D1384" s="23"/>
      <c r="E1384" s="93"/>
      <c r="F1384" s="24"/>
      <c r="G1384" s="130"/>
      <c r="H1384" s="46"/>
      <c r="I1384" s="131"/>
      <c r="J1384" s="126"/>
      <c r="K1384" s="121"/>
      <c r="L1384" s="78"/>
      <c r="M1384" s="72">
        <f ca="1">IF(INDIRECT(ADDRESS(ROW(),3))&lt;&gt;"",getIBANchecksum(INDIRECT(ADDRESS(ROW(),3))),98)</f>
        <v>98</v>
      </c>
    </row>
    <row r="1385" spans="1:13">
      <c r="A1385" s="96">
        <f t="shared" si="22"/>
        <v>1366</v>
      </c>
      <c r="B1385" s="9"/>
      <c r="C1385" s="28"/>
      <c r="D1385" s="23"/>
      <c r="E1385" s="93"/>
      <c r="F1385" s="24"/>
      <c r="G1385" s="130"/>
      <c r="H1385" s="46"/>
      <c r="I1385" s="131"/>
      <c r="J1385" s="126"/>
      <c r="K1385" s="121"/>
      <c r="L1385" s="78"/>
      <c r="M1385" s="72">
        <f ca="1">IF(INDIRECT(ADDRESS(ROW(),3))&lt;&gt;"",getIBANchecksum(INDIRECT(ADDRESS(ROW(),3))),98)</f>
        <v>98</v>
      </c>
    </row>
    <row r="1386" spans="1:13">
      <c r="A1386" s="96">
        <f t="shared" si="22"/>
        <v>1367</v>
      </c>
      <c r="B1386" s="9"/>
      <c r="C1386" s="28"/>
      <c r="D1386" s="23"/>
      <c r="E1386" s="93"/>
      <c r="F1386" s="24"/>
      <c r="G1386" s="130"/>
      <c r="H1386" s="46"/>
      <c r="I1386" s="131"/>
      <c r="J1386" s="126"/>
      <c r="K1386" s="121"/>
      <c r="L1386" s="78"/>
      <c r="M1386" s="72">
        <f ca="1">IF(INDIRECT(ADDRESS(ROW(),3))&lt;&gt;"",getIBANchecksum(INDIRECT(ADDRESS(ROW(),3))),98)</f>
        <v>98</v>
      </c>
    </row>
    <row r="1387" spans="1:13">
      <c r="A1387" s="96">
        <f t="shared" si="22"/>
        <v>1368</v>
      </c>
      <c r="B1387" s="9"/>
      <c r="C1387" s="28"/>
      <c r="D1387" s="23"/>
      <c r="E1387" s="93"/>
      <c r="F1387" s="24"/>
      <c r="G1387" s="130"/>
      <c r="H1387" s="46"/>
      <c r="I1387" s="131"/>
      <c r="J1387" s="126"/>
      <c r="K1387" s="121"/>
      <c r="L1387" s="78"/>
      <c r="M1387" s="72">
        <f ca="1">IF(INDIRECT(ADDRESS(ROW(),3))&lt;&gt;"",getIBANchecksum(INDIRECT(ADDRESS(ROW(),3))),98)</f>
        <v>98</v>
      </c>
    </row>
    <row r="1388" spans="1:13">
      <c r="A1388" s="96">
        <f t="shared" si="22"/>
        <v>1369</v>
      </c>
      <c r="B1388" s="9"/>
      <c r="C1388" s="28"/>
      <c r="D1388" s="23"/>
      <c r="E1388" s="93"/>
      <c r="F1388" s="24"/>
      <c r="G1388" s="130"/>
      <c r="H1388" s="46"/>
      <c r="I1388" s="131"/>
      <c r="J1388" s="126"/>
      <c r="K1388" s="121"/>
      <c r="L1388" s="78"/>
      <c r="M1388" s="72">
        <f ca="1">IF(INDIRECT(ADDRESS(ROW(),3))&lt;&gt;"",getIBANchecksum(INDIRECT(ADDRESS(ROW(),3))),98)</f>
        <v>98</v>
      </c>
    </row>
    <row r="1389" spans="1:13">
      <c r="A1389" s="96">
        <f t="shared" si="22"/>
        <v>1370</v>
      </c>
      <c r="B1389" s="9"/>
      <c r="C1389" s="28"/>
      <c r="D1389" s="23"/>
      <c r="E1389" s="93"/>
      <c r="F1389" s="24"/>
      <c r="G1389" s="130"/>
      <c r="H1389" s="46"/>
      <c r="I1389" s="131"/>
      <c r="J1389" s="126"/>
      <c r="K1389" s="121"/>
      <c r="L1389" s="78"/>
      <c r="M1389" s="72">
        <f ca="1">IF(INDIRECT(ADDRESS(ROW(),3))&lt;&gt;"",getIBANchecksum(INDIRECT(ADDRESS(ROW(),3))),98)</f>
        <v>98</v>
      </c>
    </row>
    <row r="1390" spans="1:13">
      <c r="A1390" s="96">
        <f t="shared" si="22"/>
        <v>1371</v>
      </c>
      <c r="B1390" s="9"/>
      <c r="C1390" s="28"/>
      <c r="D1390" s="23"/>
      <c r="E1390" s="93"/>
      <c r="F1390" s="24"/>
      <c r="G1390" s="130"/>
      <c r="H1390" s="46"/>
      <c r="I1390" s="131"/>
      <c r="J1390" s="126"/>
      <c r="K1390" s="121"/>
      <c r="L1390" s="78"/>
      <c r="M1390" s="72">
        <f ca="1">IF(INDIRECT(ADDRESS(ROW(),3))&lt;&gt;"",getIBANchecksum(INDIRECT(ADDRESS(ROW(),3))),98)</f>
        <v>98</v>
      </c>
    </row>
    <row r="1391" spans="1:13">
      <c r="A1391" s="96">
        <f t="shared" si="22"/>
        <v>1372</v>
      </c>
      <c r="B1391" s="9"/>
      <c r="C1391" s="28"/>
      <c r="D1391" s="23"/>
      <c r="E1391" s="93"/>
      <c r="F1391" s="24"/>
      <c r="G1391" s="130"/>
      <c r="H1391" s="46"/>
      <c r="I1391" s="131"/>
      <c r="J1391" s="126"/>
      <c r="K1391" s="121"/>
      <c r="L1391" s="78"/>
      <c r="M1391" s="72">
        <f ca="1">IF(INDIRECT(ADDRESS(ROW(),3))&lt;&gt;"",getIBANchecksum(INDIRECT(ADDRESS(ROW(),3))),98)</f>
        <v>98</v>
      </c>
    </row>
    <row r="1392" spans="1:13">
      <c r="A1392" s="96">
        <f t="shared" si="22"/>
        <v>1373</v>
      </c>
      <c r="B1392" s="9"/>
      <c r="C1392" s="28"/>
      <c r="D1392" s="23"/>
      <c r="E1392" s="93"/>
      <c r="F1392" s="24"/>
      <c r="G1392" s="130"/>
      <c r="H1392" s="46"/>
      <c r="I1392" s="131"/>
      <c r="J1392" s="126"/>
      <c r="K1392" s="121"/>
      <c r="L1392" s="78"/>
      <c r="M1392" s="72">
        <f ca="1">IF(INDIRECT(ADDRESS(ROW(),3))&lt;&gt;"",getIBANchecksum(INDIRECT(ADDRESS(ROW(),3))),98)</f>
        <v>98</v>
      </c>
    </row>
    <row r="1393" spans="1:13">
      <c r="A1393" s="96">
        <f t="shared" si="22"/>
        <v>1374</v>
      </c>
      <c r="B1393" s="9"/>
      <c r="C1393" s="28"/>
      <c r="D1393" s="23"/>
      <c r="E1393" s="93"/>
      <c r="F1393" s="24"/>
      <c r="G1393" s="130"/>
      <c r="H1393" s="46"/>
      <c r="I1393" s="131"/>
      <c r="J1393" s="126"/>
      <c r="K1393" s="121"/>
      <c r="L1393" s="78"/>
      <c r="M1393" s="72">
        <f ca="1">IF(INDIRECT(ADDRESS(ROW(),3))&lt;&gt;"",getIBANchecksum(INDIRECT(ADDRESS(ROW(),3))),98)</f>
        <v>98</v>
      </c>
    </row>
    <row r="1394" spans="1:13">
      <c r="A1394" s="96">
        <f t="shared" si="22"/>
        <v>1375</v>
      </c>
      <c r="B1394" s="9"/>
      <c r="C1394" s="28"/>
      <c r="D1394" s="23"/>
      <c r="E1394" s="93"/>
      <c r="F1394" s="24"/>
      <c r="G1394" s="130"/>
      <c r="H1394" s="46"/>
      <c r="I1394" s="131"/>
      <c r="J1394" s="126"/>
      <c r="K1394" s="121"/>
      <c r="L1394" s="78"/>
      <c r="M1394" s="72">
        <f ca="1">IF(INDIRECT(ADDRESS(ROW(),3))&lt;&gt;"",getIBANchecksum(INDIRECT(ADDRESS(ROW(),3))),98)</f>
        <v>98</v>
      </c>
    </row>
    <row r="1395" spans="1:13">
      <c r="A1395" s="96">
        <f t="shared" si="22"/>
        <v>1376</v>
      </c>
      <c r="B1395" s="9"/>
      <c r="C1395" s="28"/>
      <c r="D1395" s="23"/>
      <c r="E1395" s="93"/>
      <c r="F1395" s="24"/>
      <c r="G1395" s="130"/>
      <c r="H1395" s="46"/>
      <c r="I1395" s="131"/>
      <c r="J1395" s="126"/>
      <c r="K1395" s="121"/>
      <c r="L1395" s="78"/>
      <c r="M1395" s="72">
        <f ca="1">IF(INDIRECT(ADDRESS(ROW(),3))&lt;&gt;"",getIBANchecksum(INDIRECT(ADDRESS(ROW(),3))),98)</f>
        <v>98</v>
      </c>
    </row>
    <row r="1396" spans="1:13">
      <c r="A1396" s="96">
        <f t="shared" si="22"/>
        <v>1377</v>
      </c>
      <c r="B1396" s="9"/>
      <c r="C1396" s="28"/>
      <c r="D1396" s="23"/>
      <c r="E1396" s="93"/>
      <c r="F1396" s="24"/>
      <c r="G1396" s="130"/>
      <c r="H1396" s="46"/>
      <c r="I1396" s="131"/>
      <c r="J1396" s="126"/>
      <c r="K1396" s="121"/>
      <c r="L1396" s="78"/>
      <c r="M1396" s="72">
        <f ca="1">IF(INDIRECT(ADDRESS(ROW(),3))&lt;&gt;"",getIBANchecksum(INDIRECT(ADDRESS(ROW(),3))),98)</f>
        <v>98</v>
      </c>
    </row>
    <row r="1397" spans="1:13">
      <c r="A1397" s="96">
        <f t="shared" si="22"/>
        <v>1378</v>
      </c>
      <c r="B1397" s="9"/>
      <c r="C1397" s="28"/>
      <c r="D1397" s="23"/>
      <c r="E1397" s="93"/>
      <c r="F1397" s="24"/>
      <c r="G1397" s="130"/>
      <c r="H1397" s="46"/>
      <c r="I1397" s="131"/>
      <c r="J1397" s="126"/>
      <c r="K1397" s="121"/>
      <c r="L1397" s="78"/>
      <c r="M1397" s="72">
        <f ca="1">IF(INDIRECT(ADDRESS(ROW(),3))&lt;&gt;"",getIBANchecksum(INDIRECT(ADDRESS(ROW(),3))),98)</f>
        <v>98</v>
      </c>
    </row>
    <row r="1398" spans="1:13">
      <c r="A1398" s="96">
        <f t="shared" si="22"/>
        <v>1379</v>
      </c>
      <c r="B1398" s="9"/>
      <c r="C1398" s="28"/>
      <c r="D1398" s="23"/>
      <c r="E1398" s="93"/>
      <c r="F1398" s="24"/>
      <c r="G1398" s="130"/>
      <c r="H1398" s="46"/>
      <c r="I1398" s="131"/>
      <c r="J1398" s="126"/>
      <c r="K1398" s="121"/>
      <c r="L1398" s="78"/>
      <c r="M1398" s="72">
        <f ca="1">IF(INDIRECT(ADDRESS(ROW(),3))&lt;&gt;"",getIBANchecksum(INDIRECT(ADDRESS(ROW(),3))),98)</f>
        <v>98</v>
      </c>
    </row>
    <row r="1399" spans="1:13">
      <c r="A1399" s="96">
        <f t="shared" si="22"/>
        <v>1380</v>
      </c>
      <c r="B1399" s="9"/>
      <c r="C1399" s="28"/>
      <c r="D1399" s="23"/>
      <c r="E1399" s="93"/>
      <c r="F1399" s="24"/>
      <c r="G1399" s="130"/>
      <c r="H1399" s="46"/>
      <c r="I1399" s="131"/>
      <c r="J1399" s="126"/>
      <c r="K1399" s="121"/>
      <c r="L1399" s="78"/>
      <c r="M1399" s="72">
        <f ca="1">IF(INDIRECT(ADDRESS(ROW(),3))&lt;&gt;"",getIBANchecksum(INDIRECT(ADDRESS(ROW(),3))),98)</f>
        <v>98</v>
      </c>
    </row>
    <row r="1400" spans="1:13">
      <c r="A1400" s="96">
        <f t="shared" si="22"/>
        <v>1381</v>
      </c>
      <c r="B1400" s="9"/>
      <c r="C1400" s="28"/>
      <c r="D1400" s="23"/>
      <c r="E1400" s="93"/>
      <c r="F1400" s="24"/>
      <c r="G1400" s="130"/>
      <c r="H1400" s="46"/>
      <c r="I1400" s="131"/>
      <c r="J1400" s="126"/>
      <c r="K1400" s="121"/>
      <c r="L1400" s="78"/>
      <c r="M1400" s="72">
        <f ca="1">IF(INDIRECT(ADDRESS(ROW(),3))&lt;&gt;"",getIBANchecksum(INDIRECT(ADDRESS(ROW(),3))),98)</f>
        <v>98</v>
      </c>
    </row>
    <row r="1401" spans="1:13">
      <c r="A1401" s="96">
        <f t="shared" si="22"/>
        <v>1382</v>
      </c>
      <c r="B1401" s="9"/>
      <c r="C1401" s="28"/>
      <c r="D1401" s="23"/>
      <c r="E1401" s="93"/>
      <c r="F1401" s="24"/>
      <c r="G1401" s="130"/>
      <c r="H1401" s="46"/>
      <c r="I1401" s="131"/>
      <c r="J1401" s="126"/>
      <c r="K1401" s="121"/>
      <c r="L1401" s="78"/>
      <c r="M1401" s="72">
        <f ca="1">IF(INDIRECT(ADDRESS(ROW(),3))&lt;&gt;"",getIBANchecksum(INDIRECT(ADDRESS(ROW(),3))),98)</f>
        <v>98</v>
      </c>
    </row>
    <row r="1402" spans="1:13">
      <c r="A1402" s="96">
        <f t="shared" si="22"/>
        <v>1383</v>
      </c>
      <c r="B1402" s="9"/>
      <c r="C1402" s="28"/>
      <c r="D1402" s="23"/>
      <c r="E1402" s="93"/>
      <c r="F1402" s="24"/>
      <c r="G1402" s="130"/>
      <c r="H1402" s="46"/>
      <c r="I1402" s="131"/>
      <c r="J1402" s="126"/>
      <c r="K1402" s="121"/>
      <c r="L1402" s="78"/>
      <c r="M1402" s="72">
        <f ca="1">IF(INDIRECT(ADDRESS(ROW(),3))&lt;&gt;"",getIBANchecksum(INDIRECT(ADDRESS(ROW(),3))),98)</f>
        <v>98</v>
      </c>
    </row>
    <row r="1403" spans="1:13">
      <c r="A1403" s="96">
        <f t="shared" si="22"/>
        <v>1384</v>
      </c>
      <c r="B1403" s="9"/>
      <c r="C1403" s="28"/>
      <c r="D1403" s="23"/>
      <c r="E1403" s="93"/>
      <c r="F1403" s="24"/>
      <c r="G1403" s="130"/>
      <c r="H1403" s="46"/>
      <c r="I1403" s="131"/>
      <c r="J1403" s="126"/>
      <c r="K1403" s="121"/>
      <c r="L1403" s="78"/>
      <c r="M1403" s="72">
        <f ca="1">IF(INDIRECT(ADDRESS(ROW(),3))&lt;&gt;"",getIBANchecksum(INDIRECT(ADDRESS(ROW(),3))),98)</f>
        <v>98</v>
      </c>
    </row>
    <row r="1404" spans="1:13">
      <c r="A1404" s="96">
        <f t="shared" si="22"/>
        <v>1385</v>
      </c>
      <c r="B1404" s="9"/>
      <c r="C1404" s="28"/>
      <c r="D1404" s="23"/>
      <c r="E1404" s="93"/>
      <c r="F1404" s="24"/>
      <c r="G1404" s="130"/>
      <c r="H1404" s="46"/>
      <c r="I1404" s="131"/>
      <c r="J1404" s="126"/>
      <c r="K1404" s="121"/>
      <c r="L1404" s="78"/>
      <c r="M1404" s="72">
        <f ca="1">IF(INDIRECT(ADDRESS(ROW(),3))&lt;&gt;"",getIBANchecksum(INDIRECT(ADDRESS(ROW(),3))),98)</f>
        <v>98</v>
      </c>
    </row>
    <row r="1405" spans="1:13">
      <c r="A1405" s="96">
        <f t="shared" si="22"/>
        <v>1386</v>
      </c>
      <c r="B1405" s="9"/>
      <c r="C1405" s="28"/>
      <c r="D1405" s="23"/>
      <c r="E1405" s="93"/>
      <c r="F1405" s="24"/>
      <c r="G1405" s="130"/>
      <c r="H1405" s="46"/>
      <c r="I1405" s="131"/>
      <c r="J1405" s="126"/>
      <c r="K1405" s="121"/>
      <c r="L1405" s="78"/>
      <c r="M1405" s="72">
        <f ca="1">IF(INDIRECT(ADDRESS(ROW(),3))&lt;&gt;"",getIBANchecksum(INDIRECT(ADDRESS(ROW(),3))),98)</f>
        <v>98</v>
      </c>
    </row>
    <row r="1406" spans="1:13">
      <c r="A1406" s="96">
        <f t="shared" si="22"/>
        <v>1387</v>
      </c>
      <c r="B1406" s="9"/>
      <c r="C1406" s="28"/>
      <c r="D1406" s="23"/>
      <c r="E1406" s="93"/>
      <c r="F1406" s="24"/>
      <c r="G1406" s="130"/>
      <c r="H1406" s="46"/>
      <c r="I1406" s="131"/>
      <c r="J1406" s="126"/>
      <c r="K1406" s="121"/>
      <c r="L1406" s="78"/>
      <c r="M1406" s="72">
        <f ca="1">IF(INDIRECT(ADDRESS(ROW(),3))&lt;&gt;"",getIBANchecksum(INDIRECT(ADDRESS(ROW(),3))),98)</f>
        <v>98</v>
      </c>
    </row>
    <row r="1407" spans="1:13">
      <c r="A1407" s="96">
        <f t="shared" si="22"/>
        <v>1388</v>
      </c>
      <c r="B1407" s="9"/>
      <c r="C1407" s="28"/>
      <c r="D1407" s="23"/>
      <c r="E1407" s="93"/>
      <c r="F1407" s="24"/>
      <c r="G1407" s="130"/>
      <c r="H1407" s="46"/>
      <c r="I1407" s="131"/>
      <c r="J1407" s="126"/>
      <c r="K1407" s="121"/>
      <c r="L1407" s="78"/>
      <c r="M1407" s="72">
        <f ca="1">IF(INDIRECT(ADDRESS(ROW(),3))&lt;&gt;"",getIBANchecksum(INDIRECT(ADDRESS(ROW(),3))),98)</f>
        <v>98</v>
      </c>
    </row>
    <row r="1408" spans="1:13">
      <c r="A1408" s="96">
        <f t="shared" si="22"/>
        <v>1389</v>
      </c>
      <c r="B1408" s="9"/>
      <c r="C1408" s="28"/>
      <c r="D1408" s="23"/>
      <c r="E1408" s="93"/>
      <c r="F1408" s="24"/>
      <c r="G1408" s="130"/>
      <c r="H1408" s="46"/>
      <c r="I1408" s="131"/>
      <c r="J1408" s="126"/>
      <c r="K1408" s="121"/>
      <c r="L1408" s="78"/>
      <c r="M1408" s="72">
        <f ca="1">IF(INDIRECT(ADDRESS(ROW(),3))&lt;&gt;"",getIBANchecksum(INDIRECT(ADDRESS(ROW(),3))),98)</f>
        <v>98</v>
      </c>
    </row>
    <row r="1409" spans="1:13">
      <c r="A1409" s="96">
        <f t="shared" si="22"/>
        <v>1390</v>
      </c>
      <c r="B1409" s="9"/>
      <c r="C1409" s="28"/>
      <c r="D1409" s="23"/>
      <c r="E1409" s="93"/>
      <c r="F1409" s="24"/>
      <c r="G1409" s="130"/>
      <c r="H1409" s="46"/>
      <c r="I1409" s="131"/>
      <c r="J1409" s="126"/>
      <c r="K1409" s="121"/>
      <c r="L1409" s="78"/>
      <c r="M1409" s="72">
        <f ca="1">IF(INDIRECT(ADDRESS(ROW(),3))&lt;&gt;"",getIBANchecksum(INDIRECT(ADDRESS(ROW(),3))),98)</f>
        <v>98</v>
      </c>
    </row>
    <row r="1410" spans="1:13">
      <c r="A1410" s="96">
        <f t="shared" si="22"/>
        <v>1391</v>
      </c>
      <c r="B1410" s="9"/>
      <c r="C1410" s="28"/>
      <c r="D1410" s="23"/>
      <c r="E1410" s="93"/>
      <c r="F1410" s="24"/>
      <c r="G1410" s="130"/>
      <c r="H1410" s="46"/>
      <c r="I1410" s="131"/>
      <c r="J1410" s="126"/>
      <c r="K1410" s="121"/>
      <c r="L1410" s="78"/>
      <c r="M1410" s="72">
        <f ca="1">IF(INDIRECT(ADDRESS(ROW(),3))&lt;&gt;"",getIBANchecksum(INDIRECT(ADDRESS(ROW(),3))),98)</f>
        <v>98</v>
      </c>
    </row>
    <row r="1411" spans="1:13">
      <c r="A1411" s="96">
        <f t="shared" si="22"/>
        <v>1392</v>
      </c>
      <c r="B1411" s="9"/>
      <c r="C1411" s="28"/>
      <c r="D1411" s="23"/>
      <c r="E1411" s="93"/>
      <c r="F1411" s="24"/>
      <c r="G1411" s="130"/>
      <c r="H1411" s="46"/>
      <c r="I1411" s="131"/>
      <c r="J1411" s="126"/>
      <c r="K1411" s="121"/>
      <c r="L1411" s="78"/>
      <c r="M1411" s="72">
        <f ca="1">IF(INDIRECT(ADDRESS(ROW(),3))&lt;&gt;"",getIBANchecksum(INDIRECT(ADDRESS(ROW(),3))),98)</f>
        <v>98</v>
      </c>
    </row>
    <row r="1412" spans="1:13">
      <c r="A1412" s="96">
        <f t="shared" si="22"/>
        <v>1393</v>
      </c>
      <c r="B1412" s="9"/>
      <c r="C1412" s="28"/>
      <c r="D1412" s="23"/>
      <c r="E1412" s="93"/>
      <c r="F1412" s="24"/>
      <c r="G1412" s="130"/>
      <c r="H1412" s="46"/>
      <c r="I1412" s="131"/>
      <c r="J1412" s="126"/>
      <c r="K1412" s="121"/>
      <c r="L1412" s="78"/>
      <c r="M1412" s="72">
        <f ca="1">IF(INDIRECT(ADDRESS(ROW(),3))&lt;&gt;"",getIBANchecksum(INDIRECT(ADDRESS(ROW(),3))),98)</f>
        <v>98</v>
      </c>
    </row>
    <row r="1413" spans="1:13">
      <c r="A1413" s="96">
        <f t="shared" si="22"/>
        <v>1394</v>
      </c>
      <c r="B1413" s="9"/>
      <c r="C1413" s="28"/>
      <c r="D1413" s="23"/>
      <c r="E1413" s="93"/>
      <c r="F1413" s="24"/>
      <c r="G1413" s="130"/>
      <c r="H1413" s="46"/>
      <c r="I1413" s="131"/>
      <c r="J1413" s="126"/>
      <c r="K1413" s="121"/>
      <c r="L1413" s="78"/>
      <c r="M1413" s="72">
        <f ca="1">IF(INDIRECT(ADDRESS(ROW(),3))&lt;&gt;"",getIBANchecksum(INDIRECT(ADDRESS(ROW(),3))),98)</f>
        <v>98</v>
      </c>
    </row>
    <row r="1414" spans="1:13">
      <c r="A1414" s="96">
        <f t="shared" si="22"/>
        <v>1395</v>
      </c>
      <c r="B1414" s="9"/>
      <c r="C1414" s="28"/>
      <c r="D1414" s="23"/>
      <c r="E1414" s="93"/>
      <c r="F1414" s="24"/>
      <c r="G1414" s="130"/>
      <c r="H1414" s="46"/>
      <c r="I1414" s="131"/>
      <c r="J1414" s="126"/>
      <c r="K1414" s="121"/>
      <c r="L1414" s="78"/>
      <c r="M1414" s="72">
        <f ca="1">IF(INDIRECT(ADDRESS(ROW(),3))&lt;&gt;"",getIBANchecksum(INDIRECT(ADDRESS(ROW(),3))),98)</f>
        <v>98</v>
      </c>
    </row>
    <row r="1415" spans="1:13">
      <c r="A1415" s="96">
        <f t="shared" si="22"/>
        <v>1396</v>
      </c>
      <c r="B1415" s="9"/>
      <c r="C1415" s="28"/>
      <c r="D1415" s="23"/>
      <c r="E1415" s="93"/>
      <c r="F1415" s="24"/>
      <c r="G1415" s="130"/>
      <c r="H1415" s="46"/>
      <c r="I1415" s="131"/>
      <c r="J1415" s="126"/>
      <c r="K1415" s="121"/>
      <c r="L1415" s="78"/>
      <c r="M1415" s="72">
        <f ca="1">IF(INDIRECT(ADDRESS(ROW(),3))&lt;&gt;"",getIBANchecksum(INDIRECT(ADDRESS(ROW(),3))),98)</f>
        <v>98</v>
      </c>
    </row>
    <row r="1416" spans="1:13">
      <c r="A1416" s="96">
        <f t="shared" si="22"/>
        <v>1397</v>
      </c>
      <c r="B1416" s="9"/>
      <c r="C1416" s="28"/>
      <c r="D1416" s="23"/>
      <c r="E1416" s="93"/>
      <c r="F1416" s="24"/>
      <c r="G1416" s="130"/>
      <c r="H1416" s="46"/>
      <c r="I1416" s="131"/>
      <c r="J1416" s="126"/>
      <c r="K1416" s="121"/>
      <c r="L1416" s="78"/>
      <c r="M1416" s="72">
        <f ca="1">IF(INDIRECT(ADDRESS(ROW(),3))&lt;&gt;"",getIBANchecksum(INDIRECT(ADDRESS(ROW(),3))),98)</f>
        <v>98</v>
      </c>
    </row>
    <row r="1417" spans="1:13">
      <c r="A1417" s="96">
        <f t="shared" si="22"/>
        <v>1398</v>
      </c>
      <c r="B1417" s="9"/>
      <c r="C1417" s="28"/>
      <c r="D1417" s="23"/>
      <c r="E1417" s="93"/>
      <c r="F1417" s="24"/>
      <c r="G1417" s="130"/>
      <c r="H1417" s="46"/>
      <c r="I1417" s="131"/>
      <c r="J1417" s="126"/>
      <c r="K1417" s="121"/>
      <c r="L1417" s="78"/>
      <c r="M1417" s="72">
        <f ca="1">IF(INDIRECT(ADDRESS(ROW(),3))&lt;&gt;"",getIBANchecksum(INDIRECT(ADDRESS(ROW(),3))),98)</f>
        <v>98</v>
      </c>
    </row>
    <row r="1418" spans="1:13">
      <c r="A1418" s="96">
        <f t="shared" si="22"/>
        <v>1399</v>
      </c>
      <c r="B1418" s="9"/>
      <c r="C1418" s="28"/>
      <c r="D1418" s="23"/>
      <c r="E1418" s="93"/>
      <c r="F1418" s="24"/>
      <c r="G1418" s="130"/>
      <c r="H1418" s="46"/>
      <c r="I1418" s="131"/>
      <c r="J1418" s="126"/>
      <c r="K1418" s="121"/>
      <c r="L1418" s="78"/>
      <c r="M1418" s="72">
        <f ca="1">IF(INDIRECT(ADDRESS(ROW(),3))&lt;&gt;"",getIBANchecksum(INDIRECT(ADDRESS(ROW(),3))),98)</f>
        <v>98</v>
      </c>
    </row>
    <row r="1419" spans="1:13">
      <c r="A1419" s="96">
        <f t="shared" si="22"/>
        <v>1400</v>
      </c>
      <c r="B1419" s="9"/>
      <c r="C1419" s="28"/>
      <c r="D1419" s="23"/>
      <c r="E1419" s="93"/>
      <c r="F1419" s="24"/>
      <c r="G1419" s="130"/>
      <c r="H1419" s="46"/>
      <c r="I1419" s="131"/>
      <c r="J1419" s="126"/>
      <c r="K1419" s="121"/>
      <c r="L1419" s="78"/>
      <c r="M1419" s="72">
        <f ca="1">IF(INDIRECT(ADDRESS(ROW(),3))&lt;&gt;"",getIBANchecksum(INDIRECT(ADDRESS(ROW(),3))),98)</f>
        <v>98</v>
      </c>
    </row>
    <row r="1420" spans="1:13">
      <c r="A1420" s="96">
        <f t="shared" si="22"/>
        <v>1401</v>
      </c>
      <c r="B1420" s="9"/>
      <c r="C1420" s="28"/>
      <c r="D1420" s="23"/>
      <c r="E1420" s="93"/>
      <c r="F1420" s="24"/>
      <c r="G1420" s="130"/>
      <c r="H1420" s="46"/>
      <c r="I1420" s="131"/>
      <c r="J1420" s="126"/>
      <c r="K1420" s="121"/>
      <c r="L1420" s="78"/>
      <c r="M1420" s="72">
        <f ca="1">IF(INDIRECT(ADDRESS(ROW(),3))&lt;&gt;"",getIBANchecksum(INDIRECT(ADDRESS(ROW(),3))),98)</f>
        <v>98</v>
      </c>
    </row>
    <row r="1421" spans="1:13">
      <c r="A1421" s="96">
        <f t="shared" si="22"/>
        <v>1402</v>
      </c>
      <c r="B1421" s="9"/>
      <c r="C1421" s="28"/>
      <c r="D1421" s="23"/>
      <c r="E1421" s="93"/>
      <c r="F1421" s="24"/>
      <c r="G1421" s="130"/>
      <c r="H1421" s="46"/>
      <c r="I1421" s="131"/>
      <c r="J1421" s="126"/>
      <c r="K1421" s="121"/>
      <c r="L1421" s="78"/>
      <c r="M1421" s="72">
        <f ca="1">IF(INDIRECT(ADDRESS(ROW(),3))&lt;&gt;"",getIBANchecksum(INDIRECT(ADDRESS(ROW(),3))),98)</f>
        <v>98</v>
      </c>
    </row>
    <row r="1422" spans="1:13">
      <c r="A1422" s="96">
        <f t="shared" si="22"/>
        <v>1403</v>
      </c>
      <c r="B1422" s="9"/>
      <c r="C1422" s="28"/>
      <c r="D1422" s="23"/>
      <c r="E1422" s="93"/>
      <c r="F1422" s="24"/>
      <c r="G1422" s="130"/>
      <c r="H1422" s="46"/>
      <c r="I1422" s="131"/>
      <c r="J1422" s="126"/>
      <c r="K1422" s="121"/>
      <c r="L1422" s="78"/>
      <c r="M1422" s="72">
        <f ca="1">IF(INDIRECT(ADDRESS(ROW(),3))&lt;&gt;"",getIBANchecksum(INDIRECT(ADDRESS(ROW(),3))),98)</f>
        <v>98</v>
      </c>
    </row>
    <row r="1423" spans="1:13">
      <c r="A1423" s="96">
        <f t="shared" si="22"/>
        <v>1404</v>
      </c>
      <c r="B1423" s="9"/>
      <c r="C1423" s="28"/>
      <c r="D1423" s="23"/>
      <c r="E1423" s="93"/>
      <c r="F1423" s="24"/>
      <c r="G1423" s="130"/>
      <c r="H1423" s="46"/>
      <c r="I1423" s="131"/>
      <c r="J1423" s="126"/>
      <c r="K1423" s="121"/>
      <c r="L1423" s="78"/>
      <c r="M1423" s="72">
        <f ca="1">IF(INDIRECT(ADDRESS(ROW(),3))&lt;&gt;"",getIBANchecksum(INDIRECT(ADDRESS(ROW(),3))),98)</f>
        <v>98</v>
      </c>
    </row>
    <row r="1424" spans="1:13">
      <c r="A1424" s="96">
        <f t="shared" si="22"/>
        <v>1405</v>
      </c>
      <c r="B1424" s="9"/>
      <c r="C1424" s="28"/>
      <c r="D1424" s="23"/>
      <c r="E1424" s="93"/>
      <c r="F1424" s="24"/>
      <c r="G1424" s="130"/>
      <c r="H1424" s="46"/>
      <c r="I1424" s="131"/>
      <c r="J1424" s="126"/>
      <c r="K1424" s="121"/>
      <c r="L1424" s="78"/>
      <c r="M1424" s="72">
        <f ca="1">IF(INDIRECT(ADDRESS(ROW(),3))&lt;&gt;"",getIBANchecksum(INDIRECT(ADDRESS(ROW(),3))),98)</f>
        <v>98</v>
      </c>
    </row>
    <row r="1425" spans="1:13">
      <c r="A1425" s="96">
        <f t="shared" si="22"/>
        <v>1406</v>
      </c>
      <c r="B1425" s="9"/>
      <c r="C1425" s="28"/>
      <c r="D1425" s="23"/>
      <c r="E1425" s="93"/>
      <c r="F1425" s="24"/>
      <c r="G1425" s="130"/>
      <c r="H1425" s="46"/>
      <c r="I1425" s="131"/>
      <c r="J1425" s="126"/>
      <c r="K1425" s="121"/>
      <c r="L1425" s="78"/>
      <c r="M1425" s="72">
        <f ca="1">IF(INDIRECT(ADDRESS(ROW(),3))&lt;&gt;"",getIBANchecksum(INDIRECT(ADDRESS(ROW(),3))),98)</f>
        <v>98</v>
      </c>
    </row>
    <row r="1426" spans="1:13">
      <c r="A1426" s="96">
        <f t="shared" si="22"/>
        <v>1407</v>
      </c>
      <c r="B1426" s="9"/>
      <c r="C1426" s="28"/>
      <c r="D1426" s="23"/>
      <c r="E1426" s="93"/>
      <c r="F1426" s="24"/>
      <c r="G1426" s="130"/>
      <c r="H1426" s="46"/>
      <c r="I1426" s="131"/>
      <c r="J1426" s="126"/>
      <c r="K1426" s="121"/>
      <c r="L1426" s="78"/>
      <c r="M1426" s="72">
        <f ca="1">IF(INDIRECT(ADDRESS(ROW(),3))&lt;&gt;"",getIBANchecksum(INDIRECT(ADDRESS(ROW(),3))),98)</f>
        <v>98</v>
      </c>
    </row>
    <row r="1427" spans="1:13">
      <c r="A1427" s="96">
        <f t="shared" si="22"/>
        <v>1408</v>
      </c>
      <c r="B1427" s="9"/>
      <c r="C1427" s="28"/>
      <c r="D1427" s="23"/>
      <c r="E1427" s="93"/>
      <c r="F1427" s="24"/>
      <c r="G1427" s="130"/>
      <c r="H1427" s="46"/>
      <c r="I1427" s="131"/>
      <c r="J1427" s="126"/>
      <c r="K1427" s="121"/>
      <c r="L1427" s="78"/>
      <c r="M1427" s="72">
        <f ca="1">IF(INDIRECT(ADDRESS(ROW(),3))&lt;&gt;"",getIBANchecksum(INDIRECT(ADDRESS(ROW(),3))),98)</f>
        <v>98</v>
      </c>
    </row>
    <row r="1428" spans="1:13">
      <c r="A1428" s="96">
        <f t="shared" si="22"/>
        <v>1409</v>
      </c>
      <c r="B1428" s="9"/>
      <c r="C1428" s="28"/>
      <c r="D1428" s="23"/>
      <c r="E1428" s="93"/>
      <c r="F1428" s="24"/>
      <c r="G1428" s="130"/>
      <c r="H1428" s="46"/>
      <c r="I1428" s="131"/>
      <c r="J1428" s="126"/>
      <c r="K1428" s="121"/>
      <c r="L1428" s="78"/>
      <c r="M1428" s="72">
        <f ca="1">IF(INDIRECT(ADDRESS(ROW(),3))&lt;&gt;"",getIBANchecksum(INDIRECT(ADDRESS(ROW(),3))),98)</f>
        <v>98</v>
      </c>
    </row>
    <row r="1429" spans="1:13">
      <c r="A1429" s="96">
        <f t="shared" si="22"/>
        <v>1410</v>
      </c>
      <c r="B1429" s="9"/>
      <c r="C1429" s="28"/>
      <c r="D1429" s="23"/>
      <c r="E1429" s="93"/>
      <c r="F1429" s="24"/>
      <c r="G1429" s="130"/>
      <c r="H1429" s="46"/>
      <c r="I1429" s="131"/>
      <c r="J1429" s="126"/>
      <c r="K1429" s="121"/>
      <c r="L1429" s="78"/>
      <c r="M1429" s="72">
        <f ca="1">IF(INDIRECT(ADDRESS(ROW(),3))&lt;&gt;"",getIBANchecksum(INDIRECT(ADDRESS(ROW(),3))),98)</f>
        <v>98</v>
      </c>
    </row>
    <row r="1430" spans="1:13">
      <c r="A1430" s="96">
        <f t="shared" ref="A1430:A1493" si="23">A1429+1</f>
        <v>1411</v>
      </c>
      <c r="B1430" s="9"/>
      <c r="C1430" s="28"/>
      <c r="D1430" s="23"/>
      <c r="E1430" s="93"/>
      <c r="F1430" s="24"/>
      <c r="G1430" s="130"/>
      <c r="H1430" s="46"/>
      <c r="I1430" s="131"/>
      <c r="J1430" s="126"/>
      <c r="K1430" s="121"/>
      <c r="L1430" s="78"/>
      <c r="M1430" s="72">
        <f ca="1">IF(INDIRECT(ADDRESS(ROW(),3))&lt;&gt;"",getIBANchecksum(INDIRECT(ADDRESS(ROW(),3))),98)</f>
        <v>98</v>
      </c>
    </row>
    <row r="1431" spans="1:13">
      <c r="A1431" s="96">
        <f t="shared" si="23"/>
        <v>1412</v>
      </c>
      <c r="B1431" s="9"/>
      <c r="C1431" s="28"/>
      <c r="D1431" s="23"/>
      <c r="E1431" s="93"/>
      <c r="F1431" s="24"/>
      <c r="G1431" s="130"/>
      <c r="H1431" s="46"/>
      <c r="I1431" s="131"/>
      <c r="J1431" s="126"/>
      <c r="K1431" s="121"/>
      <c r="L1431" s="78"/>
      <c r="M1431" s="72">
        <f ca="1">IF(INDIRECT(ADDRESS(ROW(),3))&lt;&gt;"",getIBANchecksum(INDIRECT(ADDRESS(ROW(),3))),98)</f>
        <v>98</v>
      </c>
    </row>
    <row r="1432" spans="1:13">
      <c r="A1432" s="96">
        <f t="shared" si="23"/>
        <v>1413</v>
      </c>
      <c r="B1432" s="9"/>
      <c r="C1432" s="28"/>
      <c r="D1432" s="23"/>
      <c r="E1432" s="93"/>
      <c r="F1432" s="24"/>
      <c r="G1432" s="130"/>
      <c r="H1432" s="46"/>
      <c r="I1432" s="131"/>
      <c r="J1432" s="126"/>
      <c r="K1432" s="121"/>
      <c r="L1432" s="78"/>
      <c r="M1432" s="72">
        <f ca="1">IF(INDIRECT(ADDRESS(ROW(),3))&lt;&gt;"",getIBANchecksum(INDIRECT(ADDRESS(ROW(),3))),98)</f>
        <v>98</v>
      </c>
    </row>
    <row r="1433" spans="1:13">
      <c r="A1433" s="96">
        <f t="shared" si="23"/>
        <v>1414</v>
      </c>
      <c r="B1433" s="9"/>
      <c r="C1433" s="28"/>
      <c r="D1433" s="23"/>
      <c r="E1433" s="93"/>
      <c r="F1433" s="24"/>
      <c r="G1433" s="130"/>
      <c r="H1433" s="46"/>
      <c r="I1433" s="131"/>
      <c r="J1433" s="126"/>
      <c r="K1433" s="121"/>
      <c r="L1433" s="78"/>
      <c r="M1433" s="72">
        <f ca="1">IF(INDIRECT(ADDRESS(ROW(),3))&lt;&gt;"",getIBANchecksum(INDIRECT(ADDRESS(ROW(),3))),98)</f>
        <v>98</v>
      </c>
    </row>
    <row r="1434" spans="1:13">
      <c r="A1434" s="96">
        <f t="shared" si="23"/>
        <v>1415</v>
      </c>
      <c r="B1434" s="9"/>
      <c r="C1434" s="28"/>
      <c r="D1434" s="23"/>
      <c r="E1434" s="93"/>
      <c r="F1434" s="24"/>
      <c r="G1434" s="130"/>
      <c r="H1434" s="46"/>
      <c r="I1434" s="131"/>
      <c r="J1434" s="126"/>
      <c r="K1434" s="121"/>
      <c r="L1434" s="78"/>
      <c r="M1434" s="72">
        <f ca="1">IF(INDIRECT(ADDRESS(ROW(),3))&lt;&gt;"",getIBANchecksum(INDIRECT(ADDRESS(ROW(),3))),98)</f>
        <v>98</v>
      </c>
    </row>
    <row r="1435" spans="1:13">
      <c r="A1435" s="96">
        <f t="shared" si="23"/>
        <v>1416</v>
      </c>
      <c r="B1435" s="9"/>
      <c r="C1435" s="28"/>
      <c r="D1435" s="23"/>
      <c r="E1435" s="93"/>
      <c r="F1435" s="24"/>
      <c r="G1435" s="130"/>
      <c r="H1435" s="46"/>
      <c r="I1435" s="131"/>
      <c r="J1435" s="126"/>
      <c r="K1435" s="121"/>
      <c r="L1435" s="78"/>
      <c r="M1435" s="72">
        <f ca="1">IF(INDIRECT(ADDRESS(ROW(),3))&lt;&gt;"",getIBANchecksum(INDIRECT(ADDRESS(ROW(),3))),98)</f>
        <v>98</v>
      </c>
    </row>
    <row r="1436" spans="1:13">
      <c r="A1436" s="96">
        <f t="shared" si="23"/>
        <v>1417</v>
      </c>
      <c r="B1436" s="9"/>
      <c r="C1436" s="28"/>
      <c r="D1436" s="23"/>
      <c r="E1436" s="93"/>
      <c r="F1436" s="24"/>
      <c r="G1436" s="130"/>
      <c r="H1436" s="46"/>
      <c r="I1436" s="131"/>
      <c r="J1436" s="126"/>
      <c r="K1436" s="121"/>
      <c r="L1436" s="78"/>
      <c r="M1436" s="72">
        <f ca="1">IF(INDIRECT(ADDRESS(ROW(),3))&lt;&gt;"",getIBANchecksum(INDIRECT(ADDRESS(ROW(),3))),98)</f>
        <v>98</v>
      </c>
    </row>
    <row r="1437" spans="1:13">
      <c r="A1437" s="96">
        <f t="shared" si="23"/>
        <v>1418</v>
      </c>
      <c r="B1437" s="9"/>
      <c r="C1437" s="28"/>
      <c r="D1437" s="23"/>
      <c r="E1437" s="93"/>
      <c r="F1437" s="24"/>
      <c r="G1437" s="130"/>
      <c r="H1437" s="46"/>
      <c r="I1437" s="131"/>
      <c r="J1437" s="126"/>
      <c r="K1437" s="121"/>
      <c r="L1437" s="78"/>
      <c r="M1437" s="72">
        <f ca="1">IF(INDIRECT(ADDRESS(ROW(),3))&lt;&gt;"",getIBANchecksum(INDIRECT(ADDRESS(ROW(),3))),98)</f>
        <v>98</v>
      </c>
    </row>
    <row r="1438" spans="1:13">
      <c r="A1438" s="96">
        <f t="shared" si="23"/>
        <v>1419</v>
      </c>
      <c r="B1438" s="9"/>
      <c r="C1438" s="28"/>
      <c r="D1438" s="23"/>
      <c r="E1438" s="93"/>
      <c r="F1438" s="24"/>
      <c r="G1438" s="130"/>
      <c r="H1438" s="46"/>
      <c r="I1438" s="131"/>
      <c r="J1438" s="126"/>
      <c r="K1438" s="121"/>
      <c r="L1438" s="78"/>
      <c r="M1438" s="72">
        <f ca="1">IF(INDIRECT(ADDRESS(ROW(),3))&lt;&gt;"",getIBANchecksum(INDIRECT(ADDRESS(ROW(),3))),98)</f>
        <v>98</v>
      </c>
    </row>
    <row r="1439" spans="1:13">
      <c r="A1439" s="96">
        <f t="shared" si="23"/>
        <v>1420</v>
      </c>
      <c r="B1439" s="9"/>
      <c r="C1439" s="28"/>
      <c r="D1439" s="23"/>
      <c r="E1439" s="93"/>
      <c r="F1439" s="24"/>
      <c r="G1439" s="130"/>
      <c r="H1439" s="46"/>
      <c r="I1439" s="131"/>
      <c r="J1439" s="126"/>
      <c r="K1439" s="121"/>
      <c r="L1439" s="78"/>
      <c r="M1439" s="72">
        <f ca="1">IF(INDIRECT(ADDRESS(ROW(),3))&lt;&gt;"",getIBANchecksum(INDIRECT(ADDRESS(ROW(),3))),98)</f>
        <v>98</v>
      </c>
    </row>
    <row r="1440" spans="1:13">
      <c r="A1440" s="96">
        <f t="shared" si="23"/>
        <v>1421</v>
      </c>
      <c r="B1440" s="9"/>
      <c r="C1440" s="28"/>
      <c r="D1440" s="23"/>
      <c r="E1440" s="93"/>
      <c r="F1440" s="24"/>
      <c r="G1440" s="130"/>
      <c r="H1440" s="46"/>
      <c r="I1440" s="131"/>
      <c r="J1440" s="126"/>
      <c r="K1440" s="121"/>
      <c r="L1440" s="78"/>
      <c r="M1440" s="72">
        <f ca="1">IF(INDIRECT(ADDRESS(ROW(),3))&lt;&gt;"",getIBANchecksum(INDIRECT(ADDRESS(ROW(),3))),98)</f>
        <v>98</v>
      </c>
    </row>
    <row r="1441" spans="1:13">
      <c r="A1441" s="96">
        <f t="shared" si="23"/>
        <v>1422</v>
      </c>
      <c r="B1441" s="9"/>
      <c r="C1441" s="28"/>
      <c r="D1441" s="23"/>
      <c r="E1441" s="93"/>
      <c r="F1441" s="24"/>
      <c r="G1441" s="130"/>
      <c r="H1441" s="46"/>
      <c r="I1441" s="131"/>
      <c r="J1441" s="126"/>
      <c r="K1441" s="121"/>
      <c r="L1441" s="78"/>
      <c r="M1441" s="72">
        <f ca="1">IF(INDIRECT(ADDRESS(ROW(),3))&lt;&gt;"",getIBANchecksum(INDIRECT(ADDRESS(ROW(),3))),98)</f>
        <v>98</v>
      </c>
    </row>
    <row r="1442" spans="1:13">
      <c r="A1442" s="96">
        <f t="shared" si="23"/>
        <v>1423</v>
      </c>
      <c r="B1442" s="9"/>
      <c r="C1442" s="28"/>
      <c r="D1442" s="23"/>
      <c r="E1442" s="93"/>
      <c r="F1442" s="24"/>
      <c r="G1442" s="130"/>
      <c r="H1442" s="46"/>
      <c r="I1442" s="131"/>
      <c r="J1442" s="126"/>
      <c r="K1442" s="121"/>
      <c r="L1442" s="78"/>
      <c r="M1442" s="72">
        <f ca="1">IF(INDIRECT(ADDRESS(ROW(),3))&lt;&gt;"",getIBANchecksum(INDIRECT(ADDRESS(ROW(),3))),98)</f>
        <v>98</v>
      </c>
    </row>
    <row r="1443" spans="1:13">
      <c r="A1443" s="96">
        <f t="shared" si="23"/>
        <v>1424</v>
      </c>
      <c r="B1443" s="9"/>
      <c r="C1443" s="28"/>
      <c r="D1443" s="23"/>
      <c r="E1443" s="93"/>
      <c r="F1443" s="24"/>
      <c r="G1443" s="130"/>
      <c r="H1443" s="46"/>
      <c r="I1443" s="131"/>
      <c r="J1443" s="126"/>
      <c r="K1443" s="121"/>
      <c r="L1443" s="78"/>
      <c r="M1443" s="72">
        <f ca="1">IF(INDIRECT(ADDRESS(ROW(),3))&lt;&gt;"",getIBANchecksum(INDIRECT(ADDRESS(ROW(),3))),98)</f>
        <v>98</v>
      </c>
    </row>
    <row r="1444" spans="1:13">
      <c r="A1444" s="96">
        <f t="shared" si="23"/>
        <v>1425</v>
      </c>
      <c r="B1444" s="9"/>
      <c r="C1444" s="28"/>
      <c r="D1444" s="23"/>
      <c r="E1444" s="93"/>
      <c r="F1444" s="24"/>
      <c r="G1444" s="130"/>
      <c r="H1444" s="46"/>
      <c r="I1444" s="131"/>
      <c r="J1444" s="126"/>
      <c r="K1444" s="121"/>
      <c r="L1444" s="78"/>
      <c r="M1444" s="72">
        <f ca="1">IF(INDIRECT(ADDRESS(ROW(),3))&lt;&gt;"",getIBANchecksum(INDIRECT(ADDRESS(ROW(),3))),98)</f>
        <v>98</v>
      </c>
    </row>
    <row r="1445" spans="1:13">
      <c r="A1445" s="96">
        <f t="shared" si="23"/>
        <v>1426</v>
      </c>
      <c r="B1445" s="9"/>
      <c r="C1445" s="28"/>
      <c r="D1445" s="23"/>
      <c r="E1445" s="93"/>
      <c r="F1445" s="24"/>
      <c r="G1445" s="130"/>
      <c r="H1445" s="46"/>
      <c r="I1445" s="131"/>
      <c r="J1445" s="126"/>
      <c r="K1445" s="121"/>
      <c r="L1445" s="78"/>
      <c r="M1445" s="72">
        <f ca="1">IF(INDIRECT(ADDRESS(ROW(),3))&lt;&gt;"",getIBANchecksum(INDIRECT(ADDRESS(ROW(),3))),98)</f>
        <v>98</v>
      </c>
    </row>
    <row r="1446" spans="1:13">
      <c r="A1446" s="96">
        <f t="shared" si="23"/>
        <v>1427</v>
      </c>
      <c r="B1446" s="9"/>
      <c r="C1446" s="28"/>
      <c r="D1446" s="23"/>
      <c r="E1446" s="93"/>
      <c r="F1446" s="24"/>
      <c r="G1446" s="130"/>
      <c r="H1446" s="46"/>
      <c r="I1446" s="131"/>
      <c r="J1446" s="126"/>
      <c r="K1446" s="121"/>
      <c r="L1446" s="78"/>
      <c r="M1446" s="72">
        <f ca="1">IF(INDIRECT(ADDRESS(ROW(),3))&lt;&gt;"",getIBANchecksum(INDIRECT(ADDRESS(ROW(),3))),98)</f>
        <v>98</v>
      </c>
    </row>
    <row r="1447" spans="1:13">
      <c r="A1447" s="96">
        <f t="shared" si="23"/>
        <v>1428</v>
      </c>
      <c r="B1447" s="9"/>
      <c r="C1447" s="28"/>
      <c r="D1447" s="23"/>
      <c r="E1447" s="93"/>
      <c r="F1447" s="24"/>
      <c r="G1447" s="130"/>
      <c r="H1447" s="46"/>
      <c r="I1447" s="131"/>
      <c r="J1447" s="126"/>
      <c r="K1447" s="121"/>
      <c r="L1447" s="78"/>
      <c r="M1447" s="72">
        <f ca="1">IF(INDIRECT(ADDRESS(ROW(),3))&lt;&gt;"",getIBANchecksum(INDIRECT(ADDRESS(ROW(),3))),98)</f>
        <v>98</v>
      </c>
    </row>
    <row r="1448" spans="1:13">
      <c r="A1448" s="96">
        <f t="shared" si="23"/>
        <v>1429</v>
      </c>
      <c r="B1448" s="9"/>
      <c r="C1448" s="28"/>
      <c r="D1448" s="23"/>
      <c r="E1448" s="93"/>
      <c r="F1448" s="24"/>
      <c r="G1448" s="130"/>
      <c r="H1448" s="46"/>
      <c r="I1448" s="131"/>
      <c r="J1448" s="126"/>
      <c r="K1448" s="121"/>
      <c r="L1448" s="78"/>
      <c r="M1448" s="72">
        <f ca="1">IF(INDIRECT(ADDRESS(ROW(),3))&lt;&gt;"",getIBANchecksum(INDIRECT(ADDRESS(ROW(),3))),98)</f>
        <v>98</v>
      </c>
    </row>
    <row r="1449" spans="1:13">
      <c r="A1449" s="96">
        <f t="shared" si="23"/>
        <v>1430</v>
      </c>
      <c r="B1449" s="9"/>
      <c r="C1449" s="28"/>
      <c r="D1449" s="23"/>
      <c r="E1449" s="93"/>
      <c r="F1449" s="24"/>
      <c r="G1449" s="130"/>
      <c r="H1449" s="46"/>
      <c r="I1449" s="131"/>
      <c r="J1449" s="126"/>
      <c r="K1449" s="121"/>
      <c r="L1449" s="78"/>
      <c r="M1449" s="72">
        <f ca="1">IF(INDIRECT(ADDRESS(ROW(),3))&lt;&gt;"",getIBANchecksum(INDIRECT(ADDRESS(ROW(),3))),98)</f>
        <v>98</v>
      </c>
    </row>
    <row r="1450" spans="1:13">
      <c r="A1450" s="96">
        <f t="shared" si="23"/>
        <v>1431</v>
      </c>
      <c r="B1450" s="9"/>
      <c r="C1450" s="28"/>
      <c r="D1450" s="23"/>
      <c r="E1450" s="93"/>
      <c r="F1450" s="24"/>
      <c r="G1450" s="130"/>
      <c r="H1450" s="46"/>
      <c r="I1450" s="131"/>
      <c r="J1450" s="126"/>
      <c r="K1450" s="121"/>
      <c r="L1450" s="78"/>
      <c r="M1450" s="72">
        <f ca="1">IF(INDIRECT(ADDRESS(ROW(),3))&lt;&gt;"",getIBANchecksum(INDIRECT(ADDRESS(ROW(),3))),98)</f>
        <v>98</v>
      </c>
    </row>
    <row r="1451" spans="1:13">
      <c r="A1451" s="96">
        <f t="shared" si="23"/>
        <v>1432</v>
      </c>
      <c r="B1451" s="9"/>
      <c r="C1451" s="28"/>
      <c r="D1451" s="23"/>
      <c r="E1451" s="93"/>
      <c r="F1451" s="24"/>
      <c r="G1451" s="130"/>
      <c r="H1451" s="46"/>
      <c r="I1451" s="131"/>
      <c r="J1451" s="126"/>
      <c r="K1451" s="121"/>
      <c r="L1451" s="78"/>
      <c r="M1451" s="72">
        <f ca="1">IF(INDIRECT(ADDRESS(ROW(),3))&lt;&gt;"",getIBANchecksum(INDIRECT(ADDRESS(ROW(),3))),98)</f>
        <v>98</v>
      </c>
    </row>
    <row r="1452" spans="1:13">
      <c r="A1452" s="96">
        <f t="shared" si="23"/>
        <v>1433</v>
      </c>
      <c r="B1452" s="9"/>
      <c r="C1452" s="28"/>
      <c r="D1452" s="23"/>
      <c r="E1452" s="93"/>
      <c r="F1452" s="24"/>
      <c r="G1452" s="130"/>
      <c r="H1452" s="46"/>
      <c r="I1452" s="131"/>
      <c r="J1452" s="126"/>
      <c r="K1452" s="121"/>
      <c r="L1452" s="78"/>
      <c r="M1452" s="72">
        <f ca="1">IF(INDIRECT(ADDRESS(ROW(),3))&lt;&gt;"",getIBANchecksum(INDIRECT(ADDRESS(ROW(),3))),98)</f>
        <v>98</v>
      </c>
    </row>
    <row r="1453" spans="1:13">
      <c r="A1453" s="96">
        <f t="shared" si="23"/>
        <v>1434</v>
      </c>
      <c r="B1453" s="9"/>
      <c r="C1453" s="28"/>
      <c r="D1453" s="23"/>
      <c r="E1453" s="93"/>
      <c r="F1453" s="24"/>
      <c r="G1453" s="130"/>
      <c r="H1453" s="46"/>
      <c r="I1453" s="131"/>
      <c r="J1453" s="126"/>
      <c r="K1453" s="121"/>
      <c r="L1453" s="78"/>
      <c r="M1453" s="72">
        <f ca="1">IF(INDIRECT(ADDRESS(ROW(),3))&lt;&gt;"",getIBANchecksum(INDIRECT(ADDRESS(ROW(),3))),98)</f>
        <v>98</v>
      </c>
    </row>
    <row r="1454" spans="1:13">
      <c r="A1454" s="96">
        <f t="shared" si="23"/>
        <v>1435</v>
      </c>
      <c r="B1454" s="9"/>
      <c r="C1454" s="28"/>
      <c r="D1454" s="23"/>
      <c r="E1454" s="93"/>
      <c r="F1454" s="24"/>
      <c r="G1454" s="130"/>
      <c r="H1454" s="46"/>
      <c r="I1454" s="131"/>
      <c r="J1454" s="126"/>
      <c r="K1454" s="121"/>
      <c r="L1454" s="78"/>
      <c r="M1454" s="72">
        <f ca="1">IF(INDIRECT(ADDRESS(ROW(),3))&lt;&gt;"",getIBANchecksum(INDIRECT(ADDRESS(ROW(),3))),98)</f>
        <v>98</v>
      </c>
    </row>
    <row r="1455" spans="1:13">
      <c r="A1455" s="96">
        <f t="shared" si="23"/>
        <v>1436</v>
      </c>
      <c r="B1455" s="9"/>
      <c r="C1455" s="28"/>
      <c r="D1455" s="23"/>
      <c r="E1455" s="93"/>
      <c r="F1455" s="24"/>
      <c r="G1455" s="130"/>
      <c r="H1455" s="46"/>
      <c r="I1455" s="131"/>
      <c r="J1455" s="126"/>
      <c r="K1455" s="121"/>
      <c r="L1455" s="78"/>
      <c r="M1455" s="72">
        <f ca="1">IF(INDIRECT(ADDRESS(ROW(),3))&lt;&gt;"",getIBANchecksum(INDIRECT(ADDRESS(ROW(),3))),98)</f>
        <v>98</v>
      </c>
    </row>
    <row r="1456" spans="1:13">
      <c r="A1456" s="96">
        <f t="shared" si="23"/>
        <v>1437</v>
      </c>
      <c r="B1456" s="9"/>
      <c r="C1456" s="28"/>
      <c r="D1456" s="23"/>
      <c r="E1456" s="93"/>
      <c r="F1456" s="24"/>
      <c r="G1456" s="130"/>
      <c r="H1456" s="46"/>
      <c r="I1456" s="131"/>
      <c r="J1456" s="126"/>
      <c r="K1456" s="121"/>
      <c r="L1456" s="78"/>
      <c r="M1456" s="72">
        <f ca="1">IF(INDIRECT(ADDRESS(ROW(),3))&lt;&gt;"",getIBANchecksum(INDIRECT(ADDRESS(ROW(),3))),98)</f>
        <v>98</v>
      </c>
    </row>
    <row r="1457" spans="1:13">
      <c r="A1457" s="96">
        <f t="shared" si="23"/>
        <v>1438</v>
      </c>
      <c r="B1457" s="9"/>
      <c r="C1457" s="28"/>
      <c r="D1457" s="23"/>
      <c r="E1457" s="93"/>
      <c r="F1457" s="24"/>
      <c r="G1457" s="130"/>
      <c r="H1457" s="46"/>
      <c r="I1457" s="131"/>
      <c r="J1457" s="126"/>
      <c r="K1457" s="121"/>
      <c r="L1457" s="78"/>
      <c r="M1457" s="72">
        <f ca="1">IF(INDIRECT(ADDRESS(ROW(),3))&lt;&gt;"",getIBANchecksum(INDIRECT(ADDRESS(ROW(),3))),98)</f>
        <v>98</v>
      </c>
    </row>
    <row r="1458" spans="1:13">
      <c r="A1458" s="96">
        <f t="shared" si="23"/>
        <v>1439</v>
      </c>
      <c r="B1458" s="9"/>
      <c r="C1458" s="28"/>
      <c r="D1458" s="23"/>
      <c r="E1458" s="93"/>
      <c r="F1458" s="24"/>
      <c r="G1458" s="130"/>
      <c r="H1458" s="46"/>
      <c r="I1458" s="131"/>
      <c r="J1458" s="126"/>
      <c r="K1458" s="121"/>
      <c r="L1458" s="78"/>
      <c r="M1458" s="72">
        <f ca="1">IF(INDIRECT(ADDRESS(ROW(),3))&lt;&gt;"",getIBANchecksum(INDIRECT(ADDRESS(ROW(),3))),98)</f>
        <v>98</v>
      </c>
    </row>
    <row r="1459" spans="1:13">
      <c r="A1459" s="96">
        <f t="shared" si="23"/>
        <v>1440</v>
      </c>
      <c r="B1459" s="9"/>
      <c r="C1459" s="28"/>
      <c r="D1459" s="23"/>
      <c r="E1459" s="93"/>
      <c r="F1459" s="24"/>
      <c r="G1459" s="130"/>
      <c r="H1459" s="46"/>
      <c r="I1459" s="131"/>
      <c r="J1459" s="126"/>
      <c r="K1459" s="121"/>
      <c r="L1459" s="78"/>
      <c r="M1459" s="72">
        <f ca="1">IF(INDIRECT(ADDRESS(ROW(),3))&lt;&gt;"",getIBANchecksum(INDIRECT(ADDRESS(ROW(),3))),98)</f>
        <v>98</v>
      </c>
    </row>
    <row r="1460" spans="1:13">
      <c r="A1460" s="96">
        <f t="shared" si="23"/>
        <v>1441</v>
      </c>
      <c r="B1460" s="9"/>
      <c r="C1460" s="28"/>
      <c r="D1460" s="23"/>
      <c r="E1460" s="93"/>
      <c r="F1460" s="24"/>
      <c r="G1460" s="130"/>
      <c r="H1460" s="46"/>
      <c r="I1460" s="131"/>
      <c r="J1460" s="126"/>
      <c r="K1460" s="121"/>
      <c r="L1460" s="78"/>
      <c r="M1460" s="72">
        <f ca="1">IF(INDIRECT(ADDRESS(ROW(),3))&lt;&gt;"",getIBANchecksum(INDIRECT(ADDRESS(ROW(),3))),98)</f>
        <v>98</v>
      </c>
    </row>
    <row r="1461" spans="1:13">
      <c r="A1461" s="96">
        <f t="shared" si="23"/>
        <v>1442</v>
      </c>
      <c r="B1461" s="9"/>
      <c r="C1461" s="28"/>
      <c r="D1461" s="23"/>
      <c r="E1461" s="93"/>
      <c r="F1461" s="24"/>
      <c r="G1461" s="130"/>
      <c r="H1461" s="46"/>
      <c r="I1461" s="131"/>
      <c r="J1461" s="126"/>
      <c r="K1461" s="121"/>
      <c r="L1461" s="78"/>
      <c r="M1461" s="72">
        <f ca="1">IF(INDIRECT(ADDRESS(ROW(),3))&lt;&gt;"",getIBANchecksum(INDIRECT(ADDRESS(ROW(),3))),98)</f>
        <v>98</v>
      </c>
    </row>
    <row r="1462" spans="1:13">
      <c r="A1462" s="96">
        <f t="shared" si="23"/>
        <v>1443</v>
      </c>
      <c r="B1462" s="9"/>
      <c r="C1462" s="28"/>
      <c r="D1462" s="23"/>
      <c r="E1462" s="93"/>
      <c r="F1462" s="24"/>
      <c r="G1462" s="130"/>
      <c r="H1462" s="46"/>
      <c r="I1462" s="131"/>
      <c r="J1462" s="126"/>
      <c r="K1462" s="121"/>
      <c r="L1462" s="78"/>
      <c r="M1462" s="72">
        <f ca="1">IF(INDIRECT(ADDRESS(ROW(),3))&lt;&gt;"",getIBANchecksum(INDIRECT(ADDRESS(ROW(),3))),98)</f>
        <v>98</v>
      </c>
    </row>
    <row r="1463" spans="1:13">
      <c r="A1463" s="96">
        <f t="shared" si="23"/>
        <v>1444</v>
      </c>
      <c r="B1463" s="9"/>
      <c r="C1463" s="28"/>
      <c r="D1463" s="23"/>
      <c r="E1463" s="93"/>
      <c r="F1463" s="24"/>
      <c r="G1463" s="130"/>
      <c r="H1463" s="46"/>
      <c r="I1463" s="131"/>
      <c r="J1463" s="126"/>
      <c r="K1463" s="121"/>
      <c r="L1463" s="78"/>
      <c r="M1463" s="72">
        <f ca="1">IF(INDIRECT(ADDRESS(ROW(),3))&lt;&gt;"",getIBANchecksum(INDIRECT(ADDRESS(ROW(),3))),98)</f>
        <v>98</v>
      </c>
    </row>
    <row r="1464" spans="1:13">
      <c r="A1464" s="96">
        <f t="shared" si="23"/>
        <v>1445</v>
      </c>
      <c r="B1464" s="9"/>
      <c r="C1464" s="28"/>
      <c r="D1464" s="23"/>
      <c r="E1464" s="93"/>
      <c r="F1464" s="24"/>
      <c r="G1464" s="130"/>
      <c r="H1464" s="46"/>
      <c r="I1464" s="131"/>
      <c r="J1464" s="126"/>
      <c r="K1464" s="121"/>
      <c r="L1464" s="78"/>
      <c r="M1464" s="72">
        <f ca="1">IF(INDIRECT(ADDRESS(ROW(),3))&lt;&gt;"",getIBANchecksum(INDIRECT(ADDRESS(ROW(),3))),98)</f>
        <v>98</v>
      </c>
    </row>
    <row r="1465" spans="1:13">
      <c r="A1465" s="96">
        <f t="shared" si="23"/>
        <v>1446</v>
      </c>
      <c r="B1465" s="9"/>
      <c r="C1465" s="28"/>
      <c r="D1465" s="23"/>
      <c r="E1465" s="93"/>
      <c r="F1465" s="24"/>
      <c r="G1465" s="130"/>
      <c r="H1465" s="46"/>
      <c r="I1465" s="131"/>
      <c r="J1465" s="126"/>
      <c r="K1465" s="121"/>
      <c r="L1465" s="78"/>
      <c r="M1465" s="72">
        <f ca="1">IF(INDIRECT(ADDRESS(ROW(),3))&lt;&gt;"",getIBANchecksum(INDIRECT(ADDRESS(ROW(),3))),98)</f>
        <v>98</v>
      </c>
    </row>
    <row r="1466" spans="1:13">
      <c r="A1466" s="96">
        <f t="shared" si="23"/>
        <v>1447</v>
      </c>
      <c r="B1466" s="9"/>
      <c r="C1466" s="28"/>
      <c r="D1466" s="23"/>
      <c r="E1466" s="93"/>
      <c r="F1466" s="24"/>
      <c r="G1466" s="130"/>
      <c r="H1466" s="46"/>
      <c r="I1466" s="131"/>
      <c r="J1466" s="126"/>
      <c r="K1466" s="121"/>
      <c r="L1466" s="78"/>
      <c r="M1466" s="72">
        <f ca="1">IF(INDIRECT(ADDRESS(ROW(),3))&lt;&gt;"",getIBANchecksum(INDIRECT(ADDRESS(ROW(),3))),98)</f>
        <v>98</v>
      </c>
    </row>
    <row r="1467" spans="1:13">
      <c r="A1467" s="96">
        <f t="shared" si="23"/>
        <v>1448</v>
      </c>
      <c r="B1467" s="9"/>
      <c r="C1467" s="28"/>
      <c r="D1467" s="23"/>
      <c r="E1467" s="93"/>
      <c r="F1467" s="24"/>
      <c r="G1467" s="130"/>
      <c r="H1467" s="46"/>
      <c r="I1467" s="131"/>
      <c r="J1467" s="126"/>
      <c r="K1467" s="121"/>
      <c r="L1467" s="78"/>
      <c r="M1467" s="72">
        <f ca="1">IF(INDIRECT(ADDRESS(ROW(),3))&lt;&gt;"",getIBANchecksum(INDIRECT(ADDRESS(ROW(),3))),98)</f>
        <v>98</v>
      </c>
    </row>
    <row r="1468" spans="1:13">
      <c r="A1468" s="96">
        <f t="shared" si="23"/>
        <v>1449</v>
      </c>
      <c r="B1468" s="9"/>
      <c r="C1468" s="28"/>
      <c r="D1468" s="23"/>
      <c r="E1468" s="93"/>
      <c r="F1468" s="24"/>
      <c r="G1468" s="130"/>
      <c r="H1468" s="46"/>
      <c r="I1468" s="131"/>
      <c r="J1468" s="126"/>
      <c r="K1468" s="121"/>
      <c r="L1468" s="78"/>
      <c r="M1468" s="72">
        <f ca="1">IF(INDIRECT(ADDRESS(ROW(),3))&lt;&gt;"",getIBANchecksum(INDIRECT(ADDRESS(ROW(),3))),98)</f>
        <v>98</v>
      </c>
    </row>
    <row r="1469" spans="1:13">
      <c r="A1469" s="96">
        <f t="shared" si="23"/>
        <v>1450</v>
      </c>
      <c r="B1469" s="9"/>
      <c r="C1469" s="28"/>
      <c r="D1469" s="23"/>
      <c r="E1469" s="93"/>
      <c r="F1469" s="24"/>
      <c r="G1469" s="130"/>
      <c r="H1469" s="46"/>
      <c r="I1469" s="131"/>
      <c r="J1469" s="126"/>
      <c r="K1469" s="121"/>
      <c r="L1469" s="78"/>
      <c r="M1469" s="72">
        <f ca="1">IF(INDIRECT(ADDRESS(ROW(),3))&lt;&gt;"",getIBANchecksum(INDIRECT(ADDRESS(ROW(),3))),98)</f>
        <v>98</v>
      </c>
    </row>
    <row r="1470" spans="1:13">
      <c r="A1470" s="96">
        <f t="shared" si="23"/>
        <v>1451</v>
      </c>
      <c r="B1470" s="9"/>
      <c r="C1470" s="28"/>
      <c r="D1470" s="23"/>
      <c r="E1470" s="93"/>
      <c r="F1470" s="24"/>
      <c r="G1470" s="130"/>
      <c r="H1470" s="46"/>
      <c r="I1470" s="131"/>
      <c r="J1470" s="126"/>
      <c r="K1470" s="121"/>
      <c r="L1470" s="78"/>
      <c r="M1470" s="72">
        <f ca="1">IF(INDIRECT(ADDRESS(ROW(),3))&lt;&gt;"",getIBANchecksum(INDIRECT(ADDRESS(ROW(),3))),98)</f>
        <v>98</v>
      </c>
    </row>
    <row r="1471" spans="1:13">
      <c r="A1471" s="96">
        <f t="shared" si="23"/>
        <v>1452</v>
      </c>
      <c r="B1471" s="9"/>
      <c r="C1471" s="28"/>
      <c r="D1471" s="23"/>
      <c r="E1471" s="93"/>
      <c r="F1471" s="24"/>
      <c r="G1471" s="130"/>
      <c r="H1471" s="46"/>
      <c r="I1471" s="131"/>
      <c r="J1471" s="126"/>
      <c r="K1471" s="121"/>
      <c r="L1471" s="78"/>
      <c r="M1471" s="72">
        <f ca="1">IF(INDIRECT(ADDRESS(ROW(),3))&lt;&gt;"",getIBANchecksum(INDIRECT(ADDRESS(ROW(),3))),98)</f>
        <v>98</v>
      </c>
    </row>
    <row r="1472" spans="1:13">
      <c r="A1472" s="96">
        <f t="shared" si="23"/>
        <v>1453</v>
      </c>
      <c r="B1472" s="9"/>
      <c r="C1472" s="28"/>
      <c r="D1472" s="23"/>
      <c r="E1472" s="93"/>
      <c r="F1472" s="24"/>
      <c r="G1472" s="130"/>
      <c r="H1472" s="46"/>
      <c r="I1472" s="131"/>
      <c r="J1472" s="126"/>
      <c r="K1472" s="121"/>
      <c r="L1472" s="78"/>
      <c r="M1472" s="72">
        <f ca="1">IF(INDIRECT(ADDRESS(ROW(),3))&lt;&gt;"",getIBANchecksum(INDIRECT(ADDRESS(ROW(),3))),98)</f>
        <v>98</v>
      </c>
    </row>
    <row r="1473" spans="1:13">
      <c r="A1473" s="96">
        <f t="shared" si="23"/>
        <v>1454</v>
      </c>
      <c r="B1473" s="9"/>
      <c r="C1473" s="28"/>
      <c r="D1473" s="23"/>
      <c r="E1473" s="93"/>
      <c r="F1473" s="24"/>
      <c r="G1473" s="130"/>
      <c r="H1473" s="46"/>
      <c r="I1473" s="131"/>
      <c r="J1473" s="126"/>
      <c r="K1473" s="121"/>
      <c r="L1473" s="78"/>
      <c r="M1473" s="72">
        <f ca="1">IF(INDIRECT(ADDRESS(ROW(),3))&lt;&gt;"",getIBANchecksum(INDIRECT(ADDRESS(ROW(),3))),98)</f>
        <v>98</v>
      </c>
    </row>
    <row r="1474" spans="1:13">
      <c r="A1474" s="96">
        <f t="shared" si="23"/>
        <v>1455</v>
      </c>
      <c r="B1474" s="9"/>
      <c r="C1474" s="28"/>
      <c r="D1474" s="23"/>
      <c r="E1474" s="93"/>
      <c r="F1474" s="24"/>
      <c r="G1474" s="130"/>
      <c r="H1474" s="46"/>
      <c r="I1474" s="131"/>
      <c r="J1474" s="126"/>
      <c r="K1474" s="121"/>
      <c r="L1474" s="78"/>
      <c r="M1474" s="72">
        <f ca="1">IF(INDIRECT(ADDRESS(ROW(),3))&lt;&gt;"",getIBANchecksum(INDIRECT(ADDRESS(ROW(),3))),98)</f>
        <v>98</v>
      </c>
    </row>
    <row r="1475" spans="1:13">
      <c r="A1475" s="96">
        <f t="shared" si="23"/>
        <v>1456</v>
      </c>
      <c r="B1475" s="9"/>
      <c r="C1475" s="28"/>
      <c r="D1475" s="23"/>
      <c r="E1475" s="93"/>
      <c r="F1475" s="24"/>
      <c r="G1475" s="130"/>
      <c r="H1475" s="46"/>
      <c r="I1475" s="131"/>
      <c r="J1475" s="126"/>
      <c r="K1475" s="121"/>
      <c r="L1475" s="78"/>
      <c r="M1475" s="72">
        <f ca="1">IF(INDIRECT(ADDRESS(ROW(),3))&lt;&gt;"",getIBANchecksum(INDIRECT(ADDRESS(ROW(),3))),98)</f>
        <v>98</v>
      </c>
    </row>
    <row r="1476" spans="1:13">
      <c r="A1476" s="96">
        <f t="shared" si="23"/>
        <v>1457</v>
      </c>
      <c r="B1476" s="9"/>
      <c r="C1476" s="28"/>
      <c r="D1476" s="23"/>
      <c r="E1476" s="93"/>
      <c r="F1476" s="24"/>
      <c r="G1476" s="130"/>
      <c r="H1476" s="46"/>
      <c r="I1476" s="131"/>
      <c r="J1476" s="126"/>
      <c r="K1476" s="121"/>
      <c r="L1476" s="78"/>
      <c r="M1476" s="72">
        <f ca="1">IF(INDIRECT(ADDRESS(ROW(),3))&lt;&gt;"",getIBANchecksum(INDIRECT(ADDRESS(ROW(),3))),98)</f>
        <v>98</v>
      </c>
    </row>
    <row r="1477" spans="1:13">
      <c r="A1477" s="96">
        <f t="shared" si="23"/>
        <v>1458</v>
      </c>
      <c r="B1477" s="9"/>
      <c r="C1477" s="28"/>
      <c r="D1477" s="23"/>
      <c r="E1477" s="93"/>
      <c r="F1477" s="24"/>
      <c r="G1477" s="130"/>
      <c r="H1477" s="46"/>
      <c r="I1477" s="131"/>
      <c r="J1477" s="126"/>
      <c r="K1477" s="121"/>
      <c r="L1477" s="78"/>
      <c r="M1477" s="72">
        <f ca="1">IF(INDIRECT(ADDRESS(ROW(),3))&lt;&gt;"",getIBANchecksum(INDIRECT(ADDRESS(ROW(),3))),98)</f>
        <v>98</v>
      </c>
    </row>
    <row r="1478" spans="1:13">
      <c r="A1478" s="96">
        <f t="shared" si="23"/>
        <v>1459</v>
      </c>
      <c r="B1478" s="9"/>
      <c r="C1478" s="28"/>
      <c r="D1478" s="23"/>
      <c r="E1478" s="93"/>
      <c r="F1478" s="24"/>
      <c r="G1478" s="130"/>
      <c r="H1478" s="46"/>
      <c r="I1478" s="131"/>
      <c r="J1478" s="126"/>
      <c r="K1478" s="121"/>
      <c r="L1478" s="78"/>
      <c r="M1478" s="72">
        <f ca="1">IF(INDIRECT(ADDRESS(ROW(),3))&lt;&gt;"",getIBANchecksum(INDIRECT(ADDRESS(ROW(),3))),98)</f>
        <v>98</v>
      </c>
    </row>
    <row r="1479" spans="1:13">
      <c r="A1479" s="96">
        <f t="shared" si="23"/>
        <v>1460</v>
      </c>
      <c r="B1479" s="9"/>
      <c r="C1479" s="28"/>
      <c r="D1479" s="23"/>
      <c r="E1479" s="93"/>
      <c r="F1479" s="24"/>
      <c r="G1479" s="130"/>
      <c r="H1479" s="46"/>
      <c r="I1479" s="131"/>
      <c r="J1479" s="126"/>
      <c r="K1479" s="121"/>
      <c r="L1479" s="78"/>
      <c r="M1479" s="72">
        <f ca="1">IF(INDIRECT(ADDRESS(ROW(),3))&lt;&gt;"",getIBANchecksum(INDIRECT(ADDRESS(ROW(),3))),98)</f>
        <v>98</v>
      </c>
    </row>
    <row r="1480" spans="1:13">
      <c r="A1480" s="96">
        <f t="shared" si="23"/>
        <v>1461</v>
      </c>
      <c r="B1480" s="9"/>
      <c r="C1480" s="28"/>
      <c r="D1480" s="23"/>
      <c r="E1480" s="93"/>
      <c r="F1480" s="24"/>
      <c r="G1480" s="130"/>
      <c r="H1480" s="46"/>
      <c r="I1480" s="131"/>
      <c r="J1480" s="126"/>
      <c r="K1480" s="121"/>
      <c r="L1480" s="78"/>
      <c r="M1480" s="72">
        <f ca="1">IF(INDIRECT(ADDRESS(ROW(),3))&lt;&gt;"",getIBANchecksum(INDIRECT(ADDRESS(ROW(),3))),98)</f>
        <v>98</v>
      </c>
    </row>
    <row r="1481" spans="1:13">
      <c r="A1481" s="96">
        <f t="shared" si="23"/>
        <v>1462</v>
      </c>
      <c r="B1481" s="9"/>
      <c r="C1481" s="28"/>
      <c r="D1481" s="23"/>
      <c r="E1481" s="93"/>
      <c r="F1481" s="24"/>
      <c r="G1481" s="130"/>
      <c r="H1481" s="46"/>
      <c r="I1481" s="131"/>
      <c r="J1481" s="126"/>
      <c r="K1481" s="121"/>
      <c r="L1481" s="78"/>
      <c r="M1481" s="72">
        <f ca="1">IF(INDIRECT(ADDRESS(ROW(),3))&lt;&gt;"",getIBANchecksum(INDIRECT(ADDRESS(ROW(),3))),98)</f>
        <v>98</v>
      </c>
    </row>
    <row r="1482" spans="1:13">
      <c r="A1482" s="96">
        <f t="shared" si="23"/>
        <v>1463</v>
      </c>
      <c r="B1482" s="9"/>
      <c r="C1482" s="28"/>
      <c r="D1482" s="23"/>
      <c r="E1482" s="93"/>
      <c r="F1482" s="24"/>
      <c r="G1482" s="130"/>
      <c r="H1482" s="46"/>
      <c r="I1482" s="131"/>
      <c r="J1482" s="126"/>
      <c r="K1482" s="121"/>
      <c r="L1482" s="78"/>
      <c r="M1482" s="72">
        <f ca="1">IF(INDIRECT(ADDRESS(ROW(),3))&lt;&gt;"",getIBANchecksum(INDIRECT(ADDRESS(ROW(),3))),98)</f>
        <v>98</v>
      </c>
    </row>
    <row r="1483" spans="1:13">
      <c r="A1483" s="96">
        <f t="shared" si="23"/>
        <v>1464</v>
      </c>
      <c r="B1483" s="9"/>
      <c r="C1483" s="28"/>
      <c r="D1483" s="23"/>
      <c r="E1483" s="93"/>
      <c r="F1483" s="24"/>
      <c r="G1483" s="130"/>
      <c r="H1483" s="46"/>
      <c r="I1483" s="131"/>
      <c r="J1483" s="126"/>
      <c r="K1483" s="121"/>
      <c r="L1483" s="78"/>
      <c r="M1483" s="72">
        <f ca="1">IF(INDIRECT(ADDRESS(ROW(),3))&lt;&gt;"",getIBANchecksum(INDIRECT(ADDRESS(ROW(),3))),98)</f>
        <v>98</v>
      </c>
    </row>
    <row r="1484" spans="1:13">
      <c r="A1484" s="96">
        <f t="shared" si="23"/>
        <v>1465</v>
      </c>
      <c r="B1484" s="9"/>
      <c r="C1484" s="28"/>
      <c r="D1484" s="23"/>
      <c r="E1484" s="93"/>
      <c r="F1484" s="24"/>
      <c r="G1484" s="130"/>
      <c r="H1484" s="46"/>
      <c r="I1484" s="131"/>
      <c r="J1484" s="126"/>
      <c r="K1484" s="121"/>
      <c r="L1484" s="78"/>
      <c r="M1484" s="72">
        <f ca="1">IF(INDIRECT(ADDRESS(ROW(),3))&lt;&gt;"",getIBANchecksum(INDIRECT(ADDRESS(ROW(),3))),98)</f>
        <v>98</v>
      </c>
    </row>
    <row r="1485" spans="1:13">
      <c r="A1485" s="96">
        <f t="shared" si="23"/>
        <v>1466</v>
      </c>
      <c r="B1485" s="9"/>
      <c r="C1485" s="28"/>
      <c r="D1485" s="23"/>
      <c r="E1485" s="93"/>
      <c r="F1485" s="24"/>
      <c r="G1485" s="130"/>
      <c r="H1485" s="46"/>
      <c r="I1485" s="131"/>
      <c r="J1485" s="126"/>
      <c r="K1485" s="121"/>
      <c r="L1485" s="78"/>
      <c r="M1485" s="72">
        <f ca="1">IF(INDIRECT(ADDRESS(ROW(),3))&lt;&gt;"",getIBANchecksum(INDIRECT(ADDRESS(ROW(),3))),98)</f>
        <v>98</v>
      </c>
    </row>
    <row r="1486" spans="1:13">
      <c r="A1486" s="96">
        <f t="shared" si="23"/>
        <v>1467</v>
      </c>
      <c r="B1486" s="9"/>
      <c r="C1486" s="28"/>
      <c r="D1486" s="23"/>
      <c r="E1486" s="93"/>
      <c r="F1486" s="24"/>
      <c r="G1486" s="130"/>
      <c r="H1486" s="46"/>
      <c r="I1486" s="131"/>
      <c r="J1486" s="126"/>
      <c r="K1486" s="121"/>
      <c r="L1486" s="78"/>
      <c r="M1486" s="72">
        <f ca="1">IF(INDIRECT(ADDRESS(ROW(),3))&lt;&gt;"",getIBANchecksum(INDIRECT(ADDRESS(ROW(),3))),98)</f>
        <v>98</v>
      </c>
    </row>
    <row r="1487" spans="1:13">
      <c r="A1487" s="96">
        <f t="shared" si="23"/>
        <v>1468</v>
      </c>
      <c r="B1487" s="9"/>
      <c r="C1487" s="28"/>
      <c r="D1487" s="23"/>
      <c r="E1487" s="93"/>
      <c r="F1487" s="24"/>
      <c r="G1487" s="130"/>
      <c r="H1487" s="46"/>
      <c r="I1487" s="131"/>
      <c r="J1487" s="126"/>
      <c r="K1487" s="121"/>
      <c r="L1487" s="78"/>
      <c r="M1487" s="72">
        <f ca="1">IF(INDIRECT(ADDRESS(ROW(),3))&lt;&gt;"",getIBANchecksum(INDIRECT(ADDRESS(ROW(),3))),98)</f>
        <v>98</v>
      </c>
    </row>
    <row r="1488" spans="1:13">
      <c r="A1488" s="96">
        <f t="shared" si="23"/>
        <v>1469</v>
      </c>
      <c r="B1488" s="9"/>
      <c r="C1488" s="28"/>
      <c r="D1488" s="23"/>
      <c r="E1488" s="93"/>
      <c r="F1488" s="24"/>
      <c r="G1488" s="130"/>
      <c r="H1488" s="46"/>
      <c r="I1488" s="131"/>
      <c r="J1488" s="126"/>
      <c r="K1488" s="121"/>
      <c r="L1488" s="78"/>
      <c r="M1488" s="72">
        <f ca="1">IF(INDIRECT(ADDRESS(ROW(),3))&lt;&gt;"",getIBANchecksum(INDIRECT(ADDRESS(ROW(),3))),98)</f>
        <v>98</v>
      </c>
    </row>
    <row r="1489" spans="1:13">
      <c r="A1489" s="96">
        <f t="shared" si="23"/>
        <v>1470</v>
      </c>
      <c r="B1489" s="9"/>
      <c r="C1489" s="28"/>
      <c r="D1489" s="23"/>
      <c r="E1489" s="93"/>
      <c r="F1489" s="24"/>
      <c r="G1489" s="130"/>
      <c r="H1489" s="46"/>
      <c r="I1489" s="131"/>
      <c r="J1489" s="126"/>
      <c r="K1489" s="121"/>
      <c r="L1489" s="78"/>
      <c r="M1489" s="72">
        <f ca="1">IF(INDIRECT(ADDRESS(ROW(),3))&lt;&gt;"",getIBANchecksum(INDIRECT(ADDRESS(ROW(),3))),98)</f>
        <v>98</v>
      </c>
    </row>
    <row r="1490" spans="1:13">
      <c r="A1490" s="96">
        <f t="shared" si="23"/>
        <v>1471</v>
      </c>
      <c r="B1490" s="9"/>
      <c r="C1490" s="28"/>
      <c r="D1490" s="23"/>
      <c r="E1490" s="93"/>
      <c r="F1490" s="24"/>
      <c r="G1490" s="130"/>
      <c r="H1490" s="46"/>
      <c r="I1490" s="131"/>
      <c r="J1490" s="126"/>
      <c r="K1490" s="121"/>
      <c r="L1490" s="78"/>
      <c r="M1490" s="72">
        <f ca="1">IF(INDIRECT(ADDRESS(ROW(),3))&lt;&gt;"",getIBANchecksum(INDIRECT(ADDRESS(ROW(),3))),98)</f>
        <v>98</v>
      </c>
    </row>
    <row r="1491" spans="1:13">
      <c r="A1491" s="96">
        <f t="shared" si="23"/>
        <v>1472</v>
      </c>
      <c r="B1491" s="9"/>
      <c r="C1491" s="28"/>
      <c r="D1491" s="23"/>
      <c r="E1491" s="93"/>
      <c r="F1491" s="24"/>
      <c r="G1491" s="130"/>
      <c r="H1491" s="46"/>
      <c r="I1491" s="131"/>
      <c r="J1491" s="126"/>
      <c r="K1491" s="121"/>
      <c r="L1491" s="78"/>
      <c r="M1491" s="72">
        <f ca="1">IF(INDIRECT(ADDRESS(ROW(),3))&lt;&gt;"",getIBANchecksum(INDIRECT(ADDRESS(ROW(),3))),98)</f>
        <v>98</v>
      </c>
    </row>
    <row r="1492" spans="1:13">
      <c r="A1492" s="96">
        <f t="shared" si="23"/>
        <v>1473</v>
      </c>
      <c r="B1492" s="9"/>
      <c r="C1492" s="28"/>
      <c r="D1492" s="23"/>
      <c r="E1492" s="93"/>
      <c r="F1492" s="24"/>
      <c r="G1492" s="130"/>
      <c r="H1492" s="46"/>
      <c r="I1492" s="131"/>
      <c r="J1492" s="126"/>
      <c r="K1492" s="121"/>
      <c r="L1492" s="78"/>
      <c r="M1492" s="72">
        <f ca="1">IF(INDIRECT(ADDRESS(ROW(),3))&lt;&gt;"",getIBANchecksum(INDIRECT(ADDRESS(ROW(),3))),98)</f>
        <v>98</v>
      </c>
    </row>
    <row r="1493" spans="1:13">
      <c r="A1493" s="96">
        <f t="shared" si="23"/>
        <v>1474</v>
      </c>
      <c r="B1493" s="9"/>
      <c r="C1493" s="28"/>
      <c r="D1493" s="23"/>
      <c r="E1493" s="93"/>
      <c r="F1493" s="24"/>
      <c r="G1493" s="130"/>
      <c r="H1493" s="46"/>
      <c r="I1493" s="131"/>
      <c r="J1493" s="126"/>
      <c r="K1493" s="121"/>
      <c r="L1493" s="78"/>
      <c r="M1493" s="72">
        <f ca="1">IF(INDIRECT(ADDRESS(ROW(),3))&lt;&gt;"",getIBANchecksum(INDIRECT(ADDRESS(ROW(),3))),98)</f>
        <v>98</v>
      </c>
    </row>
    <row r="1494" spans="1:13">
      <c r="A1494" s="96">
        <f t="shared" ref="A1494:A1519" si="24">A1493+1</f>
        <v>1475</v>
      </c>
      <c r="B1494" s="9"/>
      <c r="C1494" s="28"/>
      <c r="D1494" s="23"/>
      <c r="E1494" s="93"/>
      <c r="F1494" s="24"/>
      <c r="G1494" s="130"/>
      <c r="H1494" s="46"/>
      <c r="I1494" s="131"/>
      <c r="J1494" s="126"/>
      <c r="K1494" s="121"/>
      <c r="L1494" s="78"/>
      <c r="M1494" s="72">
        <f ca="1">IF(INDIRECT(ADDRESS(ROW(),3))&lt;&gt;"",getIBANchecksum(INDIRECT(ADDRESS(ROW(),3))),98)</f>
        <v>98</v>
      </c>
    </row>
    <row r="1495" spans="1:13">
      <c r="A1495" s="96">
        <f t="shared" si="24"/>
        <v>1476</v>
      </c>
      <c r="B1495" s="9"/>
      <c r="C1495" s="28"/>
      <c r="D1495" s="23"/>
      <c r="E1495" s="93"/>
      <c r="F1495" s="24"/>
      <c r="G1495" s="130"/>
      <c r="H1495" s="46"/>
      <c r="I1495" s="131"/>
      <c r="J1495" s="126"/>
      <c r="K1495" s="121"/>
      <c r="L1495" s="78"/>
      <c r="M1495" s="72">
        <f ca="1">IF(INDIRECT(ADDRESS(ROW(),3))&lt;&gt;"",getIBANchecksum(INDIRECT(ADDRESS(ROW(),3))),98)</f>
        <v>98</v>
      </c>
    </row>
    <row r="1496" spans="1:13">
      <c r="A1496" s="96">
        <f t="shared" si="24"/>
        <v>1477</v>
      </c>
      <c r="B1496" s="9"/>
      <c r="C1496" s="28"/>
      <c r="D1496" s="23"/>
      <c r="E1496" s="93"/>
      <c r="F1496" s="24"/>
      <c r="G1496" s="130"/>
      <c r="H1496" s="46"/>
      <c r="I1496" s="131"/>
      <c r="J1496" s="126"/>
      <c r="K1496" s="121"/>
      <c r="L1496" s="78"/>
      <c r="M1496" s="72">
        <f ca="1">IF(INDIRECT(ADDRESS(ROW(),3))&lt;&gt;"",getIBANchecksum(INDIRECT(ADDRESS(ROW(),3))),98)</f>
        <v>98</v>
      </c>
    </row>
    <row r="1497" spans="1:13">
      <c r="A1497" s="96">
        <f t="shared" si="24"/>
        <v>1478</v>
      </c>
      <c r="B1497" s="9"/>
      <c r="C1497" s="28"/>
      <c r="D1497" s="23"/>
      <c r="E1497" s="93"/>
      <c r="F1497" s="24"/>
      <c r="G1497" s="130"/>
      <c r="H1497" s="46"/>
      <c r="I1497" s="131"/>
      <c r="J1497" s="126"/>
      <c r="K1497" s="121"/>
      <c r="L1497" s="78"/>
      <c r="M1497" s="72">
        <f ca="1">IF(INDIRECT(ADDRESS(ROW(),3))&lt;&gt;"",getIBANchecksum(INDIRECT(ADDRESS(ROW(),3))),98)</f>
        <v>98</v>
      </c>
    </row>
    <row r="1498" spans="1:13">
      <c r="A1498" s="96">
        <f t="shared" si="24"/>
        <v>1479</v>
      </c>
      <c r="B1498" s="9"/>
      <c r="C1498" s="28"/>
      <c r="D1498" s="23"/>
      <c r="E1498" s="93"/>
      <c r="F1498" s="24"/>
      <c r="G1498" s="130"/>
      <c r="H1498" s="46"/>
      <c r="I1498" s="131"/>
      <c r="J1498" s="126"/>
      <c r="K1498" s="121"/>
      <c r="L1498" s="78"/>
      <c r="M1498" s="72">
        <f ca="1">IF(INDIRECT(ADDRESS(ROW(),3))&lt;&gt;"",getIBANchecksum(INDIRECT(ADDRESS(ROW(),3))),98)</f>
        <v>98</v>
      </c>
    </row>
    <row r="1499" spans="1:13">
      <c r="A1499" s="96">
        <f t="shared" si="24"/>
        <v>1480</v>
      </c>
      <c r="B1499" s="9"/>
      <c r="C1499" s="28"/>
      <c r="D1499" s="23"/>
      <c r="E1499" s="93"/>
      <c r="F1499" s="24"/>
      <c r="G1499" s="130"/>
      <c r="H1499" s="46"/>
      <c r="I1499" s="131"/>
      <c r="J1499" s="126"/>
      <c r="K1499" s="121"/>
      <c r="L1499" s="78"/>
      <c r="M1499" s="72">
        <f ca="1">IF(INDIRECT(ADDRESS(ROW(),3))&lt;&gt;"",getIBANchecksum(INDIRECT(ADDRESS(ROW(),3))),98)</f>
        <v>98</v>
      </c>
    </row>
    <row r="1500" spans="1:13">
      <c r="A1500" s="96">
        <f t="shared" si="24"/>
        <v>1481</v>
      </c>
      <c r="B1500" s="9"/>
      <c r="C1500" s="28"/>
      <c r="D1500" s="23"/>
      <c r="E1500" s="93"/>
      <c r="F1500" s="24"/>
      <c r="G1500" s="130"/>
      <c r="H1500" s="46"/>
      <c r="I1500" s="131"/>
      <c r="J1500" s="126"/>
      <c r="K1500" s="121"/>
      <c r="L1500" s="78"/>
      <c r="M1500" s="72">
        <f ca="1">IF(INDIRECT(ADDRESS(ROW(),3))&lt;&gt;"",getIBANchecksum(INDIRECT(ADDRESS(ROW(),3))),98)</f>
        <v>98</v>
      </c>
    </row>
    <row r="1501" spans="1:13">
      <c r="A1501" s="96">
        <f t="shared" si="24"/>
        <v>1482</v>
      </c>
      <c r="B1501" s="9"/>
      <c r="C1501" s="28"/>
      <c r="D1501" s="23"/>
      <c r="E1501" s="93"/>
      <c r="F1501" s="24"/>
      <c r="G1501" s="130"/>
      <c r="H1501" s="46"/>
      <c r="I1501" s="131"/>
      <c r="J1501" s="126"/>
      <c r="K1501" s="121"/>
      <c r="L1501" s="78"/>
      <c r="M1501" s="72">
        <f ca="1">IF(INDIRECT(ADDRESS(ROW(),3))&lt;&gt;"",getIBANchecksum(INDIRECT(ADDRESS(ROW(),3))),98)</f>
        <v>98</v>
      </c>
    </row>
    <row r="1502" spans="1:13">
      <c r="A1502" s="96">
        <f t="shared" si="24"/>
        <v>1483</v>
      </c>
      <c r="B1502" s="9"/>
      <c r="C1502" s="28"/>
      <c r="D1502" s="23"/>
      <c r="E1502" s="93"/>
      <c r="F1502" s="24"/>
      <c r="G1502" s="130"/>
      <c r="H1502" s="46"/>
      <c r="I1502" s="131"/>
      <c r="J1502" s="126"/>
      <c r="K1502" s="121"/>
      <c r="L1502" s="78"/>
      <c r="M1502" s="72">
        <f ca="1">IF(INDIRECT(ADDRESS(ROW(),3))&lt;&gt;"",getIBANchecksum(INDIRECT(ADDRESS(ROW(),3))),98)</f>
        <v>98</v>
      </c>
    </row>
    <row r="1503" spans="1:13">
      <c r="A1503" s="96">
        <f t="shared" si="24"/>
        <v>1484</v>
      </c>
      <c r="B1503" s="9"/>
      <c r="C1503" s="28"/>
      <c r="D1503" s="23"/>
      <c r="E1503" s="93"/>
      <c r="F1503" s="24"/>
      <c r="G1503" s="130"/>
      <c r="H1503" s="46"/>
      <c r="I1503" s="131"/>
      <c r="J1503" s="126"/>
      <c r="K1503" s="121"/>
      <c r="L1503" s="78"/>
      <c r="M1503" s="72">
        <f ca="1">IF(INDIRECT(ADDRESS(ROW(),3))&lt;&gt;"",getIBANchecksum(INDIRECT(ADDRESS(ROW(),3))),98)</f>
        <v>98</v>
      </c>
    </row>
    <row r="1504" spans="1:13">
      <c r="A1504" s="96">
        <f t="shared" si="24"/>
        <v>1485</v>
      </c>
      <c r="B1504" s="9"/>
      <c r="C1504" s="28"/>
      <c r="D1504" s="23"/>
      <c r="E1504" s="93"/>
      <c r="F1504" s="24"/>
      <c r="G1504" s="130"/>
      <c r="H1504" s="46"/>
      <c r="I1504" s="131"/>
      <c r="J1504" s="126"/>
      <c r="K1504" s="121"/>
      <c r="L1504" s="78"/>
      <c r="M1504" s="72">
        <f ca="1">IF(INDIRECT(ADDRESS(ROW(),3))&lt;&gt;"",getIBANchecksum(INDIRECT(ADDRESS(ROW(),3))),98)</f>
        <v>98</v>
      </c>
    </row>
    <row r="1505" spans="1:13">
      <c r="A1505" s="96">
        <f t="shared" si="24"/>
        <v>1486</v>
      </c>
      <c r="B1505" s="9"/>
      <c r="C1505" s="28"/>
      <c r="D1505" s="23"/>
      <c r="E1505" s="93"/>
      <c r="F1505" s="24"/>
      <c r="G1505" s="130"/>
      <c r="H1505" s="46"/>
      <c r="I1505" s="131"/>
      <c r="J1505" s="126"/>
      <c r="K1505" s="121"/>
      <c r="L1505" s="78"/>
      <c r="M1505" s="72">
        <f ca="1">IF(INDIRECT(ADDRESS(ROW(),3))&lt;&gt;"",getIBANchecksum(INDIRECT(ADDRESS(ROW(),3))),98)</f>
        <v>98</v>
      </c>
    </row>
    <row r="1506" spans="1:13">
      <c r="A1506" s="96">
        <f t="shared" si="24"/>
        <v>1487</v>
      </c>
      <c r="B1506" s="9"/>
      <c r="C1506" s="28"/>
      <c r="D1506" s="23"/>
      <c r="E1506" s="93"/>
      <c r="F1506" s="24"/>
      <c r="G1506" s="130"/>
      <c r="H1506" s="46"/>
      <c r="I1506" s="131"/>
      <c r="J1506" s="126"/>
      <c r="K1506" s="121"/>
      <c r="L1506" s="78"/>
      <c r="M1506" s="72">
        <f ca="1">IF(INDIRECT(ADDRESS(ROW(),3))&lt;&gt;"",getIBANchecksum(INDIRECT(ADDRESS(ROW(),3))),98)</f>
        <v>98</v>
      </c>
    </row>
    <row r="1507" spans="1:13">
      <c r="A1507" s="96">
        <f t="shared" si="24"/>
        <v>1488</v>
      </c>
      <c r="B1507" s="9"/>
      <c r="C1507" s="28"/>
      <c r="D1507" s="23"/>
      <c r="E1507" s="93"/>
      <c r="F1507" s="24"/>
      <c r="G1507" s="130"/>
      <c r="H1507" s="46"/>
      <c r="I1507" s="131"/>
      <c r="J1507" s="126"/>
      <c r="K1507" s="121"/>
      <c r="L1507" s="78"/>
      <c r="M1507" s="72">
        <f ca="1">IF(INDIRECT(ADDRESS(ROW(),3))&lt;&gt;"",getIBANchecksum(INDIRECT(ADDRESS(ROW(),3))),98)</f>
        <v>98</v>
      </c>
    </row>
    <row r="1508" spans="1:13">
      <c r="A1508" s="96">
        <f t="shared" si="24"/>
        <v>1489</v>
      </c>
      <c r="B1508" s="9"/>
      <c r="C1508" s="28"/>
      <c r="D1508" s="23"/>
      <c r="E1508" s="93"/>
      <c r="F1508" s="24"/>
      <c r="G1508" s="130"/>
      <c r="H1508" s="46"/>
      <c r="I1508" s="131"/>
      <c r="J1508" s="126"/>
      <c r="K1508" s="121"/>
      <c r="L1508" s="78"/>
      <c r="M1508" s="72">
        <f ca="1">IF(INDIRECT(ADDRESS(ROW(),3))&lt;&gt;"",getIBANchecksum(INDIRECT(ADDRESS(ROW(),3))),98)</f>
        <v>98</v>
      </c>
    </row>
    <row r="1509" spans="1:13">
      <c r="A1509" s="96">
        <f t="shared" si="24"/>
        <v>1490</v>
      </c>
      <c r="B1509" s="9"/>
      <c r="C1509" s="28"/>
      <c r="D1509" s="23"/>
      <c r="E1509" s="93"/>
      <c r="F1509" s="28"/>
      <c r="G1509" s="130"/>
      <c r="H1509" s="46"/>
      <c r="I1509" s="131"/>
      <c r="J1509" s="126"/>
      <c r="K1509" s="121"/>
      <c r="L1509" s="78"/>
      <c r="M1509" s="72">
        <f ca="1">IF(INDIRECT(ADDRESS(ROW(),3))&lt;&gt;"",getIBANchecksum(INDIRECT(ADDRESS(ROW(),3))),98)</f>
        <v>98</v>
      </c>
    </row>
    <row r="1510" spans="1:13">
      <c r="A1510" s="96">
        <f t="shared" si="24"/>
        <v>1491</v>
      </c>
      <c r="B1510" s="9"/>
      <c r="C1510" s="28"/>
      <c r="D1510" s="23"/>
      <c r="E1510" s="93"/>
      <c r="F1510" s="28"/>
      <c r="G1510" s="130"/>
      <c r="H1510" s="46"/>
      <c r="I1510" s="131"/>
      <c r="J1510" s="126"/>
      <c r="K1510" s="121"/>
      <c r="L1510" s="78"/>
      <c r="M1510" s="72">
        <f ca="1">IF(INDIRECT(ADDRESS(ROW(),3))&lt;&gt;"",getIBANchecksum(INDIRECT(ADDRESS(ROW(),3))),98)</f>
        <v>98</v>
      </c>
    </row>
    <row r="1511" spans="1:13">
      <c r="A1511" s="96">
        <f t="shared" si="24"/>
        <v>1492</v>
      </c>
      <c r="B1511" s="9"/>
      <c r="C1511" s="28"/>
      <c r="D1511" s="23"/>
      <c r="E1511" s="93"/>
      <c r="F1511" s="28"/>
      <c r="G1511" s="130"/>
      <c r="H1511" s="46"/>
      <c r="I1511" s="131"/>
      <c r="J1511" s="126"/>
      <c r="K1511" s="121"/>
      <c r="L1511" s="78"/>
      <c r="M1511" s="72">
        <f ca="1">IF(INDIRECT(ADDRESS(ROW(),3))&lt;&gt;"",getIBANchecksum(INDIRECT(ADDRESS(ROW(),3))),98)</f>
        <v>98</v>
      </c>
    </row>
    <row r="1512" spans="1:13">
      <c r="A1512" s="96">
        <f t="shared" si="24"/>
        <v>1493</v>
      </c>
      <c r="B1512" s="9"/>
      <c r="C1512" s="28"/>
      <c r="D1512" s="23"/>
      <c r="E1512" s="93"/>
      <c r="F1512" s="28"/>
      <c r="G1512" s="130"/>
      <c r="H1512" s="46"/>
      <c r="I1512" s="131"/>
      <c r="J1512" s="126"/>
      <c r="K1512" s="121"/>
      <c r="L1512" s="78"/>
      <c r="M1512" s="72">
        <f ca="1">IF(INDIRECT(ADDRESS(ROW(),3))&lt;&gt;"",getIBANchecksum(INDIRECT(ADDRESS(ROW(),3))),98)</f>
        <v>98</v>
      </c>
    </row>
    <row r="1513" spans="1:13">
      <c r="A1513" s="96">
        <f t="shared" si="24"/>
        <v>1494</v>
      </c>
      <c r="B1513" s="9"/>
      <c r="C1513" s="28"/>
      <c r="D1513" s="23"/>
      <c r="E1513" s="93"/>
      <c r="F1513" s="28"/>
      <c r="G1513" s="130"/>
      <c r="H1513" s="46"/>
      <c r="I1513" s="131"/>
      <c r="J1513" s="126"/>
      <c r="K1513" s="121"/>
      <c r="L1513" s="78"/>
      <c r="M1513" s="72">
        <f ca="1">IF(INDIRECT(ADDRESS(ROW(),3))&lt;&gt;"",getIBANchecksum(INDIRECT(ADDRESS(ROW(),3))),98)</f>
        <v>98</v>
      </c>
    </row>
    <row r="1514" spans="1:13">
      <c r="A1514" s="96">
        <f t="shared" si="24"/>
        <v>1495</v>
      </c>
      <c r="B1514" s="9"/>
      <c r="C1514" s="28"/>
      <c r="D1514" s="23"/>
      <c r="E1514" s="93"/>
      <c r="F1514" s="28"/>
      <c r="G1514" s="130"/>
      <c r="H1514" s="46"/>
      <c r="I1514" s="131"/>
      <c r="J1514" s="126"/>
      <c r="K1514" s="121"/>
      <c r="L1514" s="78"/>
      <c r="M1514" s="72">
        <f ca="1">IF(INDIRECT(ADDRESS(ROW(),3))&lt;&gt;"",getIBANchecksum(INDIRECT(ADDRESS(ROW(),3))),98)</f>
        <v>98</v>
      </c>
    </row>
    <row r="1515" spans="1:13">
      <c r="A1515" s="96">
        <f t="shared" si="24"/>
        <v>1496</v>
      </c>
      <c r="B1515" s="9"/>
      <c r="C1515" s="28"/>
      <c r="D1515" s="23"/>
      <c r="E1515" s="93"/>
      <c r="F1515" s="28"/>
      <c r="G1515" s="130"/>
      <c r="H1515" s="46"/>
      <c r="I1515" s="131"/>
      <c r="J1515" s="126"/>
      <c r="K1515" s="121"/>
      <c r="L1515" s="78"/>
      <c r="M1515" s="72">
        <f ca="1">IF(INDIRECT(ADDRESS(ROW(),3))&lt;&gt;"",getIBANchecksum(INDIRECT(ADDRESS(ROW(),3))),98)</f>
        <v>98</v>
      </c>
    </row>
    <row r="1516" spans="1:13">
      <c r="A1516" s="96">
        <f t="shared" si="24"/>
        <v>1497</v>
      </c>
      <c r="B1516" s="9"/>
      <c r="C1516" s="28"/>
      <c r="D1516" s="23"/>
      <c r="E1516" s="93"/>
      <c r="F1516" s="28"/>
      <c r="G1516" s="130"/>
      <c r="H1516" s="46"/>
      <c r="I1516" s="131"/>
      <c r="J1516" s="126"/>
      <c r="K1516" s="121"/>
      <c r="L1516" s="78"/>
      <c r="M1516" s="72">
        <f ca="1">IF(INDIRECT(ADDRESS(ROW(),3))&lt;&gt;"",getIBANchecksum(INDIRECT(ADDRESS(ROW(),3))),98)</f>
        <v>98</v>
      </c>
    </row>
    <row r="1517" spans="1:13">
      <c r="A1517" s="96">
        <f t="shared" si="24"/>
        <v>1498</v>
      </c>
      <c r="B1517" s="9"/>
      <c r="C1517" s="28"/>
      <c r="D1517" s="23"/>
      <c r="E1517" s="93"/>
      <c r="F1517" s="28"/>
      <c r="G1517" s="130"/>
      <c r="H1517" s="46"/>
      <c r="I1517" s="131"/>
      <c r="J1517" s="126"/>
      <c r="K1517" s="121"/>
      <c r="L1517" s="78"/>
      <c r="M1517" s="72">
        <f ca="1">IF(INDIRECT(ADDRESS(ROW(),3))&lt;&gt;"",getIBANchecksum(INDIRECT(ADDRESS(ROW(),3))),98)</f>
        <v>98</v>
      </c>
    </row>
    <row r="1518" spans="1:13">
      <c r="A1518" s="96">
        <f t="shared" si="24"/>
        <v>1499</v>
      </c>
      <c r="B1518" s="9"/>
      <c r="C1518" s="28"/>
      <c r="D1518" s="23"/>
      <c r="E1518" s="93"/>
      <c r="F1518" s="28"/>
      <c r="G1518" s="130"/>
      <c r="H1518" s="46"/>
      <c r="I1518" s="131"/>
      <c r="J1518" s="126"/>
      <c r="K1518" s="121"/>
      <c r="L1518" s="78"/>
      <c r="M1518" s="72">
        <f ca="1">IF(INDIRECT(ADDRESS(ROW(),3))&lt;&gt;"",getIBANchecksum(INDIRECT(ADDRESS(ROW(),3))),98)</f>
        <v>98</v>
      </c>
    </row>
    <row r="1519" spans="1:13">
      <c r="A1519" s="96">
        <f t="shared" si="24"/>
        <v>1500</v>
      </c>
      <c r="B1519" s="9"/>
      <c r="C1519" s="29"/>
      <c r="D1519" s="25"/>
      <c r="E1519" s="103"/>
      <c r="F1519" s="29"/>
      <c r="G1519" s="132"/>
      <c r="H1519" s="47"/>
      <c r="I1519" s="133"/>
      <c r="J1519" s="127"/>
      <c r="K1519" s="122"/>
      <c r="L1519" s="79"/>
      <c r="M1519" s="70">
        <f ca="1">IF(INDIRECT(ADDRESS(ROW(),3))&lt;&gt;"",getIBANchecksum(INDIRECT(ADDRESS(ROW(),3))),98)</f>
        <v>98</v>
      </c>
    </row>
    <row r="1520" spans="1:13" hidden="1"/>
    <row r="1521" spans="3:3" hidden="1"/>
    <row r="1522" spans="3:3" hidden="1"/>
    <row r="1523" spans="3:3" hidden="1"/>
    <row r="1524" spans="3:3" hidden="1">
      <c r="C1524" s="80"/>
    </row>
  </sheetData>
  <sheetProtection password="9AF0" sheet="1" objects="1" scenarios="1"/>
  <sortState ref="C20:M1519">
    <sortCondition ref="E20:E1519"/>
  </sortState>
  <mergeCells count="16">
    <mergeCell ref="C3:G4"/>
    <mergeCell ref="H10:H11"/>
    <mergeCell ref="H8:H9"/>
    <mergeCell ref="H6:H7"/>
    <mergeCell ref="C15:D16"/>
    <mergeCell ref="E10:F11"/>
    <mergeCell ref="G10:G11"/>
    <mergeCell ref="E13:E14"/>
    <mergeCell ref="E15:E16"/>
    <mergeCell ref="E6:G7"/>
    <mergeCell ref="C6:D7"/>
    <mergeCell ref="E12:G12"/>
    <mergeCell ref="E8:G9"/>
    <mergeCell ref="C8:D9"/>
    <mergeCell ref="C10:D11"/>
    <mergeCell ref="C13:D14"/>
  </mergeCells>
  <phoneticPr fontId="0" type="noConversion"/>
  <conditionalFormatting sqref="M20:M863 M1180:M1237 M1438:M1519">
    <cfRule type="expression" dxfId="31" priority="114">
      <formula>(M20&lt;97)</formula>
    </cfRule>
    <cfRule type="expression" dxfId="30" priority="115">
      <formula>(M20=97)</formula>
    </cfRule>
  </conditionalFormatting>
  <conditionalFormatting sqref="E73:E863 E1180:E1237 E1438:E1519">
    <cfRule type="expression" dxfId="29" priority="113">
      <formula>AND(OR(E73&lt;MinimumBedrag,E73&gt;MaximumBedrag),E73&lt;&gt;"")</formula>
    </cfRule>
  </conditionalFormatting>
  <conditionalFormatting sqref="E17:E19">
    <cfRule type="expression" dxfId="28" priority="110">
      <formula>$E$19&gt;0</formula>
    </cfRule>
  </conditionalFormatting>
  <conditionalFormatting sqref="M17:M19">
    <cfRule type="expression" dxfId="27" priority="109">
      <formula>$M$19&gt;0</formula>
    </cfRule>
  </conditionalFormatting>
  <conditionalFormatting sqref="L1180:L1237 L1438:L1519 L71:L863">
    <cfRule type="expression" dxfId="26" priority="107">
      <formula>AND(L71&lt;&gt;"",OR((L71&lt;TODAY()),(L71&gt;(TODAY()+264))))</formula>
    </cfRule>
  </conditionalFormatting>
  <conditionalFormatting sqref="M1022:M1179">
    <cfRule type="expression" dxfId="25" priority="101">
      <formula>(M1022&lt;97)</formula>
    </cfRule>
    <cfRule type="expression" dxfId="24" priority="102">
      <formula>(M1022=97)</formula>
    </cfRule>
  </conditionalFormatting>
  <conditionalFormatting sqref="E1022:E1179">
    <cfRule type="expression" dxfId="23" priority="100">
      <formula>AND(OR(E1022&lt;MinimumBedrag,E1022&gt;MaximumBedrag),E1022&lt;&gt;"")</formula>
    </cfRule>
  </conditionalFormatting>
  <conditionalFormatting sqref="L1022:L1179">
    <cfRule type="expression" dxfId="22" priority="99">
      <formula>AND(L1022&lt;&gt;"",OR((L1022&lt;TODAY()),(L1022&gt;(TODAY()+264))))</formula>
    </cfRule>
  </conditionalFormatting>
  <conditionalFormatting sqref="M864:M1021">
    <cfRule type="expression" dxfId="21" priority="97">
      <formula>(M864&lt;97)</formula>
    </cfRule>
    <cfRule type="expression" dxfId="20" priority="98">
      <formula>(M864=97)</formula>
    </cfRule>
  </conditionalFormatting>
  <conditionalFormatting sqref="E864:E1021">
    <cfRule type="expression" dxfId="19" priority="96">
      <formula>AND(OR(E864&lt;MinimumBedrag,E864&gt;MaximumBedrag),E864&lt;&gt;"")</formula>
    </cfRule>
  </conditionalFormatting>
  <conditionalFormatting sqref="L864:L1021">
    <cfRule type="expression" dxfId="18" priority="95">
      <formula>AND(L864&lt;&gt;"",OR((L864&lt;TODAY()),(L864&gt;(TODAY()+264))))</formula>
    </cfRule>
  </conditionalFormatting>
  <conditionalFormatting sqref="M1338:M1430">
    <cfRule type="expression" dxfId="17" priority="93">
      <formula>(M1338&lt;97)</formula>
    </cfRule>
    <cfRule type="expression" dxfId="16" priority="94">
      <formula>(M1338=97)</formula>
    </cfRule>
  </conditionalFormatting>
  <conditionalFormatting sqref="E1338:E1430">
    <cfRule type="expression" dxfId="15" priority="92">
      <formula>AND(OR(E1338&lt;MinimumBedrag,E1338&gt;MaximumBedrag),E1338&lt;&gt;"")</formula>
    </cfRule>
  </conditionalFormatting>
  <conditionalFormatting sqref="L1338:L1430">
    <cfRule type="expression" dxfId="14" priority="91">
      <formula>AND(L1338&lt;&gt;"",OR((L1338&lt;TODAY()),(L1338&gt;(TODAY()+264))))</formula>
    </cfRule>
  </conditionalFormatting>
  <conditionalFormatting sqref="M1238:M1337">
    <cfRule type="expression" dxfId="13" priority="89">
      <formula>(M1238&lt;97)</formula>
    </cfRule>
    <cfRule type="expression" dxfId="12" priority="90">
      <formula>(M1238=97)</formula>
    </cfRule>
  </conditionalFormatting>
  <conditionalFormatting sqref="E1238:E1337">
    <cfRule type="expression" dxfId="11" priority="88">
      <formula>AND(OR(E1238&lt;MinimumBedrag,E1238&gt;MaximumBedrag),E1238&lt;&gt;"")</formula>
    </cfRule>
  </conditionalFormatting>
  <conditionalFormatting sqref="L1238:L1337">
    <cfRule type="expression" dxfId="10" priority="87">
      <formula>AND(L1238&lt;&gt;"",OR((L1238&lt;TODAY()),(L1238&gt;(TODAY()+264))))</formula>
    </cfRule>
  </conditionalFormatting>
  <conditionalFormatting sqref="M1431:M1437">
    <cfRule type="expression" dxfId="9" priority="65">
      <formula>(M1431&lt;97)</formula>
    </cfRule>
    <cfRule type="expression" dxfId="8" priority="66">
      <formula>(M1431=97)</formula>
    </cfRule>
  </conditionalFormatting>
  <conditionalFormatting sqref="E1431:E1437">
    <cfRule type="expression" dxfId="7" priority="64">
      <formula>AND(OR(E1431&lt;MinimumBedrag,E1431&gt;MaximumBedrag),E1431&lt;&gt;"")</formula>
    </cfRule>
  </conditionalFormatting>
  <conditionalFormatting sqref="L1431:L1437">
    <cfRule type="expression" dxfId="6" priority="63">
      <formula>AND(L1431&lt;&gt;"",OR((L1431&lt;TODAY()),(L1431&gt;(TODAY()+264))))</formula>
    </cfRule>
  </conditionalFormatting>
  <conditionalFormatting sqref="L68:L70">
    <cfRule type="expression" dxfId="5" priority="60">
      <formula>AND(L68&lt;&gt;"",OR((L68&lt;TODAY()),(L68&gt;(TODAY()+264))))</formula>
    </cfRule>
  </conditionalFormatting>
  <conditionalFormatting sqref="L66:L67">
    <cfRule type="expression" dxfId="4" priority="16">
      <formula>AND(L66&lt;&gt;"",OR((L66&lt;TODAY()),(L66&gt;(TODAY()+264))))</formula>
    </cfRule>
  </conditionalFormatting>
  <conditionalFormatting sqref="L20">
    <cfRule type="expression" dxfId="3" priority="13">
      <formula>AND(L20&lt;&gt;"",OR((L20&lt;TODAY()),(L20&gt;(TODAY()+264))))</formula>
    </cfRule>
  </conditionalFormatting>
  <conditionalFormatting sqref="L65">
    <cfRule type="expression" dxfId="2" priority="11">
      <formula>AND(L65&lt;&gt;"",OR((L65&lt;TODAY()),(L65&gt;(TODAY()+264))))</formula>
    </cfRule>
  </conditionalFormatting>
  <conditionalFormatting sqref="L64">
    <cfRule type="expression" dxfId="1" priority="10">
      <formula>AND(L64&lt;&gt;"",OR((L64&lt;TODAY()),(L64&gt;(TODAY()+264))))</formula>
    </cfRule>
  </conditionalFormatting>
  <conditionalFormatting sqref="L21:L63">
    <cfRule type="expression" dxfId="0" priority="1">
      <formula>AND(L21&lt;&gt;"",OR((L21&lt;TODAY()),(L21&gt;(TODAY()+264))))</formula>
    </cfRule>
  </conditionalFormatting>
  <dataValidations disablePrompts="1" count="1">
    <dataValidation type="textLength" operator="lessThanOrEqual" showInputMessage="1" showErrorMessage="1" errorTitle="Foutmelding  omschrijving" error="Omschrijving mag maximaal 32 karakters lang zijn." sqref="I1022:J1177 I20:J1019 I1180:J1335 I1338:J1435 I1438:J1518">
      <formula1>32</formula1>
    </dataValidation>
  </dataValidations>
  <hyperlinks>
    <hyperlink ref="H6" r:id="rId1" display="https://www.ibanbicservice.nl/"/>
    <hyperlink ref="H6:H7" r:id="rId2" display="           IBAN BIC service"/>
  </hyperlinks>
  <pageMargins left="0.75" right="0.75" top="1" bottom="1" header="0.5" footer="0.5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112" r:id="rId6" name="cmbLandenCode">
          <controlPr defaultSize="0" autoLine="0" linkedCell="$E$13" listFillRange="'Landcodes, info'!$C$6:$D$256" r:id="rId7">
            <anchor>
              <from>
                <xdr:col>3</xdr:col>
                <xdr:colOff>1028700</xdr:colOff>
                <xdr:row>12</xdr:row>
                <xdr:rowOff>57150</xdr:rowOff>
              </from>
              <to>
                <xdr:col>4</xdr:col>
                <xdr:colOff>561975</xdr:colOff>
                <xdr:row>13</xdr:row>
                <xdr:rowOff>152400</xdr:rowOff>
              </to>
            </anchor>
          </controlPr>
        </control>
      </mc:Choice>
      <mc:Fallback>
        <control shapeId="11112" r:id="rId6" name="cmbLandenC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MetaSEPAPain00100103" filterMode="1"/>
  <dimension ref="A1:X217"/>
  <sheetViews>
    <sheetView showGridLines="0" showRowColHeaders="0" workbookViewId="0">
      <pane ySplit="4" topLeftCell="A5" activePane="bottomLeft" state="frozen"/>
      <selection pane="bottomLeft" activeCell="C183" sqref="C183"/>
    </sheetView>
  </sheetViews>
  <sheetFormatPr defaultColWidth="9.140625" defaultRowHeight="12.7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1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31" customWidth="1"/>
  </cols>
  <sheetData>
    <row r="1" spans="1:24" ht="76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>
      <c r="A2" s="8"/>
    </row>
    <row r="3" spans="1:24" ht="13.5" thickBot="1">
      <c r="A3" s="8"/>
    </row>
    <row r="4" spans="1:24" ht="36.75" customHeight="1" thickBot="1">
      <c r="A4" s="8"/>
      <c r="B4" s="20"/>
      <c r="C4" s="34" t="s">
        <v>26</v>
      </c>
      <c r="D4" s="32" t="s">
        <v>20</v>
      </c>
      <c r="E4" s="32" t="s">
        <v>18</v>
      </c>
      <c r="F4" s="32" t="s">
        <v>14</v>
      </c>
      <c r="G4" s="32" t="s">
        <v>21</v>
      </c>
      <c r="H4" s="35" t="s">
        <v>22</v>
      </c>
      <c r="I4" s="32" t="s">
        <v>257</v>
      </c>
      <c r="J4" s="32" t="s">
        <v>255</v>
      </c>
      <c r="K4" s="33" t="s">
        <v>256</v>
      </c>
    </row>
    <row r="5" spans="1:24" s="2" customFormat="1" ht="15" hidden="1">
      <c r="A5" s="8"/>
      <c r="C5" s="3" t="s">
        <v>1</v>
      </c>
      <c r="D5" s="3"/>
      <c r="E5" s="3"/>
      <c r="F5" s="3"/>
      <c r="G5" s="3"/>
      <c r="H5" s="3"/>
      <c r="I5"/>
      <c r="K5" s="36"/>
    </row>
    <row r="6" spans="1:24" ht="15" hidden="1">
      <c r="A6" s="8"/>
      <c r="B6" s="2"/>
      <c r="C6" s="26" t="s">
        <v>44</v>
      </c>
      <c r="D6" s="3"/>
      <c r="E6" s="3"/>
      <c r="F6" s="3"/>
      <c r="G6" s="3"/>
      <c r="H6" s="3"/>
      <c r="I6" s="3"/>
    </row>
    <row r="7" spans="1:24" ht="15">
      <c r="A7" s="8"/>
      <c r="B7" s="2"/>
      <c r="C7" s="3" t="s">
        <v>45</v>
      </c>
      <c r="D7" s="3" t="s">
        <v>4</v>
      </c>
      <c r="E7" s="3" t="s">
        <v>4</v>
      </c>
      <c r="F7" s="3" t="s">
        <v>15</v>
      </c>
      <c r="G7" s="3"/>
      <c r="H7" s="3"/>
      <c r="I7" s="3"/>
      <c r="J7">
        <v>1</v>
      </c>
      <c r="K7" s="31">
        <v>1</v>
      </c>
    </row>
    <row r="8" spans="1:24" ht="15">
      <c r="A8" s="8"/>
      <c r="B8" s="2"/>
      <c r="C8" s="3" t="s">
        <v>46</v>
      </c>
      <c r="D8" s="3" t="s">
        <v>4</v>
      </c>
      <c r="E8" s="3" t="s">
        <v>4</v>
      </c>
      <c r="F8" s="3" t="s">
        <v>16</v>
      </c>
      <c r="G8" s="3" t="s">
        <v>23</v>
      </c>
      <c r="H8" s="5" t="s">
        <v>37</v>
      </c>
      <c r="I8" s="3"/>
      <c r="J8">
        <v>1</v>
      </c>
      <c r="K8" s="31">
        <v>1</v>
      </c>
    </row>
    <row r="9" spans="1:24" ht="15">
      <c r="A9" s="8"/>
      <c r="B9" s="2"/>
      <c r="C9" s="4" t="s">
        <v>47</v>
      </c>
      <c r="D9" s="4" t="s">
        <v>4</v>
      </c>
      <c r="E9" s="3" t="s">
        <v>4</v>
      </c>
      <c r="F9" s="4" t="s">
        <v>16</v>
      </c>
      <c r="G9" s="4" t="s">
        <v>23</v>
      </c>
      <c r="H9" s="4" t="s">
        <v>38</v>
      </c>
      <c r="I9" s="4"/>
      <c r="J9">
        <v>1</v>
      </c>
      <c r="K9" s="31">
        <v>1</v>
      </c>
    </row>
    <row r="10" spans="1:24" ht="15">
      <c r="A10" s="8"/>
      <c r="B10" s="2"/>
      <c r="C10" s="4" t="s">
        <v>48</v>
      </c>
      <c r="D10" s="4" t="s">
        <v>4</v>
      </c>
      <c r="E10" s="3" t="s">
        <v>4</v>
      </c>
      <c r="F10" s="4" t="s">
        <v>16</v>
      </c>
      <c r="G10" s="4" t="s">
        <v>23</v>
      </c>
      <c r="H10" s="4" t="s">
        <v>36</v>
      </c>
      <c r="I10" s="4"/>
      <c r="J10">
        <v>1</v>
      </c>
      <c r="K10" s="31">
        <v>1</v>
      </c>
    </row>
    <row r="11" spans="1:24" s="2" customFormat="1" ht="15" hidden="1">
      <c r="A11" s="8"/>
      <c r="C11" s="4" t="s">
        <v>49</v>
      </c>
      <c r="D11" s="4"/>
      <c r="E11" s="3"/>
      <c r="F11" s="4"/>
      <c r="G11" s="4"/>
      <c r="H11" s="4"/>
      <c r="I11" s="4"/>
      <c r="J11">
        <v>0</v>
      </c>
      <c r="K11" s="31">
        <v>1</v>
      </c>
    </row>
    <row r="12" spans="1:24" ht="15">
      <c r="A12" s="8"/>
      <c r="B12" s="2"/>
      <c r="C12" s="4" t="s">
        <v>50</v>
      </c>
      <c r="D12" s="4" t="s">
        <v>4</v>
      </c>
      <c r="E12" s="4" t="s">
        <v>4</v>
      </c>
      <c r="F12" s="4" t="s">
        <v>15</v>
      </c>
      <c r="G12" s="4"/>
      <c r="H12" s="4"/>
      <c r="I12" s="4"/>
      <c r="J12">
        <v>1</v>
      </c>
      <c r="K12" s="31">
        <v>1</v>
      </c>
    </row>
    <row r="13" spans="1:24" ht="15">
      <c r="A13" s="8"/>
      <c r="B13" s="2"/>
      <c r="C13" s="4" t="s">
        <v>51</v>
      </c>
      <c r="D13" s="4" t="s">
        <v>4</v>
      </c>
      <c r="E13" s="4" t="s">
        <v>4</v>
      </c>
      <c r="F13" s="4" t="s">
        <v>16</v>
      </c>
      <c r="G13" s="4" t="s">
        <v>23</v>
      </c>
      <c r="H13" s="4" t="s">
        <v>41</v>
      </c>
      <c r="I13" s="4"/>
      <c r="J13">
        <v>0</v>
      </c>
      <c r="K13" s="31">
        <v>1</v>
      </c>
    </row>
    <row r="14" spans="1:24" s="2" customFormat="1" ht="15" hidden="1">
      <c r="A14" s="8"/>
      <c r="C14" s="4" t="s">
        <v>52</v>
      </c>
      <c r="D14" s="4"/>
      <c r="E14" s="4"/>
      <c r="F14" s="4"/>
      <c r="G14" s="4"/>
      <c r="H14" s="4"/>
      <c r="I14" s="4"/>
      <c r="J14">
        <v>0</v>
      </c>
      <c r="K14" s="31">
        <v>1</v>
      </c>
    </row>
    <row r="15" spans="1:24" s="2" customFormat="1" ht="15" hidden="1">
      <c r="A15" s="8"/>
      <c r="C15" s="4" t="s">
        <v>53</v>
      </c>
      <c r="D15" s="4"/>
      <c r="E15" s="4"/>
      <c r="F15" s="4"/>
      <c r="G15" s="4"/>
      <c r="H15" s="4"/>
      <c r="I15" s="4"/>
      <c r="J15">
        <v>1</v>
      </c>
      <c r="K15" s="31">
        <v>1</v>
      </c>
    </row>
    <row r="16" spans="1:24" s="2" customFormat="1" ht="15" hidden="1">
      <c r="A16" s="8"/>
      <c r="C16" s="4" t="s">
        <v>54</v>
      </c>
      <c r="D16" s="4"/>
      <c r="E16" s="4"/>
      <c r="F16" s="4"/>
      <c r="G16" s="4"/>
      <c r="H16" s="4"/>
      <c r="I16" s="4"/>
      <c r="J16">
        <v>0</v>
      </c>
      <c r="K16" s="31">
        <v>1</v>
      </c>
    </row>
    <row r="17" spans="1:11" s="2" customFormat="1" ht="15" hidden="1">
      <c r="A17" s="8"/>
      <c r="C17" s="4" t="s">
        <v>55</v>
      </c>
      <c r="D17" s="4"/>
      <c r="E17" s="4"/>
      <c r="F17" s="4"/>
      <c r="G17" s="4"/>
      <c r="H17" s="4"/>
      <c r="I17" s="4"/>
      <c r="J17">
        <v>0</v>
      </c>
      <c r="K17" s="31" t="s">
        <v>254</v>
      </c>
    </row>
    <row r="18" spans="1:11" s="2" customFormat="1" ht="15" hidden="1">
      <c r="A18" s="8"/>
      <c r="C18" s="4" t="s">
        <v>56</v>
      </c>
      <c r="D18" s="4"/>
      <c r="E18" s="4"/>
      <c r="F18" s="4"/>
      <c r="G18" s="4"/>
      <c r="H18" s="4"/>
      <c r="I18" s="4"/>
      <c r="J18">
        <v>1</v>
      </c>
      <c r="K18" s="31">
        <v>1</v>
      </c>
    </row>
    <row r="19" spans="1:11" s="2" customFormat="1" ht="15" hidden="1">
      <c r="A19" s="8"/>
      <c r="C19" s="4" t="s">
        <v>57</v>
      </c>
      <c r="D19" s="4"/>
      <c r="E19" s="4"/>
      <c r="F19" s="4"/>
      <c r="G19" s="4"/>
      <c r="H19" s="4"/>
      <c r="I19" s="4"/>
      <c r="J19">
        <v>0</v>
      </c>
      <c r="K19" s="31">
        <v>1</v>
      </c>
    </row>
    <row r="20" spans="1:11" s="2" customFormat="1" ht="15" hidden="1">
      <c r="A20" s="8"/>
      <c r="C20" s="4" t="s">
        <v>58</v>
      </c>
      <c r="D20" s="4"/>
      <c r="E20" s="4"/>
      <c r="F20" s="4"/>
      <c r="G20" s="4"/>
      <c r="H20" s="4"/>
      <c r="I20" s="4"/>
      <c r="J20">
        <v>1</v>
      </c>
      <c r="K20" s="31">
        <v>1</v>
      </c>
    </row>
    <row r="21" spans="1:11" s="2" customFormat="1" ht="15" hidden="1">
      <c r="A21" s="8"/>
      <c r="C21" s="4" t="s">
        <v>59</v>
      </c>
      <c r="D21" s="4"/>
      <c r="E21" s="4"/>
      <c r="F21" s="4"/>
      <c r="G21" s="4"/>
      <c r="H21" s="4"/>
      <c r="I21" s="4"/>
      <c r="J21">
        <v>1</v>
      </c>
      <c r="K21" s="31">
        <v>1</v>
      </c>
    </row>
    <row r="22" spans="1:11" s="2" customFormat="1" ht="15" hidden="1">
      <c r="A22" s="8"/>
      <c r="C22" s="4" t="s">
        <v>60</v>
      </c>
      <c r="D22" s="4"/>
      <c r="E22" s="4"/>
      <c r="F22" s="4"/>
      <c r="G22" s="4"/>
      <c r="H22" s="4"/>
      <c r="I22" s="4"/>
      <c r="J22">
        <v>0</v>
      </c>
      <c r="K22" s="31">
        <v>1</v>
      </c>
    </row>
    <row r="23" spans="1:11" s="2" customFormat="1" ht="15" hidden="1">
      <c r="A23" s="8"/>
      <c r="C23" s="4" t="s">
        <v>61</v>
      </c>
      <c r="D23" s="4"/>
      <c r="E23" s="4"/>
      <c r="F23" s="4"/>
      <c r="G23" s="4"/>
      <c r="H23" s="4"/>
      <c r="I23" s="4"/>
      <c r="J23">
        <v>1</v>
      </c>
      <c r="K23" s="31">
        <v>1</v>
      </c>
    </row>
    <row r="24" spans="1:11" s="2" customFormat="1" ht="15" hidden="1">
      <c r="A24" s="8"/>
      <c r="C24" s="4" t="s">
        <v>62</v>
      </c>
      <c r="D24" s="4"/>
      <c r="E24" s="4"/>
      <c r="F24" s="4"/>
      <c r="G24" s="4"/>
      <c r="H24" s="4"/>
      <c r="I24" s="4"/>
      <c r="J24">
        <v>0</v>
      </c>
      <c r="K24" s="31">
        <v>1</v>
      </c>
    </row>
    <row r="25" spans="1:11" s="2" customFormat="1" ht="15" hidden="1">
      <c r="A25" s="8"/>
      <c r="C25" s="4" t="s">
        <v>63</v>
      </c>
      <c r="D25" s="4"/>
      <c r="E25" s="4"/>
      <c r="F25" s="4"/>
      <c r="G25" s="4"/>
      <c r="H25" s="4"/>
      <c r="I25" s="4"/>
      <c r="J25">
        <v>1</v>
      </c>
      <c r="K25" s="31">
        <v>1</v>
      </c>
    </row>
    <row r="26" spans="1:11" s="2" customFormat="1" ht="15" hidden="1">
      <c r="A26" s="8"/>
      <c r="C26" s="4" t="s">
        <v>64</v>
      </c>
      <c r="D26" s="4"/>
      <c r="E26" s="4"/>
      <c r="F26" s="4"/>
      <c r="G26" s="4"/>
      <c r="H26" s="4"/>
      <c r="I26" s="4"/>
      <c r="J26">
        <v>0</v>
      </c>
      <c r="K26" s="31">
        <v>1</v>
      </c>
    </row>
    <row r="27" spans="1:11" s="2" customFormat="1" ht="15" hidden="1">
      <c r="A27" s="8"/>
      <c r="C27" s="4" t="s">
        <v>65</v>
      </c>
      <c r="D27" s="4"/>
      <c r="E27" s="4"/>
      <c r="F27" s="4"/>
      <c r="G27" s="4"/>
      <c r="H27" s="4"/>
      <c r="I27" s="4"/>
      <c r="J27">
        <v>1</v>
      </c>
      <c r="K27" s="31">
        <v>1</v>
      </c>
    </row>
    <row r="28" spans="1:11" s="2" customFormat="1" ht="15" hidden="1">
      <c r="A28" s="8"/>
      <c r="C28" s="4" t="s">
        <v>66</v>
      </c>
      <c r="D28" s="4"/>
      <c r="E28" s="4"/>
      <c r="F28" s="4"/>
      <c r="G28" s="4"/>
      <c r="H28" s="4"/>
      <c r="I28" s="4"/>
      <c r="J28">
        <v>1</v>
      </c>
      <c r="K28" s="31">
        <v>1</v>
      </c>
    </row>
    <row r="29" spans="1:11" s="2" customFormat="1" ht="15" hidden="1">
      <c r="A29" s="8"/>
      <c r="C29" s="4" t="s">
        <v>67</v>
      </c>
      <c r="D29" s="4"/>
      <c r="E29" s="4"/>
      <c r="F29" s="4"/>
      <c r="G29" s="4"/>
      <c r="H29" s="4"/>
      <c r="I29" s="4"/>
      <c r="J29">
        <v>0</v>
      </c>
      <c r="K29" s="31" t="s">
        <v>254</v>
      </c>
    </row>
    <row r="30" spans="1:11" s="2" customFormat="1" ht="15" hidden="1">
      <c r="A30" s="8"/>
      <c r="C30" s="4" t="s">
        <v>68</v>
      </c>
      <c r="D30" s="4"/>
      <c r="E30" s="4"/>
      <c r="F30" s="4"/>
      <c r="G30" s="4"/>
      <c r="H30" s="4"/>
      <c r="I30" s="4"/>
      <c r="J30">
        <v>1</v>
      </c>
      <c r="K30" s="31">
        <v>1</v>
      </c>
    </row>
    <row r="31" spans="1:11" s="2" customFormat="1" ht="15" hidden="1">
      <c r="A31" s="8"/>
      <c r="C31" s="4" t="s">
        <v>69</v>
      </c>
      <c r="D31" s="4"/>
      <c r="E31" s="4"/>
      <c r="F31" s="4"/>
      <c r="G31" s="4"/>
      <c r="H31" s="4"/>
      <c r="I31" s="4"/>
      <c r="J31">
        <v>0</v>
      </c>
      <c r="K31" s="31">
        <v>1</v>
      </c>
    </row>
    <row r="32" spans="1:11" s="2" customFormat="1" ht="15" hidden="1">
      <c r="A32" s="8"/>
      <c r="C32" s="4" t="s">
        <v>70</v>
      </c>
      <c r="D32" s="4"/>
      <c r="E32" s="4"/>
      <c r="F32" s="4"/>
      <c r="G32" s="4"/>
      <c r="H32" s="4"/>
      <c r="I32" s="4"/>
      <c r="J32">
        <v>1</v>
      </c>
      <c r="K32" s="31">
        <v>1</v>
      </c>
    </row>
    <row r="33" spans="1:11" s="2" customFormat="1" ht="15" hidden="1">
      <c r="A33" s="8"/>
      <c r="C33" s="4" t="s">
        <v>71</v>
      </c>
      <c r="D33" s="4"/>
      <c r="E33" s="4"/>
      <c r="F33" s="4"/>
      <c r="G33" s="4"/>
      <c r="H33" s="4"/>
      <c r="I33" s="4"/>
      <c r="J33">
        <v>1</v>
      </c>
      <c r="K33" s="31">
        <v>1</v>
      </c>
    </row>
    <row r="34" spans="1:11" s="2" customFormat="1" ht="15" hidden="1">
      <c r="A34" s="8"/>
      <c r="C34" s="4" t="s">
        <v>72</v>
      </c>
      <c r="D34" s="4"/>
      <c r="E34" s="4"/>
      <c r="F34" s="4"/>
      <c r="G34" s="4"/>
      <c r="H34" s="4"/>
      <c r="I34" s="4"/>
      <c r="J34">
        <v>0</v>
      </c>
      <c r="K34" s="31">
        <v>1</v>
      </c>
    </row>
    <row r="35" spans="1:11" ht="15">
      <c r="A35" s="8"/>
      <c r="B35" s="30"/>
      <c r="C35" s="4" t="s">
        <v>73</v>
      </c>
      <c r="D35" s="4" t="s">
        <v>4</v>
      </c>
      <c r="E35" s="4" t="s">
        <v>4</v>
      </c>
      <c r="F35" s="4" t="s">
        <v>15</v>
      </c>
      <c r="G35" s="4"/>
      <c r="H35" s="4"/>
      <c r="I35" s="4"/>
      <c r="J35">
        <v>1</v>
      </c>
      <c r="K35" s="31" t="s">
        <v>254</v>
      </c>
    </row>
    <row r="36" spans="1:11" ht="15">
      <c r="A36" s="8"/>
      <c r="B36" s="2"/>
      <c r="C36" s="4" t="s">
        <v>74</v>
      </c>
      <c r="D36" s="4" t="s">
        <v>4</v>
      </c>
      <c r="E36" s="4" t="s">
        <v>4</v>
      </c>
      <c r="F36" s="4" t="s">
        <v>16</v>
      </c>
      <c r="G36" s="4" t="s">
        <v>23</v>
      </c>
      <c r="H36" s="4" t="s">
        <v>40</v>
      </c>
      <c r="I36" s="4"/>
      <c r="J36">
        <v>1</v>
      </c>
      <c r="K36" s="31">
        <v>1</v>
      </c>
    </row>
    <row r="37" spans="1:11" ht="15">
      <c r="A37" s="8"/>
      <c r="B37" s="2"/>
      <c r="C37" s="4" t="s">
        <v>75</v>
      </c>
      <c r="D37" s="4" t="s">
        <v>4</v>
      </c>
      <c r="E37" s="4" t="s">
        <v>4</v>
      </c>
      <c r="F37" s="4" t="s">
        <v>17</v>
      </c>
      <c r="G37" s="4" t="s">
        <v>2</v>
      </c>
      <c r="H37" s="4"/>
      <c r="I37" s="4"/>
      <c r="J37">
        <v>1</v>
      </c>
      <c r="K37" s="31">
        <v>1</v>
      </c>
    </row>
    <row r="38" spans="1:11" s="2" customFormat="1" ht="15">
      <c r="A38" s="8"/>
      <c r="C38" s="4" t="s">
        <v>76</v>
      </c>
      <c r="D38" s="4" t="s">
        <v>4</v>
      </c>
      <c r="E38" s="30" t="s">
        <v>4</v>
      </c>
      <c r="F38" s="4" t="s">
        <v>17</v>
      </c>
      <c r="G38" s="105" t="s">
        <v>1610</v>
      </c>
      <c r="H38" s="4"/>
      <c r="I38" s="4"/>
      <c r="J38">
        <v>0</v>
      </c>
      <c r="K38" s="31">
        <v>1</v>
      </c>
    </row>
    <row r="39" spans="1:11" s="2" customFormat="1" ht="15" hidden="1">
      <c r="A39" s="8"/>
      <c r="C39" s="4" t="s">
        <v>77</v>
      </c>
      <c r="D39" s="4"/>
      <c r="E39" s="3"/>
      <c r="F39" s="4"/>
      <c r="G39" s="4"/>
      <c r="H39" s="4"/>
      <c r="I39" s="4"/>
      <c r="J39">
        <v>0</v>
      </c>
      <c r="K39" s="31">
        <v>1</v>
      </c>
    </row>
    <row r="40" spans="1:11" s="2" customFormat="1" ht="15" hidden="1">
      <c r="A40" s="8"/>
      <c r="C40" s="4" t="s">
        <v>78</v>
      </c>
      <c r="D40" s="4"/>
      <c r="E40" s="4"/>
      <c r="F40" s="4"/>
      <c r="G40" s="4"/>
      <c r="H40" s="4"/>
      <c r="I40" s="4"/>
      <c r="J40">
        <v>0</v>
      </c>
      <c r="K40" s="31">
        <v>1</v>
      </c>
    </row>
    <row r="41" spans="1:11" ht="15">
      <c r="A41" s="8"/>
      <c r="B41" s="2"/>
      <c r="C41" s="4" t="s">
        <v>79</v>
      </c>
      <c r="D41" s="4" t="s">
        <v>4</v>
      </c>
      <c r="E41" s="4" t="s">
        <v>4</v>
      </c>
      <c r="F41" s="4" t="s">
        <v>15</v>
      </c>
      <c r="G41" s="4"/>
      <c r="H41" s="4"/>
      <c r="I41" s="4"/>
      <c r="J41">
        <v>0</v>
      </c>
      <c r="K41" s="31">
        <v>1</v>
      </c>
    </row>
    <row r="42" spans="1:11" s="2" customFormat="1" ht="15" hidden="1">
      <c r="A42" s="8"/>
      <c r="C42" s="4" t="s">
        <v>80</v>
      </c>
      <c r="D42" s="4"/>
      <c r="E42" s="4"/>
      <c r="F42" s="4"/>
      <c r="G42" s="4"/>
      <c r="H42" s="4"/>
      <c r="I42" s="4"/>
      <c r="J42">
        <v>0</v>
      </c>
      <c r="K42" s="31">
        <v>1</v>
      </c>
    </row>
    <row r="43" spans="1:11" ht="15">
      <c r="A43" s="8"/>
      <c r="B43" s="2"/>
      <c r="C43" s="4" t="s">
        <v>81</v>
      </c>
      <c r="D43" s="4" t="s">
        <v>4</v>
      </c>
      <c r="E43" s="4" t="s">
        <v>4</v>
      </c>
      <c r="F43" s="4" t="s">
        <v>15</v>
      </c>
      <c r="G43" s="4"/>
      <c r="H43" s="4"/>
      <c r="I43" s="4"/>
      <c r="J43">
        <v>0</v>
      </c>
      <c r="K43" s="31">
        <v>1</v>
      </c>
    </row>
    <row r="44" spans="1:11" ht="15">
      <c r="A44" s="8"/>
      <c r="B44" s="2"/>
      <c r="C44" s="4" t="s">
        <v>82</v>
      </c>
      <c r="D44" s="4" t="s">
        <v>4</v>
      </c>
      <c r="E44" s="4" t="s">
        <v>4</v>
      </c>
      <c r="F44" s="4" t="s">
        <v>17</v>
      </c>
      <c r="G44" s="4" t="s">
        <v>0</v>
      </c>
      <c r="H44" s="4"/>
      <c r="I44" s="4"/>
      <c r="J44">
        <v>1</v>
      </c>
      <c r="K44" s="31">
        <v>1</v>
      </c>
    </row>
    <row r="45" spans="1:11" s="2" customFormat="1" ht="15" hidden="1">
      <c r="A45" s="8"/>
      <c r="C45" s="4" t="s">
        <v>83</v>
      </c>
      <c r="D45" s="4"/>
      <c r="E45" s="4"/>
      <c r="F45" s="4"/>
      <c r="G45" s="4"/>
      <c r="H45" s="4"/>
      <c r="I45" s="4"/>
      <c r="J45">
        <v>0</v>
      </c>
      <c r="K45" s="31">
        <v>1</v>
      </c>
    </row>
    <row r="46" spans="1:11" s="2" customFormat="1" ht="15" hidden="1">
      <c r="A46" s="8"/>
      <c r="C46" s="4" t="s">
        <v>84</v>
      </c>
      <c r="D46" s="4"/>
      <c r="E46" s="4"/>
      <c r="F46" s="4"/>
      <c r="G46" s="4"/>
      <c r="H46" s="4"/>
      <c r="I46" s="4"/>
      <c r="J46">
        <v>1</v>
      </c>
      <c r="K46" s="31">
        <v>1</v>
      </c>
    </row>
    <row r="47" spans="1:11" s="2" customFormat="1" ht="15" hidden="1">
      <c r="A47" s="8"/>
      <c r="C47" s="4" t="s">
        <v>85</v>
      </c>
      <c r="D47" s="4"/>
      <c r="E47" s="4"/>
      <c r="F47" s="4"/>
      <c r="G47" s="4"/>
      <c r="H47" s="4"/>
      <c r="I47" s="4"/>
      <c r="J47">
        <v>1</v>
      </c>
      <c r="K47" s="31">
        <v>1</v>
      </c>
    </row>
    <row r="48" spans="1:11" s="2" customFormat="1" ht="15" hidden="1">
      <c r="A48" s="8"/>
      <c r="C48" s="4" t="s">
        <v>86</v>
      </c>
      <c r="D48" s="4"/>
      <c r="E48" s="4"/>
      <c r="F48" s="4"/>
      <c r="G48" s="4"/>
      <c r="H48" s="4"/>
      <c r="I48" s="4"/>
      <c r="J48">
        <v>0</v>
      </c>
      <c r="K48" s="31">
        <v>1</v>
      </c>
    </row>
    <row r="49" spans="1:11" s="2" customFormat="1" ht="15" hidden="1">
      <c r="A49" s="8"/>
      <c r="C49" s="4" t="s">
        <v>87</v>
      </c>
      <c r="D49" s="4"/>
      <c r="E49" s="4"/>
      <c r="F49" s="4"/>
      <c r="G49" s="4"/>
      <c r="H49" s="4"/>
      <c r="I49" s="4"/>
      <c r="J49">
        <v>1</v>
      </c>
      <c r="K49" s="31">
        <v>1</v>
      </c>
    </row>
    <row r="50" spans="1:11" s="2" customFormat="1" ht="15" hidden="1">
      <c r="A50" s="8"/>
      <c r="C50" s="4" t="s">
        <v>88</v>
      </c>
      <c r="D50" s="4"/>
      <c r="E50" s="4"/>
      <c r="F50" s="4"/>
      <c r="G50" s="4"/>
      <c r="H50" s="4"/>
      <c r="I50" s="4"/>
      <c r="J50">
        <v>1</v>
      </c>
      <c r="K50" s="31">
        <v>1</v>
      </c>
    </row>
    <row r="51" spans="1:11" ht="15">
      <c r="A51" s="8"/>
      <c r="B51" s="2"/>
      <c r="C51" s="4" t="s">
        <v>89</v>
      </c>
      <c r="D51" s="4" t="s">
        <v>4</v>
      </c>
      <c r="E51" s="4" t="s">
        <v>4</v>
      </c>
      <c r="F51" s="4" t="s">
        <v>19</v>
      </c>
      <c r="G51" s="4" t="s">
        <v>24</v>
      </c>
      <c r="H51" s="4" t="s">
        <v>1549</v>
      </c>
      <c r="I51" s="4"/>
      <c r="J51">
        <v>1</v>
      </c>
      <c r="K51" s="31">
        <v>1</v>
      </c>
    </row>
    <row r="52" spans="1:11" ht="15">
      <c r="A52" s="8"/>
      <c r="B52" s="2"/>
      <c r="C52" s="4" t="s">
        <v>90</v>
      </c>
      <c r="D52" s="4" t="s">
        <v>4</v>
      </c>
      <c r="E52" s="4" t="s">
        <v>4</v>
      </c>
      <c r="F52" s="4" t="s">
        <v>15</v>
      </c>
      <c r="G52" s="4"/>
      <c r="H52" s="4"/>
      <c r="I52" s="4"/>
      <c r="J52">
        <v>1</v>
      </c>
      <c r="K52" s="31">
        <v>1</v>
      </c>
    </row>
    <row r="53" spans="1:11" ht="15">
      <c r="A53" s="8"/>
      <c r="B53" s="2"/>
      <c r="C53" s="4" t="s">
        <v>91</v>
      </c>
      <c r="D53" s="4" t="s">
        <v>4</v>
      </c>
      <c r="E53" s="4" t="s">
        <v>4</v>
      </c>
      <c r="F53" s="4" t="s">
        <v>16</v>
      </c>
      <c r="G53" s="4" t="s">
        <v>23</v>
      </c>
      <c r="H53" s="4" t="s">
        <v>41</v>
      </c>
      <c r="I53" s="4"/>
      <c r="J53">
        <v>0</v>
      </c>
      <c r="K53" s="31">
        <v>1</v>
      </c>
    </row>
    <row r="54" spans="1:11" ht="15">
      <c r="A54" s="8"/>
      <c r="B54" s="2"/>
      <c r="C54" s="4" t="s">
        <v>92</v>
      </c>
      <c r="D54" s="4" t="s">
        <v>4</v>
      </c>
      <c r="E54" s="4" t="s">
        <v>4</v>
      </c>
      <c r="F54" s="4" t="s">
        <v>15</v>
      </c>
      <c r="G54" s="4"/>
      <c r="H54" s="4"/>
      <c r="I54" s="4"/>
      <c r="J54">
        <v>0</v>
      </c>
      <c r="K54" s="31">
        <v>1</v>
      </c>
    </row>
    <row r="55" spans="1:11" ht="15">
      <c r="A55" s="8"/>
      <c r="B55" s="2"/>
      <c r="C55" s="4" t="s">
        <v>93</v>
      </c>
      <c r="D55" s="4" t="s">
        <v>4</v>
      </c>
      <c r="E55" s="4" t="s">
        <v>4</v>
      </c>
      <c r="F55" s="4" t="s">
        <v>16</v>
      </c>
      <c r="G55" s="4" t="s">
        <v>23</v>
      </c>
      <c r="H55" s="4" t="s">
        <v>766</v>
      </c>
      <c r="I55" s="4"/>
      <c r="J55">
        <v>0</v>
      </c>
      <c r="K55" s="31">
        <v>1</v>
      </c>
    </row>
    <row r="56" spans="1:11" ht="15">
      <c r="A56" s="8"/>
      <c r="B56" s="2"/>
      <c r="C56" s="4" t="s">
        <v>94</v>
      </c>
      <c r="D56" s="4" t="s">
        <v>4</v>
      </c>
      <c r="E56" s="4" t="s">
        <v>4</v>
      </c>
      <c r="F56" s="4" t="s">
        <v>16</v>
      </c>
      <c r="G56" s="4" t="s">
        <v>23</v>
      </c>
      <c r="H56" s="4" t="s">
        <v>767</v>
      </c>
      <c r="I56" s="4"/>
      <c r="J56">
        <v>0</v>
      </c>
      <c r="K56" s="31">
        <v>7</v>
      </c>
    </row>
    <row r="57" spans="1:11" ht="15">
      <c r="A57" s="8"/>
      <c r="B57" s="2"/>
      <c r="C57" s="4" t="s">
        <v>94</v>
      </c>
      <c r="D57" s="4" t="s">
        <v>4</v>
      </c>
      <c r="E57" s="4" t="s">
        <v>4</v>
      </c>
      <c r="F57" s="4" t="s">
        <v>16</v>
      </c>
      <c r="G57" s="4" t="s">
        <v>23</v>
      </c>
      <c r="H57" s="4" t="s">
        <v>768</v>
      </c>
      <c r="I57" s="4"/>
      <c r="J57">
        <v>0</v>
      </c>
      <c r="K57" s="31">
        <v>7</v>
      </c>
    </row>
    <row r="58" spans="1:11" s="2" customFormat="1" ht="15" hidden="1">
      <c r="A58" s="8"/>
      <c r="C58" s="4" t="s">
        <v>95</v>
      </c>
      <c r="D58" s="4"/>
      <c r="E58" s="4"/>
      <c r="F58" s="4"/>
      <c r="G58" s="4"/>
      <c r="H58" s="4"/>
      <c r="I58" s="4"/>
      <c r="J58">
        <v>0</v>
      </c>
      <c r="K58" s="31">
        <v>1</v>
      </c>
    </row>
    <row r="59" spans="1:11" s="2" customFormat="1" ht="15" hidden="1">
      <c r="A59" s="8"/>
      <c r="C59" s="4" t="s">
        <v>96</v>
      </c>
      <c r="D59" s="4"/>
      <c r="E59" s="4"/>
      <c r="F59" s="4"/>
      <c r="G59" s="4"/>
      <c r="H59" s="4"/>
      <c r="I59" s="4"/>
      <c r="J59">
        <v>1</v>
      </c>
      <c r="K59" s="31">
        <v>1</v>
      </c>
    </row>
    <row r="60" spans="1:11" s="2" customFormat="1" ht="15" hidden="1">
      <c r="A60" s="8"/>
      <c r="C60" s="4" t="s">
        <v>97</v>
      </c>
      <c r="D60" s="4"/>
      <c r="E60" s="4"/>
      <c r="F60" s="4"/>
      <c r="G60" s="4"/>
      <c r="H60" s="4"/>
      <c r="I60" s="4"/>
      <c r="J60">
        <v>0</v>
      </c>
      <c r="K60" s="31">
        <v>1</v>
      </c>
    </row>
    <row r="61" spans="1:11" s="2" customFormat="1" ht="15" hidden="1">
      <c r="A61" s="8"/>
      <c r="C61" s="4" t="s">
        <v>98</v>
      </c>
      <c r="D61" s="4"/>
      <c r="E61" s="4"/>
      <c r="F61" s="4"/>
      <c r="G61" s="4"/>
      <c r="H61" s="4"/>
      <c r="I61" s="4"/>
      <c r="J61">
        <v>0</v>
      </c>
      <c r="K61" s="31" t="s">
        <v>254</v>
      </c>
    </row>
    <row r="62" spans="1:11" s="2" customFormat="1" ht="15" hidden="1">
      <c r="A62" s="8"/>
      <c r="C62" s="4" t="s">
        <v>99</v>
      </c>
      <c r="D62" s="4"/>
      <c r="E62" s="4"/>
      <c r="F62" s="4"/>
      <c r="G62" s="4"/>
      <c r="H62" s="4"/>
      <c r="I62" s="4"/>
      <c r="J62">
        <v>1</v>
      </c>
      <c r="K62" s="31">
        <v>1</v>
      </c>
    </row>
    <row r="63" spans="1:11" s="2" customFormat="1" ht="15" hidden="1">
      <c r="A63" s="8"/>
      <c r="C63" s="4" t="s">
        <v>100</v>
      </c>
      <c r="D63" s="4"/>
      <c r="E63" s="4"/>
      <c r="F63" s="4"/>
      <c r="G63" s="4"/>
      <c r="H63" s="4"/>
      <c r="I63" s="4"/>
      <c r="J63">
        <v>0</v>
      </c>
      <c r="K63" s="31">
        <v>1</v>
      </c>
    </row>
    <row r="64" spans="1:11" s="2" customFormat="1" ht="15" hidden="1">
      <c r="A64" s="8"/>
      <c r="C64" s="4" t="s">
        <v>101</v>
      </c>
      <c r="D64" s="4"/>
      <c r="E64" s="4"/>
      <c r="F64" s="4"/>
      <c r="G64" s="4"/>
      <c r="H64" s="4"/>
      <c r="I64" s="4"/>
      <c r="J64">
        <v>1</v>
      </c>
      <c r="K64" s="31">
        <v>1</v>
      </c>
    </row>
    <row r="65" spans="1:11" s="2" customFormat="1" ht="15" hidden="1">
      <c r="A65" s="8"/>
      <c r="C65" s="4" t="s">
        <v>102</v>
      </c>
      <c r="D65" s="4"/>
      <c r="E65" s="4"/>
      <c r="F65" s="4"/>
      <c r="G65" s="4"/>
      <c r="H65" s="4"/>
      <c r="I65" s="4"/>
      <c r="J65">
        <v>1</v>
      </c>
      <c r="K65" s="31">
        <v>1</v>
      </c>
    </row>
    <row r="66" spans="1:11" s="2" customFormat="1" ht="15" hidden="1">
      <c r="A66" s="8"/>
      <c r="C66" s="4" t="s">
        <v>103</v>
      </c>
      <c r="D66" s="4"/>
      <c r="E66" s="4"/>
      <c r="F66" s="4"/>
      <c r="G66" s="4"/>
      <c r="H66" s="4"/>
      <c r="I66" s="4"/>
      <c r="J66">
        <v>0</v>
      </c>
      <c r="K66" s="31">
        <v>1</v>
      </c>
    </row>
    <row r="67" spans="1:11" s="2" customFormat="1" ht="15" hidden="1">
      <c r="A67" s="8"/>
      <c r="C67" s="4" t="s">
        <v>104</v>
      </c>
      <c r="D67" s="4"/>
      <c r="E67" s="4"/>
      <c r="F67" s="4"/>
      <c r="G67" s="4"/>
      <c r="H67" s="4"/>
      <c r="I67" s="4"/>
      <c r="J67">
        <v>1</v>
      </c>
      <c r="K67" s="31">
        <v>1</v>
      </c>
    </row>
    <row r="68" spans="1:11" s="2" customFormat="1" ht="15" hidden="1">
      <c r="A68" s="8"/>
      <c r="C68" s="4" t="s">
        <v>105</v>
      </c>
      <c r="D68" s="4"/>
      <c r="E68" s="4"/>
      <c r="F68" s="4"/>
      <c r="G68" s="4"/>
      <c r="H68" s="4"/>
      <c r="I68" s="4"/>
      <c r="J68">
        <v>0</v>
      </c>
      <c r="K68" s="31">
        <v>1</v>
      </c>
    </row>
    <row r="69" spans="1:11" s="2" customFormat="1" ht="15" hidden="1">
      <c r="A69" s="8"/>
      <c r="C69" s="4" t="s">
        <v>106</v>
      </c>
      <c r="D69" s="4"/>
      <c r="E69" s="4"/>
      <c r="F69" s="4"/>
      <c r="G69" s="4"/>
      <c r="H69" s="4"/>
      <c r="I69" s="4"/>
      <c r="J69">
        <v>1</v>
      </c>
      <c r="K69" s="31">
        <v>1</v>
      </c>
    </row>
    <row r="70" spans="1:11" s="2" customFormat="1" ht="15" hidden="1">
      <c r="A70" s="8"/>
      <c r="C70" s="4" t="s">
        <v>107</v>
      </c>
      <c r="D70" s="4"/>
      <c r="E70" s="4"/>
      <c r="F70" s="4"/>
      <c r="G70" s="4"/>
      <c r="H70" s="4"/>
      <c r="I70" s="4"/>
      <c r="J70">
        <v>0</v>
      </c>
      <c r="K70" s="31">
        <v>1</v>
      </c>
    </row>
    <row r="71" spans="1:11" s="2" customFormat="1" ht="15" hidden="1">
      <c r="A71" s="8"/>
      <c r="C71" s="4" t="s">
        <v>108</v>
      </c>
      <c r="D71" s="4"/>
      <c r="E71" s="4"/>
      <c r="F71" s="4"/>
      <c r="G71" s="4"/>
      <c r="H71" s="4"/>
      <c r="I71" s="4"/>
      <c r="J71">
        <v>1</v>
      </c>
      <c r="K71" s="31">
        <v>1</v>
      </c>
    </row>
    <row r="72" spans="1:11" s="2" customFormat="1" ht="15" hidden="1">
      <c r="A72" s="8"/>
      <c r="C72" s="4" t="s">
        <v>109</v>
      </c>
      <c r="D72" s="4"/>
      <c r="E72" s="4"/>
      <c r="F72" s="4"/>
      <c r="G72" s="4"/>
      <c r="H72" s="4"/>
      <c r="I72" s="4"/>
      <c r="J72">
        <v>1</v>
      </c>
      <c r="K72" s="31">
        <v>1</v>
      </c>
    </row>
    <row r="73" spans="1:11" s="2" customFormat="1" ht="15" hidden="1">
      <c r="A73" s="8"/>
      <c r="C73" s="4" t="s">
        <v>110</v>
      </c>
      <c r="D73" s="4"/>
      <c r="E73" s="4"/>
      <c r="F73" s="4"/>
      <c r="G73" s="4"/>
      <c r="H73" s="4"/>
      <c r="I73" s="4"/>
      <c r="J73">
        <v>0</v>
      </c>
      <c r="K73" s="31" t="s">
        <v>254</v>
      </c>
    </row>
    <row r="74" spans="1:11" s="2" customFormat="1" ht="15" hidden="1">
      <c r="A74" s="8"/>
      <c r="C74" s="4" t="s">
        <v>111</v>
      </c>
      <c r="D74" s="4"/>
      <c r="E74" s="4"/>
      <c r="F74" s="4"/>
      <c r="G74" s="4"/>
      <c r="H74" s="4"/>
      <c r="I74" s="4"/>
      <c r="J74">
        <v>1</v>
      </c>
      <c r="K74" s="31">
        <v>1</v>
      </c>
    </row>
    <row r="75" spans="1:11" s="2" customFormat="1" ht="15" hidden="1">
      <c r="A75" s="8"/>
      <c r="C75" s="4" t="s">
        <v>112</v>
      </c>
      <c r="D75" s="4"/>
      <c r="E75" s="4"/>
      <c r="F75" s="4"/>
      <c r="G75" s="4"/>
      <c r="H75" s="4"/>
      <c r="I75" s="4"/>
      <c r="J75">
        <v>0</v>
      </c>
      <c r="K75" s="31">
        <v>1</v>
      </c>
    </row>
    <row r="76" spans="1:11" s="2" customFormat="1" ht="15" hidden="1">
      <c r="A76" s="8"/>
      <c r="C76" s="4" t="s">
        <v>113</v>
      </c>
      <c r="D76" s="4"/>
      <c r="E76" s="4"/>
      <c r="F76" s="4"/>
      <c r="G76" s="4"/>
      <c r="H76" s="4"/>
      <c r="I76" s="4"/>
      <c r="J76">
        <v>1</v>
      </c>
      <c r="K76" s="31">
        <v>1</v>
      </c>
    </row>
    <row r="77" spans="1:11" s="2" customFormat="1" ht="15" hidden="1">
      <c r="A77" s="8"/>
      <c r="C77" s="4" t="s">
        <v>114</v>
      </c>
      <c r="D77" s="4"/>
      <c r="E77" s="4"/>
      <c r="F77" s="4"/>
      <c r="G77" s="4"/>
      <c r="H77" s="4"/>
      <c r="I77" s="4"/>
      <c r="J77">
        <v>1</v>
      </c>
      <c r="K77" s="31">
        <v>1</v>
      </c>
    </row>
    <row r="78" spans="1:11" s="2" customFormat="1" ht="15" hidden="1">
      <c r="A78" s="8"/>
      <c r="C78" s="4" t="s">
        <v>115</v>
      </c>
      <c r="D78" s="4"/>
      <c r="E78" s="4"/>
      <c r="F78" s="4"/>
      <c r="G78" s="4"/>
      <c r="H78" s="4"/>
      <c r="I78" s="4"/>
      <c r="J78">
        <v>0</v>
      </c>
      <c r="K78" s="31">
        <v>1</v>
      </c>
    </row>
    <row r="79" spans="1:11" ht="15">
      <c r="A79" s="8"/>
      <c r="B79" s="2"/>
      <c r="C79" s="4" t="s">
        <v>116</v>
      </c>
      <c r="D79" s="4" t="s">
        <v>4</v>
      </c>
      <c r="E79" s="4" t="s">
        <v>4</v>
      </c>
      <c r="F79" s="4" t="s">
        <v>15</v>
      </c>
      <c r="G79" s="4"/>
      <c r="H79" s="4"/>
      <c r="I79" s="4"/>
      <c r="J79">
        <v>1</v>
      </c>
      <c r="K79" s="31">
        <v>1</v>
      </c>
    </row>
    <row r="80" spans="1:11" ht="15">
      <c r="A80" s="8"/>
      <c r="B80" s="2"/>
      <c r="C80" s="4" t="s">
        <v>117</v>
      </c>
      <c r="D80" s="4" t="s">
        <v>4</v>
      </c>
      <c r="E80" s="4" t="s">
        <v>4</v>
      </c>
      <c r="F80" s="4" t="s">
        <v>15</v>
      </c>
      <c r="G80" s="4"/>
      <c r="H80" s="4"/>
      <c r="I80" s="4"/>
      <c r="J80">
        <v>1</v>
      </c>
      <c r="K80" s="31">
        <v>1</v>
      </c>
    </row>
    <row r="81" spans="1:11" ht="15">
      <c r="A81" s="8"/>
      <c r="B81" s="2"/>
      <c r="C81" s="4" t="s">
        <v>118</v>
      </c>
      <c r="D81" s="4" t="s">
        <v>4</v>
      </c>
      <c r="E81" s="4" t="s">
        <v>4</v>
      </c>
      <c r="F81" s="4" t="s">
        <v>16</v>
      </c>
      <c r="G81" s="4" t="s">
        <v>23</v>
      </c>
      <c r="H81" s="4" t="s">
        <v>39</v>
      </c>
      <c r="I81" s="4"/>
      <c r="J81">
        <v>1</v>
      </c>
      <c r="K81" s="31">
        <v>1</v>
      </c>
    </row>
    <row r="82" spans="1:11" s="2" customFormat="1" ht="15" hidden="1">
      <c r="A82" s="8"/>
      <c r="C82" s="4" t="s">
        <v>119</v>
      </c>
      <c r="D82" s="4"/>
      <c r="E82" s="4"/>
      <c r="F82" s="4"/>
      <c r="G82" s="4"/>
      <c r="H82" s="4"/>
      <c r="I82" s="4"/>
      <c r="J82">
        <v>0</v>
      </c>
      <c r="K82" s="31">
        <v>1</v>
      </c>
    </row>
    <row r="83" spans="1:11" ht="15">
      <c r="A83" s="8"/>
      <c r="B83" s="2"/>
      <c r="C83" s="4" t="s">
        <v>120</v>
      </c>
      <c r="D83" s="4" t="s">
        <v>4</v>
      </c>
      <c r="E83" s="4" t="s">
        <v>4</v>
      </c>
      <c r="F83" s="4" t="s">
        <v>15</v>
      </c>
      <c r="G83" s="4"/>
      <c r="H83" s="4"/>
      <c r="I83" s="4"/>
      <c r="J83">
        <v>1</v>
      </c>
      <c r="K83" s="31">
        <v>1</v>
      </c>
    </row>
    <row r="84" spans="1:11" ht="15">
      <c r="A84" s="8"/>
      <c r="B84" s="2"/>
      <c r="C84" s="4" t="s">
        <v>121</v>
      </c>
      <c r="D84" s="4" t="s">
        <v>4</v>
      </c>
      <c r="E84" s="4" t="s">
        <v>4</v>
      </c>
      <c r="F84" s="4" t="s">
        <v>15</v>
      </c>
      <c r="G84" s="4"/>
      <c r="H84" s="4"/>
      <c r="I84" s="4"/>
      <c r="J84">
        <v>1</v>
      </c>
      <c r="K84" s="31">
        <v>1</v>
      </c>
    </row>
    <row r="85" spans="1:11" ht="15">
      <c r="A85" s="8"/>
      <c r="B85" s="2"/>
      <c r="C85" s="4" t="s">
        <v>122</v>
      </c>
      <c r="D85" s="4" t="s">
        <v>4</v>
      </c>
      <c r="E85" s="4" t="s">
        <v>4</v>
      </c>
      <c r="F85" s="4" t="s">
        <v>16</v>
      </c>
      <c r="G85" s="4" t="s">
        <v>23</v>
      </c>
      <c r="H85" s="4" t="s">
        <v>769</v>
      </c>
      <c r="I85" s="4"/>
      <c r="J85">
        <v>0</v>
      </c>
      <c r="K85" s="31">
        <v>1</v>
      </c>
    </row>
    <row r="86" spans="1:11" s="2" customFormat="1" ht="15" hidden="1">
      <c r="A86" s="8"/>
      <c r="C86" s="4" t="s">
        <v>123</v>
      </c>
      <c r="D86" s="4"/>
      <c r="E86" s="4"/>
      <c r="F86" s="4"/>
      <c r="G86" s="4"/>
      <c r="H86" s="4"/>
      <c r="I86" s="4"/>
      <c r="J86">
        <v>0</v>
      </c>
      <c r="K86" s="31">
        <v>1</v>
      </c>
    </row>
    <row r="87" spans="1:11" s="2" customFormat="1" ht="15" hidden="1">
      <c r="A87" s="8"/>
      <c r="C87" s="4" t="s">
        <v>124</v>
      </c>
      <c r="D87" s="4"/>
      <c r="E87" s="4"/>
      <c r="F87" s="4"/>
      <c r="G87" s="4"/>
      <c r="H87" s="4"/>
      <c r="I87" s="4"/>
      <c r="J87">
        <v>0</v>
      </c>
      <c r="K87" s="31">
        <v>1</v>
      </c>
    </row>
    <row r="88" spans="1:11" s="2" customFormat="1" ht="15" hidden="1">
      <c r="A88" s="8"/>
      <c r="C88" s="4" t="s">
        <v>125</v>
      </c>
      <c r="D88" s="4"/>
      <c r="E88" s="4"/>
      <c r="F88" s="4"/>
      <c r="G88" s="4"/>
      <c r="H88" s="4"/>
      <c r="I88" s="4"/>
      <c r="J88">
        <v>0</v>
      </c>
      <c r="K88" s="31">
        <v>1</v>
      </c>
    </row>
    <row r="89" spans="1:11" s="2" customFormat="1" ht="15" hidden="1">
      <c r="A89" s="8"/>
      <c r="C89" s="4" t="s">
        <v>126</v>
      </c>
      <c r="D89" s="4"/>
      <c r="E89" s="4"/>
      <c r="F89" s="4"/>
      <c r="G89" s="4"/>
      <c r="H89" s="4"/>
      <c r="I89" s="4"/>
      <c r="J89">
        <v>1</v>
      </c>
      <c r="K89" s="31">
        <v>1</v>
      </c>
    </row>
    <row r="90" spans="1:11" s="2" customFormat="1" ht="15" hidden="1">
      <c r="A90" s="8"/>
      <c r="C90" s="4" t="s">
        <v>127</v>
      </c>
      <c r="D90" s="4"/>
      <c r="E90" s="4"/>
      <c r="F90" s="4"/>
      <c r="G90" s="4"/>
      <c r="H90" s="4"/>
      <c r="I90" s="4"/>
      <c r="J90">
        <v>0</v>
      </c>
      <c r="K90" s="31">
        <v>1</v>
      </c>
    </row>
    <row r="91" spans="1:11" s="2" customFormat="1" ht="15" hidden="1">
      <c r="A91" s="8"/>
      <c r="C91" s="4" t="s">
        <v>128</v>
      </c>
      <c r="D91" s="4"/>
      <c r="E91" s="4"/>
      <c r="F91" s="4"/>
      <c r="G91" s="4"/>
      <c r="H91" s="4"/>
      <c r="I91" s="4"/>
      <c r="J91">
        <v>0</v>
      </c>
      <c r="K91" s="31" t="s">
        <v>254</v>
      </c>
    </row>
    <row r="92" spans="1:11" s="2" customFormat="1" ht="15" hidden="1">
      <c r="A92" s="8"/>
      <c r="C92" s="4" t="s">
        <v>129</v>
      </c>
      <c r="D92" s="4"/>
      <c r="E92" s="4"/>
      <c r="F92" s="4"/>
      <c r="G92" s="4"/>
      <c r="H92" s="4"/>
      <c r="I92" s="4"/>
      <c r="J92">
        <v>1</v>
      </c>
      <c r="K92" s="31">
        <v>1</v>
      </c>
    </row>
    <row r="93" spans="1:11" s="2" customFormat="1" ht="15" hidden="1">
      <c r="A93" s="8"/>
      <c r="C93" s="4" t="s">
        <v>130</v>
      </c>
      <c r="D93" s="4"/>
      <c r="E93" s="4"/>
      <c r="F93" s="4"/>
      <c r="G93" s="4"/>
      <c r="H93" s="4"/>
      <c r="I93" s="4"/>
      <c r="J93">
        <v>0</v>
      </c>
      <c r="K93" s="31">
        <v>1</v>
      </c>
    </row>
    <row r="94" spans="1:11" s="2" customFormat="1" ht="15" hidden="1">
      <c r="A94" s="8"/>
      <c r="C94" s="4" t="s">
        <v>131</v>
      </c>
      <c r="D94" s="4"/>
      <c r="E94" s="4"/>
      <c r="F94" s="4"/>
      <c r="G94" s="4"/>
      <c r="H94" s="4"/>
      <c r="I94" s="4"/>
      <c r="J94">
        <v>1</v>
      </c>
      <c r="K94" s="31">
        <v>1</v>
      </c>
    </row>
    <row r="95" spans="1:11" s="2" customFormat="1" ht="15" hidden="1">
      <c r="A95" s="8"/>
      <c r="C95" s="4" t="s">
        <v>132</v>
      </c>
      <c r="D95" s="4"/>
      <c r="E95" s="4"/>
      <c r="F95" s="4"/>
      <c r="G95" s="4"/>
      <c r="H95" s="4"/>
      <c r="I95" s="4"/>
      <c r="J95">
        <v>1</v>
      </c>
      <c r="K95" s="31">
        <v>1</v>
      </c>
    </row>
    <row r="96" spans="1:11" s="2" customFormat="1" ht="15" hidden="1">
      <c r="A96" s="8"/>
      <c r="C96" s="4" t="s">
        <v>133</v>
      </c>
      <c r="D96" s="4"/>
      <c r="E96" s="4"/>
      <c r="F96" s="4"/>
      <c r="G96" s="4"/>
      <c r="H96" s="4"/>
      <c r="I96" s="4"/>
      <c r="J96">
        <v>0</v>
      </c>
      <c r="K96" s="31">
        <v>1</v>
      </c>
    </row>
    <row r="97" spans="1:11" s="2" customFormat="1" ht="15" hidden="1">
      <c r="A97" s="8"/>
      <c r="C97" s="4" t="s">
        <v>134</v>
      </c>
      <c r="D97" s="4"/>
      <c r="E97" s="4"/>
      <c r="F97" s="4"/>
      <c r="G97" s="4"/>
      <c r="H97" s="4"/>
      <c r="I97" s="4"/>
      <c r="J97">
        <v>1</v>
      </c>
      <c r="K97" s="31">
        <v>1</v>
      </c>
    </row>
    <row r="98" spans="1:11" s="2" customFormat="1" ht="15" hidden="1">
      <c r="A98" s="8"/>
      <c r="C98" s="4" t="s">
        <v>135</v>
      </c>
      <c r="D98" s="4"/>
      <c r="E98" s="4"/>
      <c r="F98" s="4"/>
      <c r="G98" s="4"/>
      <c r="H98" s="4"/>
      <c r="I98" s="4"/>
      <c r="J98">
        <v>0</v>
      </c>
      <c r="K98" s="31">
        <v>1</v>
      </c>
    </row>
    <row r="99" spans="1:11" s="2" customFormat="1" ht="15" hidden="1">
      <c r="A99" s="8"/>
      <c r="C99" s="4" t="s">
        <v>136</v>
      </c>
      <c r="D99" s="4"/>
      <c r="E99" s="4"/>
      <c r="F99" s="4"/>
      <c r="G99" s="4"/>
      <c r="H99" s="4"/>
      <c r="I99" s="4"/>
      <c r="J99">
        <v>1</v>
      </c>
      <c r="K99" s="31">
        <v>1</v>
      </c>
    </row>
    <row r="100" spans="1:11" s="2" customFormat="1" ht="15" hidden="1">
      <c r="A100" s="8"/>
      <c r="C100" s="4" t="s">
        <v>137</v>
      </c>
      <c r="D100" s="4"/>
      <c r="E100" s="4"/>
      <c r="F100" s="4"/>
      <c r="G100" s="4"/>
      <c r="H100" s="4"/>
      <c r="I100" s="4"/>
      <c r="J100">
        <v>0</v>
      </c>
      <c r="K100" s="31">
        <v>1</v>
      </c>
    </row>
    <row r="101" spans="1:11" s="2" customFormat="1" ht="15" hidden="1">
      <c r="A101" s="8"/>
      <c r="C101" s="4" t="s">
        <v>138</v>
      </c>
      <c r="D101" s="4"/>
      <c r="E101" s="4"/>
      <c r="F101" s="4"/>
      <c r="G101" s="4"/>
      <c r="H101" s="4"/>
      <c r="I101" s="4"/>
      <c r="J101">
        <v>1</v>
      </c>
      <c r="K101" s="31">
        <v>1</v>
      </c>
    </row>
    <row r="102" spans="1:11" s="2" customFormat="1" ht="15" hidden="1">
      <c r="A102" s="8"/>
      <c r="C102" s="4" t="s">
        <v>139</v>
      </c>
      <c r="D102" s="4"/>
      <c r="E102" s="4"/>
      <c r="F102" s="4"/>
      <c r="G102" s="4"/>
      <c r="H102" s="4"/>
      <c r="I102" s="4"/>
      <c r="J102">
        <v>1</v>
      </c>
      <c r="K102" s="31">
        <v>1</v>
      </c>
    </row>
    <row r="103" spans="1:11" s="2" customFormat="1" ht="15" hidden="1">
      <c r="A103" s="8"/>
      <c r="C103" s="4" t="s">
        <v>140</v>
      </c>
      <c r="D103" s="4"/>
      <c r="E103" s="4"/>
      <c r="F103" s="4"/>
      <c r="G103" s="4"/>
      <c r="H103" s="4"/>
      <c r="I103" s="4"/>
      <c r="J103">
        <v>0</v>
      </c>
      <c r="K103" s="31" t="s">
        <v>254</v>
      </c>
    </row>
    <row r="104" spans="1:11" s="2" customFormat="1" ht="15" hidden="1">
      <c r="A104" s="8"/>
      <c r="C104" s="4" t="s">
        <v>141</v>
      </c>
      <c r="D104" s="4"/>
      <c r="E104" s="4"/>
      <c r="F104" s="4"/>
      <c r="G104" s="4"/>
      <c r="H104" s="4"/>
      <c r="I104" s="4"/>
      <c r="J104">
        <v>1</v>
      </c>
      <c r="K104" s="31">
        <v>1</v>
      </c>
    </row>
    <row r="105" spans="1:11" s="2" customFormat="1" ht="15" hidden="1">
      <c r="A105" s="8"/>
      <c r="C105" s="4" t="s">
        <v>142</v>
      </c>
      <c r="D105" s="4"/>
      <c r="E105" s="4"/>
      <c r="F105" s="4"/>
      <c r="G105" s="4"/>
      <c r="H105" s="4"/>
      <c r="I105" s="4"/>
      <c r="J105">
        <v>0</v>
      </c>
      <c r="K105" s="31">
        <v>1</v>
      </c>
    </row>
    <row r="106" spans="1:11" s="2" customFormat="1" ht="15" hidden="1">
      <c r="A106" s="8"/>
      <c r="C106" s="4" t="s">
        <v>143</v>
      </c>
      <c r="D106" s="4"/>
      <c r="E106" s="4"/>
      <c r="F106" s="4"/>
      <c r="G106" s="4"/>
      <c r="H106" s="4"/>
      <c r="I106" s="4"/>
      <c r="J106">
        <v>1</v>
      </c>
      <c r="K106" s="31">
        <v>1</v>
      </c>
    </row>
    <row r="107" spans="1:11" s="2" customFormat="1" ht="15" hidden="1">
      <c r="A107" s="8"/>
      <c r="C107" s="4" t="s">
        <v>144</v>
      </c>
      <c r="D107" s="4"/>
      <c r="E107" s="4"/>
      <c r="F107" s="4"/>
      <c r="G107" s="4"/>
      <c r="H107" s="4"/>
      <c r="I107" s="4"/>
      <c r="J107">
        <v>1</v>
      </c>
      <c r="K107" s="31">
        <v>1</v>
      </c>
    </row>
    <row r="108" spans="1:11" s="2" customFormat="1" ht="15" hidden="1">
      <c r="A108" s="8"/>
      <c r="C108" s="4" t="s">
        <v>145</v>
      </c>
      <c r="D108" s="4"/>
      <c r="E108" s="4"/>
      <c r="F108" s="4"/>
      <c r="G108" s="4"/>
      <c r="H108" s="4"/>
      <c r="I108" s="4"/>
      <c r="J108">
        <v>0</v>
      </c>
      <c r="K108" s="31">
        <v>1</v>
      </c>
    </row>
    <row r="109" spans="1:11" ht="15">
      <c r="A109" s="8"/>
      <c r="B109" s="2"/>
      <c r="C109" s="4" t="s">
        <v>146</v>
      </c>
      <c r="D109" s="4" t="s">
        <v>4</v>
      </c>
      <c r="E109" s="4" t="s">
        <v>4</v>
      </c>
      <c r="F109" s="4" t="s">
        <v>17</v>
      </c>
      <c r="G109" s="4" t="s">
        <v>3</v>
      </c>
      <c r="H109" s="4"/>
      <c r="I109" s="4"/>
      <c r="J109">
        <v>0</v>
      </c>
      <c r="K109" s="31">
        <v>1</v>
      </c>
    </row>
    <row r="110" spans="1:11" ht="15">
      <c r="A110" s="8"/>
      <c r="B110" s="2"/>
      <c r="C110" s="4" t="s">
        <v>147</v>
      </c>
      <c r="D110" s="4" t="s">
        <v>4</v>
      </c>
      <c r="E110" s="4" t="s">
        <v>4</v>
      </c>
      <c r="F110" s="4" t="s">
        <v>15</v>
      </c>
      <c r="G110" s="4"/>
      <c r="H110" s="4"/>
      <c r="I110" s="4"/>
      <c r="J110">
        <v>1</v>
      </c>
      <c r="K110" s="31" t="s">
        <v>254</v>
      </c>
    </row>
    <row r="111" spans="1:11" ht="15">
      <c r="A111" s="8"/>
      <c r="B111" s="2"/>
      <c r="C111" s="4" t="s">
        <v>148</v>
      </c>
      <c r="D111" s="4" t="s">
        <v>4</v>
      </c>
      <c r="E111" s="4" t="s">
        <v>4</v>
      </c>
      <c r="F111" s="4" t="s">
        <v>15</v>
      </c>
      <c r="G111" s="4"/>
      <c r="H111" s="4"/>
      <c r="I111" s="4"/>
      <c r="J111">
        <v>1</v>
      </c>
      <c r="K111" s="31">
        <v>1</v>
      </c>
    </row>
    <row r="112" spans="1:11" s="2" customFormat="1" ht="15" hidden="1">
      <c r="A112" s="8"/>
      <c r="C112" s="4" t="s">
        <v>149</v>
      </c>
      <c r="D112" s="4"/>
      <c r="E112" s="4"/>
      <c r="F112" s="4"/>
      <c r="G112" s="4"/>
      <c r="H112" s="4"/>
      <c r="I112" s="4"/>
      <c r="J112">
        <v>0</v>
      </c>
      <c r="K112" s="31">
        <v>1</v>
      </c>
    </row>
    <row r="113" spans="1:11" ht="15">
      <c r="A113" s="8"/>
      <c r="B113" s="2"/>
      <c r="C113" s="4" t="s">
        <v>150</v>
      </c>
      <c r="D113" s="4" t="s">
        <v>4</v>
      </c>
      <c r="E113" s="4" t="s">
        <v>4</v>
      </c>
      <c r="F113" s="4" t="s">
        <v>19</v>
      </c>
      <c r="G113" s="4" t="s">
        <v>24</v>
      </c>
      <c r="H113" s="4" t="s">
        <v>13</v>
      </c>
      <c r="I113" s="4"/>
      <c r="J113">
        <v>1</v>
      </c>
      <c r="K113" s="31">
        <v>1</v>
      </c>
    </row>
    <row r="114" spans="1:11" s="2" customFormat="1" ht="15" hidden="1">
      <c r="A114" s="8"/>
      <c r="C114" s="4" t="s">
        <v>151</v>
      </c>
      <c r="D114" s="4"/>
      <c r="E114" s="4"/>
      <c r="F114" s="4"/>
      <c r="G114" s="4"/>
      <c r="H114" s="4"/>
      <c r="I114" s="4"/>
      <c r="J114">
        <v>0</v>
      </c>
      <c r="K114" s="31">
        <v>1</v>
      </c>
    </row>
    <row r="115" spans="1:11" s="2" customFormat="1" ht="15" hidden="1">
      <c r="A115" s="8"/>
      <c r="C115" s="4" t="s">
        <v>152</v>
      </c>
      <c r="D115" s="4"/>
      <c r="E115" s="4"/>
      <c r="F115" s="4"/>
      <c r="G115" s="4"/>
      <c r="H115" s="4"/>
      <c r="I115" s="4"/>
      <c r="J115">
        <v>0</v>
      </c>
      <c r="K115" s="31">
        <v>1</v>
      </c>
    </row>
    <row r="116" spans="1:11" s="2" customFormat="1" ht="15" hidden="1">
      <c r="A116" s="8"/>
      <c r="C116" s="4" t="s">
        <v>153</v>
      </c>
      <c r="D116" s="4"/>
      <c r="E116" s="4"/>
      <c r="F116" s="4"/>
      <c r="G116" s="4"/>
      <c r="H116" s="4"/>
      <c r="I116" s="4"/>
      <c r="J116">
        <v>1</v>
      </c>
      <c r="K116" s="31">
        <v>1</v>
      </c>
    </row>
    <row r="117" spans="1:11" s="2" customFormat="1" ht="15" hidden="1">
      <c r="A117" s="8"/>
      <c r="C117" s="4" t="s">
        <v>154</v>
      </c>
      <c r="D117" s="4"/>
      <c r="E117" s="4"/>
      <c r="F117" s="4"/>
      <c r="G117" s="4"/>
      <c r="H117" s="4"/>
      <c r="I117" s="4"/>
      <c r="J117">
        <v>0</v>
      </c>
      <c r="K117" s="31">
        <v>1</v>
      </c>
    </row>
    <row r="118" spans="1:11" s="2" customFormat="1" ht="15" hidden="1">
      <c r="A118" s="8"/>
      <c r="C118" s="4" t="s">
        <v>155</v>
      </c>
      <c r="D118" s="4"/>
      <c r="E118" s="4"/>
      <c r="F118" s="4"/>
      <c r="G118" s="4"/>
      <c r="H118" s="4"/>
      <c r="I118" s="4"/>
      <c r="J118">
        <v>1</v>
      </c>
      <c r="K118" s="31">
        <v>1</v>
      </c>
    </row>
    <row r="119" spans="1:11" s="2" customFormat="1" ht="15" hidden="1">
      <c r="A119" s="8"/>
      <c r="C119" s="4" t="s">
        <v>156</v>
      </c>
      <c r="D119" s="4"/>
      <c r="E119" s="4"/>
      <c r="F119" s="4"/>
      <c r="G119" s="4"/>
      <c r="H119" s="4"/>
      <c r="I119" s="4"/>
      <c r="J119">
        <v>1</v>
      </c>
      <c r="K119" s="31">
        <v>1</v>
      </c>
    </row>
    <row r="120" spans="1:11" s="2" customFormat="1" ht="15" hidden="1">
      <c r="A120" s="8"/>
      <c r="C120" s="4" t="s">
        <v>157</v>
      </c>
      <c r="D120" s="4"/>
      <c r="E120" s="4"/>
      <c r="F120" s="4"/>
      <c r="G120" s="4"/>
      <c r="H120" s="4"/>
      <c r="I120" s="4"/>
      <c r="J120">
        <v>0</v>
      </c>
      <c r="K120" s="31">
        <v>1</v>
      </c>
    </row>
    <row r="121" spans="1:11" s="2" customFormat="1" ht="15" hidden="1">
      <c r="A121" s="8"/>
      <c r="C121" s="4" t="s">
        <v>158</v>
      </c>
      <c r="D121" s="4"/>
      <c r="E121" s="4"/>
      <c r="F121" s="4"/>
      <c r="G121" s="4"/>
      <c r="H121" s="4"/>
      <c r="I121" s="4"/>
      <c r="J121">
        <v>1</v>
      </c>
      <c r="K121" s="31">
        <v>1</v>
      </c>
    </row>
    <row r="122" spans="1:11" s="2" customFormat="1" ht="15" hidden="1">
      <c r="A122" s="8"/>
      <c r="C122" s="4" t="s">
        <v>159</v>
      </c>
      <c r="D122" s="4"/>
      <c r="E122" s="4"/>
      <c r="F122" s="4"/>
      <c r="G122" s="4"/>
      <c r="H122" s="4"/>
      <c r="I122" s="4"/>
      <c r="J122">
        <v>1</v>
      </c>
      <c r="K122" s="31">
        <v>1</v>
      </c>
    </row>
    <row r="123" spans="1:11" ht="15">
      <c r="A123" s="8"/>
      <c r="B123" s="2"/>
      <c r="C123" s="4" t="s">
        <v>160</v>
      </c>
      <c r="D123" s="4" t="s">
        <v>4</v>
      </c>
      <c r="E123" s="4" t="s">
        <v>4</v>
      </c>
      <c r="F123" s="4" t="s">
        <v>15</v>
      </c>
      <c r="G123" s="4"/>
      <c r="H123" s="4"/>
      <c r="I123" s="4"/>
      <c r="J123">
        <v>1</v>
      </c>
      <c r="K123" s="31">
        <v>1</v>
      </c>
    </row>
    <row r="124" spans="1:11" ht="15">
      <c r="A124" s="8"/>
      <c r="B124" s="2"/>
      <c r="C124" s="4" t="s">
        <v>161</v>
      </c>
      <c r="D124" s="4" t="s">
        <v>4</v>
      </c>
      <c r="E124" s="4" t="s">
        <v>4</v>
      </c>
      <c r="F124" s="4" t="s">
        <v>19</v>
      </c>
      <c r="G124" s="4" t="s">
        <v>24</v>
      </c>
      <c r="H124" s="4" t="s">
        <v>8</v>
      </c>
      <c r="I124" s="4" t="s">
        <v>25</v>
      </c>
      <c r="J124">
        <v>1</v>
      </c>
      <c r="K124" s="31">
        <v>1</v>
      </c>
    </row>
    <row r="125" spans="1:11" s="2" customFormat="1" ht="15" hidden="1">
      <c r="A125" s="8"/>
      <c r="C125" s="4" t="s">
        <v>162</v>
      </c>
      <c r="D125" s="4"/>
      <c r="E125" s="4"/>
      <c r="F125" s="4"/>
      <c r="G125" s="4"/>
      <c r="H125" s="4"/>
      <c r="I125" s="4"/>
      <c r="J125">
        <v>1</v>
      </c>
      <c r="K125" s="31">
        <v>1</v>
      </c>
    </row>
    <row r="126" spans="1:11" s="2" customFormat="1" ht="15" hidden="1">
      <c r="A126" s="8"/>
      <c r="C126" s="4" t="s">
        <v>163</v>
      </c>
      <c r="D126" s="4"/>
      <c r="E126" s="4"/>
      <c r="F126" s="4"/>
      <c r="G126" s="4"/>
      <c r="H126" s="4"/>
      <c r="I126" s="4"/>
      <c r="J126">
        <v>0</v>
      </c>
      <c r="K126" s="31">
        <v>1</v>
      </c>
    </row>
    <row r="127" spans="1:11" s="2" customFormat="1" ht="15" hidden="1">
      <c r="A127" s="8"/>
      <c r="C127" s="4" t="s">
        <v>164</v>
      </c>
      <c r="D127" s="4"/>
      <c r="E127" s="4"/>
      <c r="F127" s="4"/>
      <c r="G127" s="4"/>
      <c r="H127" s="4"/>
      <c r="I127" s="4"/>
      <c r="J127">
        <v>0</v>
      </c>
      <c r="K127" s="31">
        <v>0</v>
      </c>
    </row>
    <row r="128" spans="1:11" s="2" customFormat="1" ht="15" hidden="1">
      <c r="A128" s="8"/>
      <c r="C128" s="4" t="s">
        <v>165</v>
      </c>
      <c r="D128" s="4"/>
      <c r="E128" s="4"/>
      <c r="F128" s="4"/>
      <c r="G128" s="4"/>
      <c r="H128" s="4"/>
      <c r="I128" s="4"/>
      <c r="J128">
        <v>0</v>
      </c>
      <c r="K128" s="31">
        <v>1</v>
      </c>
    </row>
    <row r="129" spans="1:11" s="2" customFormat="1" ht="15" hidden="1">
      <c r="A129" s="8"/>
      <c r="C129" s="4" t="s">
        <v>166</v>
      </c>
      <c r="D129" s="4"/>
      <c r="E129" s="4"/>
      <c r="F129" s="4"/>
      <c r="G129" s="4"/>
      <c r="H129" s="4"/>
      <c r="I129" s="4"/>
      <c r="J129">
        <v>0</v>
      </c>
      <c r="K129" s="31">
        <v>1</v>
      </c>
    </row>
    <row r="130" spans="1:11" s="2" customFormat="1" ht="15" hidden="1">
      <c r="A130" s="8"/>
      <c r="C130" s="4" t="s">
        <v>167</v>
      </c>
      <c r="D130" s="4"/>
      <c r="E130" s="4"/>
      <c r="F130" s="4"/>
      <c r="G130" s="4"/>
      <c r="H130" s="4"/>
      <c r="I130" s="4"/>
      <c r="J130">
        <v>0</v>
      </c>
      <c r="K130" s="31">
        <v>1</v>
      </c>
    </row>
    <row r="131" spans="1:11" s="2" customFormat="1" ht="15" hidden="1">
      <c r="A131" s="8"/>
      <c r="C131" s="4" t="s">
        <v>168</v>
      </c>
      <c r="D131" s="4"/>
      <c r="E131" s="4"/>
      <c r="F131" s="4"/>
      <c r="G131" s="4"/>
      <c r="H131" s="4"/>
      <c r="I131" s="4"/>
      <c r="J131">
        <v>1</v>
      </c>
      <c r="K131" s="31">
        <v>1</v>
      </c>
    </row>
    <row r="132" spans="1:11" s="2" customFormat="1" ht="15" hidden="1">
      <c r="A132" s="8"/>
      <c r="C132" s="4" t="s">
        <v>169</v>
      </c>
      <c r="D132" s="4"/>
      <c r="E132" s="4"/>
      <c r="F132" s="4"/>
      <c r="G132" s="4"/>
      <c r="H132" s="4"/>
      <c r="I132" s="4"/>
      <c r="J132">
        <v>0</v>
      </c>
      <c r="K132" s="31">
        <v>1</v>
      </c>
    </row>
    <row r="133" spans="1:11" s="2" customFormat="1" ht="15" hidden="1">
      <c r="A133" s="8"/>
      <c r="C133" s="4" t="s">
        <v>170</v>
      </c>
      <c r="D133" s="4"/>
      <c r="E133" s="4"/>
      <c r="F133" s="4"/>
      <c r="G133" s="4"/>
      <c r="H133" s="4"/>
      <c r="I133" s="4"/>
      <c r="J133">
        <v>0</v>
      </c>
      <c r="K133" s="31" t="s">
        <v>254</v>
      </c>
    </row>
    <row r="134" spans="1:11" s="2" customFormat="1" ht="15" hidden="1">
      <c r="A134" s="8"/>
      <c r="C134" s="4" t="s">
        <v>171</v>
      </c>
      <c r="D134" s="4"/>
      <c r="E134" s="4"/>
      <c r="F134" s="4"/>
      <c r="G134" s="4"/>
      <c r="H134" s="4"/>
      <c r="I134" s="4"/>
      <c r="J134">
        <v>1</v>
      </c>
      <c r="K134" s="31">
        <v>1</v>
      </c>
    </row>
    <row r="135" spans="1:11" s="2" customFormat="1" ht="15" hidden="1">
      <c r="A135" s="8"/>
      <c r="C135" s="4" t="s">
        <v>172</v>
      </c>
      <c r="D135" s="4"/>
      <c r="E135" s="4"/>
      <c r="F135" s="4"/>
      <c r="G135" s="4"/>
      <c r="H135" s="4"/>
      <c r="I135" s="4"/>
      <c r="J135">
        <v>0</v>
      </c>
      <c r="K135" s="31">
        <v>1</v>
      </c>
    </row>
    <row r="136" spans="1:11" s="2" customFormat="1" ht="15" hidden="1">
      <c r="A136" s="8"/>
      <c r="C136" s="4" t="s">
        <v>173</v>
      </c>
      <c r="D136" s="4"/>
      <c r="E136" s="4"/>
      <c r="F136" s="4"/>
      <c r="G136" s="4"/>
      <c r="H136" s="4"/>
      <c r="I136" s="4"/>
      <c r="J136">
        <v>1</v>
      </c>
      <c r="K136" s="31">
        <v>1</v>
      </c>
    </row>
    <row r="137" spans="1:11" s="2" customFormat="1" ht="15" hidden="1">
      <c r="A137" s="8"/>
      <c r="C137" s="4" t="s">
        <v>174</v>
      </c>
      <c r="D137" s="4"/>
      <c r="E137" s="4"/>
      <c r="F137" s="4"/>
      <c r="G137" s="4"/>
      <c r="H137" s="4"/>
      <c r="I137" s="4"/>
      <c r="J137">
        <v>1</v>
      </c>
      <c r="K137" s="31">
        <v>1</v>
      </c>
    </row>
    <row r="138" spans="1:11" s="2" customFormat="1" ht="15" hidden="1">
      <c r="A138" s="8"/>
      <c r="C138" s="4" t="s">
        <v>175</v>
      </c>
      <c r="D138" s="4"/>
      <c r="E138" s="4"/>
      <c r="F138" s="4"/>
      <c r="G138" s="4"/>
      <c r="H138" s="4"/>
      <c r="I138" s="4"/>
      <c r="J138">
        <v>0</v>
      </c>
      <c r="K138" s="31">
        <v>1</v>
      </c>
    </row>
    <row r="139" spans="1:11" s="2" customFormat="1" ht="15" hidden="1">
      <c r="A139" s="8"/>
      <c r="C139" s="4" t="s">
        <v>176</v>
      </c>
      <c r="D139" s="4"/>
      <c r="E139" s="4"/>
      <c r="F139" s="4"/>
      <c r="G139" s="4"/>
      <c r="H139" s="4"/>
      <c r="I139" s="4"/>
      <c r="J139">
        <v>1</v>
      </c>
      <c r="K139" s="31">
        <v>1</v>
      </c>
    </row>
    <row r="140" spans="1:11" s="2" customFormat="1" ht="15" hidden="1">
      <c r="A140" s="8"/>
      <c r="C140" s="4" t="s">
        <v>177</v>
      </c>
      <c r="D140" s="4"/>
      <c r="E140" s="4"/>
      <c r="F140" s="4"/>
      <c r="G140" s="4"/>
      <c r="H140" s="4"/>
      <c r="I140" s="4"/>
      <c r="J140">
        <v>0</v>
      </c>
      <c r="K140" s="31">
        <v>1</v>
      </c>
    </row>
    <row r="141" spans="1:11" s="2" customFormat="1" ht="15" hidden="1">
      <c r="A141" s="8"/>
      <c r="C141" s="4" t="s">
        <v>178</v>
      </c>
      <c r="D141" s="4"/>
      <c r="E141" s="4"/>
      <c r="F141" s="4"/>
      <c r="G141" s="4"/>
      <c r="H141" s="4"/>
      <c r="I141" s="4"/>
      <c r="J141">
        <v>1</v>
      </c>
      <c r="K141" s="31">
        <v>1</v>
      </c>
    </row>
    <row r="142" spans="1:11" s="2" customFormat="1" ht="15" hidden="1">
      <c r="A142" s="8"/>
      <c r="C142" s="4" t="s">
        <v>179</v>
      </c>
      <c r="D142" s="4"/>
      <c r="E142" s="4"/>
      <c r="F142" s="4"/>
      <c r="G142" s="4"/>
      <c r="H142" s="4"/>
      <c r="I142" s="4"/>
      <c r="J142">
        <v>0</v>
      </c>
      <c r="K142" s="31">
        <v>1</v>
      </c>
    </row>
    <row r="143" spans="1:11" s="2" customFormat="1" ht="15" hidden="1">
      <c r="A143" s="8"/>
      <c r="C143" s="4" t="s">
        <v>180</v>
      </c>
      <c r="D143" s="4"/>
      <c r="E143" s="4"/>
      <c r="F143" s="4"/>
      <c r="G143" s="4"/>
      <c r="H143" s="4"/>
      <c r="I143" s="4"/>
      <c r="J143">
        <v>1</v>
      </c>
      <c r="K143" s="31">
        <v>1</v>
      </c>
    </row>
    <row r="144" spans="1:11" s="2" customFormat="1" ht="15" hidden="1">
      <c r="A144" s="8"/>
      <c r="C144" s="4" t="s">
        <v>181</v>
      </c>
      <c r="D144" s="4"/>
      <c r="E144" s="4"/>
      <c r="F144" s="4"/>
      <c r="G144" s="4"/>
      <c r="H144" s="4"/>
      <c r="I144" s="4"/>
      <c r="J144">
        <v>1</v>
      </c>
      <c r="K144" s="31">
        <v>1</v>
      </c>
    </row>
    <row r="145" spans="1:11" s="2" customFormat="1" ht="15" hidden="1">
      <c r="A145" s="8"/>
      <c r="C145" s="4" t="s">
        <v>182</v>
      </c>
      <c r="D145" s="4"/>
      <c r="E145" s="4"/>
      <c r="F145" s="4"/>
      <c r="G145" s="4"/>
      <c r="H145" s="4"/>
      <c r="I145" s="4"/>
      <c r="J145">
        <v>0</v>
      </c>
      <c r="K145" s="31" t="s">
        <v>254</v>
      </c>
    </row>
    <row r="146" spans="1:11" s="2" customFormat="1" ht="15" hidden="1">
      <c r="A146" s="8"/>
      <c r="C146" s="4" t="s">
        <v>183</v>
      </c>
      <c r="D146" s="4"/>
      <c r="E146" s="4"/>
      <c r="F146" s="4"/>
      <c r="G146" s="4"/>
      <c r="H146" s="4"/>
      <c r="I146" s="4"/>
      <c r="J146">
        <v>1</v>
      </c>
      <c r="K146" s="31">
        <v>1</v>
      </c>
    </row>
    <row r="147" spans="1:11" s="2" customFormat="1" ht="15" hidden="1">
      <c r="A147" s="8"/>
      <c r="C147" s="4" t="s">
        <v>184</v>
      </c>
      <c r="D147" s="4"/>
      <c r="E147" s="4"/>
      <c r="F147" s="4"/>
      <c r="G147" s="4"/>
      <c r="H147" s="4"/>
      <c r="I147" s="4"/>
      <c r="J147">
        <v>0</v>
      </c>
      <c r="K147" s="31">
        <v>1</v>
      </c>
    </row>
    <row r="148" spans="1:11" s="2" customFormat="1" ht="15" hidden="1">
      <c r="A148" s="8"/>
      <c r="C148" s="4" t="s">
        <v>185</v>
      </c>
      <c r="D148" s="4"/>
      <c r="E148" s="4"/>
      <c r="F148" s="4"/>
      <c r="G148" s="4"/>
      <c r="H148" s="4"/>
      <c r="I148" s="4"/>
      <c r="J148">
        <v>1</v>
      </c>
      <c r="K148" s="31">
        <v>1</v>
      </c>
    </row>
    <row r="149" spans="1:11" s="2" customFormat="1" ht="15" hidden="1">
      <c r="A149" s="8"/>
      <c r="C149" s="4" t="s">
        <v>186</v>
      </c>
      <c r="D149" s="4"/>
      <c r="E149" s="4"/>
      <c r="F149" s="4"/>
      <c r="G149" s="4"/>
      <c r="H149" s="4"/>
      <c r="I149" s="4"/>
      <c r="J149">
        <v>1</v>
      </c>
      <c r="K149" s="31">
        <v>1</v>
      </c>
    </row>
    <row r="150" spans="1:11" s="2" customFormat="1" ht="15" hidden="1">
      <c r="A150" s="8"/>
      <c r="C150" s="4" t="s">
        <v>187</v>
      </c>
      <c r="D150" s="4"/>
      <c r="E150" s="4"/>
      <c r="F150" s="4"/>
      <c r="G150" s="4"/>
      <c r="H150" s="4"/>
      <c r="I150" s="4"/>
      <c r="J150">
        <v>0</v>
      </c>
      <c r="K150" s="31">
        <v>1</v>
      </c>
    </row>
    <row r="151" spans="1:11" ht="15">
      <c r="A151" s="8"/>
      <c r="B151" s="2"/>
      <c r="C151" s="4" t="s">
        <v>188</v>
      </c>
      <c r="D151" s="4" t="s">
        <v>4</v>
      </c>
      <c r="E151" s="4" t="s">
        <v>4</v>
      </c>
      <c r="F151" s="4" t="s">
        <v>15</v>
      </c>
      <c r="G151" s="4"/>
      <c r="H151" s="4"/>
      <c r="I151" s="4"/>
      <c r="J151">
        <v>0</v>
      </c>
      <c r="K151" s="31">
        <v>1</v>
      </c>
    </row>
    <row r="152" spans="1:11" ht="15">
      <c r="A152" s="8"/>
      <c r="B152" s="2"/>
      <c r="C152" s="4" t="s">
        <v>189</v>
      </c>
      <c r="D152" s="4" t="s">
        <v>4</v>
      </c>
      <c r="E152" s="4" t="s">
        <v>4</v>
      </c>
      <c r="F152" s="4" t="s">
        <v>15</v>
      </c>
      <c r="G152" s="4"/>
      <c r="H152" s="4"/>
      <c r="I152" s="4"/>
      <c r="J152">
        <v>1</v>
      </c>
      <c r="K152" s="31">
        <v>1</v>
      </c>
    </row>
    <row r="153" spans="1:11" ht="15">
      <c r="A153" s="8"/>
      <c r="B153" s="2"/>
      <c r="C153" s="4" t="s">
        <v>190</v>
      </c>
      <c r="D153" s="4" t="s">
        <v>4</v>
      </c>
      <c r="E153" s="4" t="s">
        <v>4</v>
      </c>
      <c r="F153" s="4" t="s">
        <v>19</v>
      </c>
      <c r="G153" s="4" t="s">
        <v>24</v>
      </c>
      <c r="H153" s="4" t="s">
        <v>7</v>
      </c>
      <c r="I153" s="4"/>
      <c r="J153">
        <v>0</v>
      </c>
      <c r="K153" s="31">
        <v>1</v>
      </c>
    </row>
    <row r="154" spans="1:11" ht="15">
      <c r="A154" s="8"/>
      <c r="B154" s="2"/>
      <c r="C154" s="4" t="s">
        <v>191</v>
      </c>
      <c r="D154" s="4" t="s">
        <v>4</v>
      </c>
      <c r="E154" s="4" t="s">
        <v>4</v>
      </c>
      <c r="F154" s="4" t="s">
        <v>15</v>
      </c>
      <c r="G154" s="4"/>
      <c r="H154" s="4"/>
      <c r="I154" s="4"/>
      <c r="J154">
        <v>0</v>
      </c>
      <c r="K154" s="31">
        <v>1</v>
      </c>
    </row>
    <row r="155" spans="1:11" ht="15">
      <c r="A155" s="8"/>
      <c r="B155" s="2"/>
      <c r="C155" s="4" t="s">
        <v>192</v>
      </c>
      <c r="D155" s="4" t="s">
        <v>4</v>
      </c>
      <c r="E155" s="4" t="s">
        <v>4</v>
      </c>
      <c r="F155" s="4" t="s">
        <v>19</v>
      </c>
      <c r="G155" s="4" t="s">
        <v>24</v>
      </c>
      <c r="H155" s="4" t="s">
        <v>9</v>
      </c>
      <c r="I155" s="4"/>
      <c r="J155">
        <v>0</v>
      </c>
      <c r="K155" s="31">
        <v>1</v>
      </c>
    </row>
    <row r="156" spans="1:11" ht="15">
      <c r="A156" s="8"/>
      <c r="B156" s="2"/>
      <c r="C156" s="4" t="s">
        <v>193</v>
      </c>
      <c r="D156" s="4" t="s">
        <v>4</v>
      </c>
      <c r="E156" s="4" t="s">
        <v>4</v>
      </c>
      <c r="F156" s="4" t="s">
        <v>15</v>
      </c>
      <c r="G156" s="4"/>
      <c r="H156" s="4"/>
      <c r="I156" s="4"/>
      <c r="J156">
        <v>0</v>
      </c>
      <c r="K156" s="31">
        <v>1</v>
      </c>
    </row>
    <row r="157" spans="1:11" ht="15">
      <c r="A157" s="8"/>
      <c r="B157" s="2"/>
      <c r="C157" s="4" t="s">
        <v>194</v>
      </c>
      <c r="D157" s="4" t="s">
        <v>4</v>
      </c>
      <c r="E157" s="4" t="s">
        <v>4</v>
      </c>
      <c r="F157" s="4" t="s">
        <v>19</v>
      </c>
      <c r="G157" s="4" t="s">
        <v>24</v>
      </c>
      <c r="H157" s="4" t="s">
        <v>10</v>
      </c>
      <c r="I157" s="4"/>
      <c r="J157">
        <v>0</v>
      </c>
      <c r="K157" s="31">
        <v>1</v>
      </c>
    </row>
    <row r="158" spans="1:11" ht="15">
      <c r="A158" s="8"/>
      <c r="B158" s="2"/>
      <c r="C158" s="4" t="s">
        <v>195</v>
      </c>
      <c r="D158" s="4" t="s">
        <v>4</v>
      </c>
      <c r="E158" s="4" t="s">
        <v>4</v>
      </c>
      <c r="F158" s="4" t="s">
        <v>19</v>
      </c>
      <c r="G158" s="4" t="s">
        <v>24</v>
      </c>
      <c r="H158" s="4" t="s">
        <v>11</v>
      </c>
      <c r="I158" s="4"/>
      <c r="J158">
        <v>0</v>
      </c>
      <c r="K158" s="31">
        <v>7</v>
      </c>
    </row>
    <row r="159" spans="1:11" ht="15">
      <c r="A159" s="8"/>
      <c r="B159" s="2"/>
      <c r="C159" s="4" t="s">
        <v>195</v>
      </c>
      <c r="D159" s="4" t="s">
        <v>4</v>
      </c>
      <c r="E159" s="4" t="s">
        <v>4</v>
      </c>
      <c r="F159" s="4" t="s">
        <v>19</v>
      </c>
      <c r="G159" s="4" t="s">
        <v>24</v>
      </c>
      <c r="H159" s="4" t="s">
        <v>12</v>
      </c>
      <c r="I159" s="4"/>
      <c r="J159">
        <v>0</v>
      </c>
      <c r="K159" s="31">
        <v>7</v>
      </c>
    </row>
    <row r="160" spans="1:11" s="2" customFormat="1" ht="15" hidden="1">
      <c r="A160" s="8"/>
      <c r="C160" s="4" t="s">
        <v>196</v>
      </c>
      <c r="D160" s="4"/>
      <c r="E160" s="4"/>
      <c r="F160" s="4"/>
      <c r="G160" s="4"/>
      <c r="H160" s="4"/>
      <c r="I160" s="4"/>
      <c r="J160">
        <v>0</v>
      </c>
      <c r="K160" s="31">
        <v>1</v>
      </c>
    </row>
    <row r="161" spans="1:11" s="2" customFormat="1" ht="15" hidden="1">
      <c r="A161" s="8"/>
      <c r="C161" s="4" t="s">
        <v>197</v>
      </c>
      <c r="D161" s="4"/>
      <c r="E161" s="4"/>
      <c r="F161" s="4"/>
      <c r="G161" s="4"/>
      <c r="H161" s="4"/>
      <c r="I161" s="4"/>
      <c r="J161">
        <v>1</v>
      </c>
      <c r="K161" s="31">
        <v>1</v>
      </c>
    </row>
    <row r="162" spans="1:11" s="2" customFormat="1" ht="15" hidden="1">
      <c r="A162" s="8"/>
      <c r="C162" s="4" t="s">
        <v>198</v>
      </c>
      <c r="D162" s="4"/>
      <c r="E162" s="4"/>
      <c r="F162" s="4"/>
      <c r="G162" s="4"/>
      <c r="H162" s="4"/>
      <c r="I162" s="4"/>
      <c r="J162">
        <v>0</v>
      </c>
      <c r="K162" s="31">
        <v>1</v>
      </c>
    </row>
    <row r="163" spans="1:11" s="2" customFormat="1" ht="15" hidden="1">
      <c r="A163" s="8"/>
      <c r="C163" s="4" t="s">
        <v>199</v>
      </c>
      <c r="D163" s="4"/>
      <c r="E163" s="4"/>
      <c r="F163" s="4"/>
      <c r="G163" s="4"/>
      <c r="H163" s="4"/>
      <c r="I163" s="4"/>
      <c r="J163">
        <v>0</v>
      </c>
      <c r="K163" s="31" t="s">
        <v>254</v>
      </c>
    </row>
    <row r="164" spans="1:11" s="2" customFormat="1" ht="15" hidden="1">
      <c r="A164" s="8"/>
      <c r="C164" s="4" t="s">
        <v>200</v>
      </c>
      <c r="D164" s="4"/>
      <c r="E164" s="4"/>
      <c r="F164" s="4"/>
      <c r="G164" s="4"/>
      <c r="H164" s="4"/>
      <c r="I164" s="4"/>
      <c r="J164">
        <v>1</v>
      </c>
      <c r="K164" s="31">
        <v>1</v>
      </c>
    </row>
    <row r="165" spans="1:11" s="2" customFormat="1" ht="15" hidden="1">
      <c r="A165" s="8"/>
      <c r="C165" s="4" t="s">
        <v>201</v>
      </c>
      <c r="D165" s="4"/>
      <c r="E165" s="4"/>
      <c r="F165" s="4"/>
      <c r="G165" s="4"/>
      <c r="H165" s="4"/>
      <c r="I165" s="4"/>
      <c r="J165">
        <v>0</v>
      </c>
      <c r="K165" s="31">
        <v>1</v>
      </c>
    </row>
    <row r="166" spans="1:11" s="2" customFormat="1" ht="15" hidden="1">
      <c r="A166" s="8"/>
      <c r="C166" s="4" t="s">
        <v>202</v>
      </c>
      <c r="D166" s="4"/>
      <c r="E166" s="4"/>
      <c r="F166" s="4"/>
      <c r="G166" s="4"/>
      <c r="H166" s="4"/>
      <c r="I166" s="4"/>
      <c r="J166">
        <v>1</v>
      </c>
      <c r="K166" s="31">
        <v>1</v>
      </c>
    </row>
    <row r="167" spans="1:11" s="2" customFormat="1" ht="15" hidden="1">
      <c r="A167" s="8"/>
      <c r="C167" s="4" t="s">
        <v>203</v>
      </c>
      <c r="D167" s="4"/>
      <c r="E167" s="4"/>
      <c r="F167" s="4"/>
      <c r="G167" s="4"/>
      <c r="H167" s="4"/>
      <c r="I167" s="4"/>
      <c r="J167">
        <v>1</v>
      </c>
      <c r="K167" s="31">
        <v>1</v>
      </c>
    </row>
    <row r="168" spans="1:11" s="2" customFormat="1" ht="15" hidden="1">
      <c r="A168" s="8"/>
      <c r="C168" s="4" t="s">
        <v>204</v>
      </c>
      <c r="D168" s="4"/>
      <c r="E168" s="4"/>
      <c r="F168" s="4"/>
      <c r="G168" s="4"/>
      <c r="H168" s="4"/>
      <c r="I168" s="4"/>
      <c r="J168">
        <v>0</v>
      </c>
      <c r="K168" s="31">
        <v>1</v>
      </c>
    </row>
    <row r="169" spans="1:11" s="2" customFormat="1" ht="15" hidden="1">
      <c r="A169" s="8"/>
      <c r="C169" s="4" t="s">
        <v>205</v>
      </c>
      <c r="D169" s="4"/>
      <c r="E169" s="4"/>
      <c r="F169" s="4"/>
      <c r="G169" s="4"/>
      <c r="H169" s="4"/>
      <c r="I169" s="4"/>
      <c r="J169">
        <v>1</v>
      </c>
      <c r="K169" s="31">
        <v>1</v>
      </c>
    </row>
    <row r="170" spans="1:11" s="2" customFormat="1" ht="15" hidden="1">
      <c r="A170" s="8"/>
      <c r="C170" s="4" t="s">
        <v>206</v>
      </c>
      <c r="D170" s="4"/>
      <c r="E170" s="4"/>
      <c r="F170" s="4"/>
      <c r="G170" s="4"/>
      <c r="H170" s="4"/>
      <c r="I170" s="4"/>
      <c r="J170">
        <v>0</v>
      </c>
      <c r="K170" s="31">
        <v>1</v>
      </c>
    </row>
    <row r="171" spans="1:11" s="2" customFormat="1" ht="15" hidden="1">
      <c r="A171" s="8"/>
      <c r="C171" s="4" t="s">
        <v>207</v>
      </c>
      <c r="D171" s="4"/>
      <c r="E171" s="4"/>
      <c r="F171" s="4"/>
      <c r="G171" s="4"/>
      <c r="H171" s="4"/>
      <c r="I171" s="4"/>
      <c r="J171">
        <v>1</v>
      </c>
      <c r="K171" s="31">
        <v>1</v>
      </c>
    </row>
    <row r="172" spans="1:11" s="2" customFormat="1" ht="15" hidden="1">
      <c r="A172" s="8"/>
      <c r="C172" s="4" t="s">
        <v>208</v>
      </c>
      <c r="D172" s="4"/>
      <c r="E172" s="4"/>
      <c r="F172" s="4"/>
      <c r="G172" s="4"/>
      <c r="H172" s="4"/>
      <c r="I172" s="4"/>
      <c r="J172">
        <v>0</v>
      </c>
      <c r="K172" s="31">
        <v>1</v>
      </c>
    </row>
    <row r="173" spans="1:11" s="2" customFormat="1" ht="15" hidden="1">
      <c r="A173" s="8"/>
      <c r="C173" s="4" t="s">
        <v>209</v>
      </c>
      <c r="D173" s="4"/>
      <c r="E173" s="4"/>
      <c r="F173" s="4"/>
      <c r="G173" s="4"/>
      <c r="H173" s="4"/>
      <c r="I173" s="4"/>
      <c r="J173">
        <v>1</v>
      </c>
      <c r="K173" s="31">
        <v>1</v>
      </c>
    </row>
    <row r="174" spans="1:11" s="2" customFormat="1" ht="15" hidden="1">
      <c r="A174" s="8"/>
      <c r="C174" s="4" t="s">
        <v>210</v>
      </c>
      <c r="D174" s="4"/>
      <c r="E174" s="4"/>
      <c r="F174" s="4"/>
      <c r="G174" s="4"/>
      <c r="H174" s="4"/>
      <c r="I174" s="4"/>
      <c r="J174">
        <v>1</v>
      </c>
      <c r="K174" s="31">
        <v>1</v>
      </c>
    </row>
    <row r="175" spans="1:11" s="2" customFormat="1" ht="15" hidden="1">
      <c r="A175" s="8"/>
      <c r="C175" s="4" t="s">
        <v>211</v>
      </c>
      <c r="D175" s="4"/>
      <c r="E175" s="4"/>
      <c r="F175" s="4"/>
      <c r="G175" s="4"/>
      <c r="H175" s="4"/>
      <c r="I175" s="4"/>
      <c r="J175">
        <v>0</v>
      </c>
      <c r="K175" s="31" t="s">
        <v>254</v>
      </c>
    </row>
    <row r="176" spans="1:11" s="2" customFormat="1" ht="15" hidden="1">
      <c r="A176" s="8"/>
      <c r="C176" s="4" t="s">
        <v>212</v>
      </c>
      <c r="D176" s="4"/>
      <c r="E176" s="4"/>
      <c r="F176" s="4"/>
      <c r="G176" s="4"/>
      <c r="H176" s="4"/>
      <c r="I176" s="4"/>
      <c r="J176">
        <v>1</v>
      </c>
      <c r="K176" s="31">
        <v>1</v>
      </c>
    </row>
    <row r="177" spans="1:11" s="2" customFormat="1" ht="15" hidden="1">
      <c r="A177" s="8"/>
      <c r="C177" s="4" t="s">
        <v>213</v>
      </c>
      <c r="D177" s="4"/>
      <c r="E177" s="4"/>
      <c r="F177" s="4"/>
      <c r="G177" s="4"/>
      <c r="H177" s="4"/>
      <c r="I177" s="4"/>
      <c r="J177">
        <v>0</v>
      </c>
      <c r="K177" s="31">
        <v>1</v>
      </c>
    </row>
    <row r="178" spans="1:11" s="2" customFormat="1" ht="15" hidden="1">
      <c r="A178" s="8"/>
      <c r="C178" s="4" t="s">
        <v>214</v>
      </c>
      <c r="D178" s="4"/>
      <c r="E178" s="4"/>
      <c r="F178" s="4"/>
      <c r="G178" s="4"/>
      <c r="H178" s="4"/>
      <c r="I178" s="4"/>
      <c r="J178">
        <v>1</v>
      </c>
      <c r="K178" s="31">
        <v>1</v>
      </c>
    </row>
    <row r="179" spans="1:11" s="2" customFormat="1" ht="15" hidden="1">
      <c r="A179" s="8"/>
      <c r="C179" s="4" t="s">
        <v>215</v>
      </c>
      <c r="D179" s="4"/>
      <c r="E179" s="4"/>
      <c r="F179" s="4"/>
      <c r="G179" s="4"/>
      <c r="H179" s="4"/>
      <c r="I179" s="4"/>
      <c r="J179">
        <v>1</v>
      </c>
      <c r="K179" s="31">
        <v>1</v>
      </c>
    </row>
    <row r="180" spans="1:11" s="2" customFormat="1" ht="15" hidden="1">
      <c r="A180" s="8"/>
      <c r="C180" s="4" t="s">
        <v>216</v>
      </c>
      <c r="D180" s="4"/>
      <c r="E180" s="4"/>
      <c r="F180" s="4"/>
      <c r="G180" s="4"/>
      <c r="H180" s="4"/>
      <c r="I180" s="4"/>
      <c r="J180">
        <v>0</v>
      </c>
      <c r="K180" s="31">
        <v>1</v>
      </c>
    </row>
    <row r="181" spans="1:11" ht="15">
      <c r="A181" s="8"/>
      <c r="B181" s="2"/>
      <c r="C181" s="4" t="s">
        <v>217</v>
      </c>
      <c r="D181" s="4" t="s">
        <v>4</v>
      </c>
      <c r="E181" s="4" t="s">
        <v>4</v>
      </c>
      <c r="F181" s="4" t="s">
        <v>15</v>
      </c>
      <c r="G181" s="4"/>
      <c r="H181" s="4"/>
      <c r="I181" s="4"/>
      <c r="J181">
        <v>0</v>
      </c>
      <c r="K181" s="31">
        <v>1</v>
      </c>
    </row>
    <row r="182" spans="1:11" ht="15">
      <c r="A182" s="8"/>
      <c r="B182" s="2"/>
      <c r="C182" s="4" t="s">
        <v>218</v>
      </c>
      <c r="D182" s="4" t="s">
        <v>4</v>
      </c>
      <c r="E182" s="4" t="s">
        <v>4</v>
      </c>
      <c r="F182" s="4" t="s">
        <v>15</v>
      </c>
      <c r="G182" s="4"/>
      <c r="H182" s="4"/>
      <c r="I182" s="4"/>
      <c r="J182">
        <v>1</v>
      </c>
      <c r="K182" s="31">
        <v>1</v>
      </c>
    </row>
    <row r="183" spans="1:11" ht="15">
      <c r="A183" s="8"/>
      <c r="B183" s="2"/>
      <c r="C183" s="4" t="s">
        <v>219</v>
      </c>
      <c r="D183" s="4" t="s">
        <v>4</v>
      </c>
      <c r="E183" s="4" t="s">
        <v>4</v>
      </c>
      <c r="F183" s="4" t="s">
        <v>19</v>
      </c>
      <c r="G183" s="4" t="s">
        <v>24</v>
      </c>
      <c r="H183" s="4" t="s">
        <v>6</v>
      </c>
      <c r="I183" s="4"/>
      <c r="J183">
        <v>1</v>
      </c>
      <c r="K183" s="31">
        <v>1</v>
      </c>
    </row>
    <row r="184" spans="1:11" s="2" customFormat="1" ht="15" hidden="1">
      <c r="A184" s="8"/>
      <c r="C184" s="4" t="s">
        <v>220</v>
      </c>
      <c r="D184" s="4"/>
      <c r="E184" s="4"/>
      <c r="F184" s="4"/>
      <c r="G184" s="4"/>
      <c r="H184" s="4"/>
      <c r="I184" s="4"/>
      <c r="J184">
        <v>0</v>
      </c>
      <c r="K184" s="31">
        <v>1</v>
      </c>
    </row>
    <row r="185" spans="1:11" s="2" customFormat="1" ht="15" hidden="1">
      <c r="A185" s="8"/>
      <c r="C185" s="4" t="s">
        <v>221</v>
      </c>
      <c r="D185" s="4"/>
      <c r="E185" s="4"/>
      <c r="F185" s="4"/>
      <c r="G185" s="4"/>
      <c r="H185" s="4"/>
      <c r="I185" s="4"/>
      <c r="J185">
        <v>0</v>
      </c>
      <c r="K185" s="31">
        <v>1</v>
      </c>
    </row>
    <row r="186" spans="1:11" s="2" customFormat="1" ht="15" hidden="1">
      <c r="A186" s="8"/>
      <c r="C186" s="4" t="s">
        <v>222</v>
      </c>
      <c r="D186" s="4"/>
      <c r="E186" s="4"/>
      <c r="F186" s="4"/>
      <c r="G186" s="4"/>
      <c r="H186" s="4"/>
      <c r="I186" s="4"/>
      <c r="J186">
        <v>0</v>
      </c>
      <c r="K186" s="31">
        <v>1</v>
      </c>
    </row>
    <row r="187" spans="1:11" s="2" customFormat="1" ht="15" hidden="1">
      <c r="A187" s="8"/>
      <c r="C187" s="4" t="s">
        <v>223</v>
      </c>
      <c r="D187" s="4"/>
      <c r="E187" s="4"/>
      <c r="F187" s="4"/>
      <c r="G187" s="4"/>
      <c r="H187" s="4"/>
      <c r="I187" s="4"/>
      <c r="J187">
        <v>1</v>
      </c>
      <c r="K187" s="31">
        <v>1</v>
      </c>
    </row>
    <row r="188" spans="1:11" s="2" customFormat="1" ht="15" hidden="1">
      <c r="A188" s="8"/>
      <c r="C188" s="4" t="s">
        <v>224</v>
      </c>
      <c r="D188" s="4"/>
      <c r="E188" s="4"/>
      <c r="F188" s="4"/>
      <c r="G188" s="4"/>
      <c r="H188" s="4"/>
      <c r="I188" s="4"/>
      <c r="J188">
        <v>0</v>
      </c>
      <c r="K188" s="31">
        <v>1</v>
      </c>
    </row>
    <row r="189" spans="1:11" s="2" customFormat="1" ht="15" hidden="1">
      <c r="A189" s="8"/>
      <c r="C189" s="4" t="s">
        <v>225</v>
      </c>
      <c r="D189" s="4"/>
      <c r="E189" s="4"/>
      <c r="F189" s="4"/>
      <c r="G189" s="4"/>
      <c r="H189" s="4"/>
      <c r="I189" s="4"/>
      <c r="J189">
        <v>0</v>
      </c>
      <c r="K189" s="31" t="s">
        <v>254</v>
      </c>
    </row>
    <row r="190" spans="1:11" s="2" customFormat="1" ht="15" hidden="1">
      <c r="A190" s="8"/>
      <c r="C190" s="4" t="s">
        <v>226</v>
      </c>
      <c r="D190" s="4"/>
      <c r="E190" s="4"/>
      <c r="F190" s="4"/>
      <c r="G190" s="4"/>
      <c r="H190" s="4"/>
      <c r="I190" s="4"/>
      <c r="J190">
        <v>1</v>
      </c>
      <c r="K190" s="31">
        <v>1</v>
      </c>
    </row>
    <row r="191" spans="1:11" s="2" customFormat="1" ht="15" hidden="1">
      <c r="A191" s="8"/>
      <c r="C191" s="4" t="s">
        <v>227</v>
      </c>
      <c r="D191" s="4"/>
      <c r="E191" s="4"/>
      <c r="F191" s="4"/>
      <c r="G191" s="4"/>
      <c r="H191" s="4"/>
      <c r="I191" s="4"/>
      <c r="J191">
        <v>0</v>
      </c>
      <c r="K191" s="31">
        <v>1</v>
      </c>
    </row>
    <row r="192" spans="1:11" s="2" customFormat="1" ht="15" hidden="1">
      <c r="A192" s="8"/>
      <c r="C192" s="4" t="s">
        <v>228</v>
      </c>
      <c r="D192" s="4"/>
      <c r="E192" s="4"/>
      <c r="F192" s="4"/>
      <c r="G192" s="4"/>
      <c r="H192" s="4"/>
      <c r="I192" s="4"/>
      <c r="J192">
        <v>1</v>
      </c>
      <c r="K192" s="31">
        <v>1</v>
      </c>
    </row>
    <row r="193" spans="1:11" s="2" customFormat="1" ht="15" hidden="1">
      <c r="A193" s="8"/>
      <c r="C193" s="4" t="s">
        <v>229</v>
      </c>
      <c r="D193" s="4"/>
      <c r="E193" s="4"/>
      <c r="F193" s="4"/>
      <c r="G193" s="4"/>
      <c r="H193" s="4"/>
      <c r="I193" s="4"/>
      <c r="J193">
        <v>1</v>
      </c>
      <c r="K193" s="31">
        <v>1</v>
      </c>
    </row>
    <row r="194" spans="1:11" s="2" customFormat="1" ht="15" hidden="1">
      <c r="A194" s="8"/>
      <c r="C194" s="4" t="s">
        <v>230</v>
      </c>
      <c r="D194" s="4"/>
      <c r="E194" s="4"/>
      <c r="F194" s="4"/>
      <c r="G194" s="4"/>
      <c r="H194" s="4"/>
      <c r="I194" s="4"/>
      <c r="J194">
        <v>0</v>
      </c>
      <c r="K194" s="31">
        <v>1</v>
      </c>
    </row>
    <row r="195" spans="1:11" s="2" customFormat="1" ht="15" hidden="1">
      <c r="A195" s="8"/>
      <c r="C195" s="4" t="s">
        <v>231</v>
      </c>
      <c r="D195" s="4"/>
      <c r="E195" s="4"/>
      <c r="F195" s="4"/>
      <c r="G195" s="4"/>
      <c r="H195" s="4"/>
      <c r="I195" s="4"/>
      <c r="J195">
        <v>1</v>
      </c>
      <c r="K195" s="31">
        <v>1</v>
      </c>
    </row>
    <row r="196" spans="1:11" s="2" customFormat="1" ht="15" hidden="1">
      <c r="A196" s="8"/>
      <c r="C196" s="4" t="s">
        <v>232</v>
      </c>
      <c r="D196" s="4"/>
      <c r="E196" s="4"/>
      <c r="F196" s="4"/>
      <c r="G196" s="4"/>
      <c r="H196" s="4"/>
      <c r="I196" s="4"/>
      <c r="J196">
        <v>0</v>
      </c>
      <c r="K196" s="31">
        <v>1</v>
      </c>
    </row>
    <row r="197" spans="1:11" s="2" customFormat="1" ht="15" hidden="1">
      <c r="A197" s="8"/>
      <c r="C197" s="4" t="s">
        <v>233</v>
      </c>
      <c r="D197" s="4"/>
      <c r="E197" s="4"/>
      <c r="F197" s="4"/>
      <c r="G197" s="4"/>
      <c r="H197" s="4"/>
      <c r="I197" s="4"/>
      <c r="J197">
        <v>1</v>
      </c>
      <c r="K197" s="31">
        <v>1</v>
      </c>
    </row>
    <row r="198" spans="1:11" s="2" customFormat="1" ht="15" hidden="1">
      <c r="A198" s="8"/>
      <c r="C198" s="4" t="s">
        <v>234</v>
      </c>
      <c r="D198" s="4"/>
      <c r="E198" s="4"/>
      <c r="F198" s="4"/>
      <c r="G198" s="4"/>
      <c r="H198" s="4"/>
      <c r="I198" s="4"/>
      <c r="J198">
        <v>0</v>
      </c>
      <c r="K198" s="31">
        <v>1</v>
      </c>
    </row>
    <row r="199" spans="1:11" s="2" customFormat="1" ht="15" hidden="1">
      <c r="A199" s="8"/>
      <c r="C199" s="4" t="s">
        <v>235</v>
      </c>
      <c r="D199" s="4"/>
      <c r="E199" s="4"/>
      <c r="F199" s="4"/>
      <c r="G199" s="4"/>
      <c r="H199" s="4"/>
      <c r="I199" s="4"/>
      <c r="J199">
        <v>1</v>
      </c>
      <c r="K199" s="31">
        <v>1</v>
      </c>
    </row>
    <row r="200" spans="1:11" s="2" customFormat="1" ht="15" hidden="1">
      <c r="A200" s="8"/>
      <c r="C200" s="4" t="s">
        <v>236</v>
      </c>
      <c r="D200" s="4"/>
      <c r="E200" s="4"/>
      <c r="F200" s="4"/>
      <c r="G200" s="4"/>
      <c r="H200" s="4"/>
      <c r="I200" s="4"/>
      <c r="J200">
        <v>1</v>
      </c>
      <c r="K200" s="31">
        <v>1</v>
      </c>
    </row>
    <row r="201" spans="1:11" s="2" customFormat="1" ht="15" hidden="1">
      <c r="A201" s="8"/>
      <c r="C201" s="4" t="s">
        <v>237</v>
      </c>
      <c r="D201" s="4"/>
      <c r="E201" s="4"/>
      <c r="F201" s="4"/>
      <c r="G201" s="4"/>
      <c r="H201" s="4"/>
      <c r="I201" s="4"/>
      <c r="J201">
        <v>0</v>
      </c>
      <c r="K201" s="31" t="s">
        <v>254</v>
      </c>
    </row>
    <row r="202" spans="1:11" s="2" customFormat="1" ht="15" hidden="1">
      <c r="A202" s="8"/>
      <c r="C202" s="4" t="s">
        <v>238</v>
      </c>
      <c r="D202" s="4"/>
      <c r="E202" s="4"/>
      <c r="F202" s="4"/>
      <c r="G202" s="4"/>
      <c r="H202" s="4"/>
      <c r="I202" s="4"/>
      <c r="J202">
        <v>1</v>
      </c>
      <c r="K202" s="31">
        <v>1</v>
      </c>
    </row>
    <row r="203" spans="1:11" s="2" customFormat="1" ht="15" hidden="1">
      <c r="A203" s="8"/>
      <c r="C203" s="4" t="s">
        <v>239</v>
      </c>
      <c r="D203" s="4"/>
      <c r="E203" s="4"/>
      <c r="F203" s="4"/>
      <c r="G203" s="4"/>
      <c r="H203" s="4"/>
      <c r="I203" s="4"/>
      <c r="J203">
        <v>0</v>
      </c>
      <c r="K203" s="31">
        <v>1</v>
      </c>
    </row>
    <row r="204" spans="1:11" s="2" customFormat="1" ht="15" hidden="1">
      <c r="A204" s="8"/>
      <c r="C204" s="4" t="s">
        <v>240</v>
      </c>
      <c r="D204" s="4"/>
      <c r="E204" s="4"/>
      <c r="F204" s="4"/>
      <c r="G204" s="4"/>
      <c r="H204" s="4"/>
      <c r="I204" s="4"/>
      <c r="J204">
        <v>1</v>
      </c>
      <c r="K204" s="31">
        <v>1</v>
      </c>
    </row>
    <row r="205" spans="1:11" s="2" customFormat="1" ht="15" hidden="1">
      <c r="A205" s="8"/>
      <c r="C205" s="4" t="s">
        <v>241</v>
      </c>
      <c r="D205" s="4"/>
      <c r="E205" s="4"/>
      <c r="F205" s="4"/>
      <c r="G205" s="4"/>
      <c r="H205" s="4"/>
      <c r="I205" s="4"/>
      <c r="J205">
        <v>1</v>
      </c>
      <c r="K205" s="31">
        <v>1</v>
      </c>
    </row>
    <row r="206" spans="1:11" s="2" customFormat="1" ht="15" hidden="1">
      <c r="A206" s="8"/>
      <c r="C206" s="4" t="s">
        <v>242</v>
      </c>
      <c r="D206" s="4"/>
      <c r="E206" s="4"/>
      <c r="F206" s="4"/>
      <c r="G206" s="4"/>
      <c r="H206" s="4"/>
      <c r="I206" s="4"/>
      <c r="J206">
        <v>0</v>
      </c>
      <c r="K206" s="31">
        <v>1</v>
      </c>
    </row>
    <row r="207" spans="1:11" s="2" customFormat="1" ht="15" hidden="1">
      <c r="A207" s="8"/>
      <c r="C207" s="4" t="s">
        <v>243</v>
      </c>
      <c r="D207" s="4"/>
      <c r="E207" s="4"/>
      <c r="F207" s="4"/>
      <c r="G207" s="4"/>
      <c r="H207" s="4"/>
      <c r="I207" s="4"/>
      <c r="J207">
        <v>0</v>
      </c>
      <c r="K207" s="31">
        <v>1</v>
      </c>
    </row>
    <row r="208" spans="1:11" s="2" customFormat="1" ht="15" hidden="1">
      <c r="A208" s="8"/>
      <c r="C208" s="4" t="s">
        <v>244</v>
      </c>
      <c r="D208" s="4"/>
      <c r="E208" s="4"/>
      <c r="F208" s="4"/>
      <c r="G208" s="4"/>
      <c r="H208" s="4"/>
      <c r="I208" s="4"/>
      <c r="J208">
        <v>1</v>
      </c>
      <c r="K208" s="31">
        <v>1</v>
      </c>
    </row>
    <row r="209" spans="1:11" ht="15">
      <c r="A209" s="8"/>
      <c r="B209" s="2"/>
      <c r="C209" s="4" t="s">
        <v>245</v>
      </c>
      <c r="D209" s="4" t="s">
        <v>4</v>
      </c>
      <c r="E209" s="4" t="s">
        <v>4</v>
      </c>
      <c r="F209" s="4" t="s">
        <v>15</v>
      </c>
      <c r="G209" s="4"/>
      <c r="H209" s="4"/>
      <c r="I209" s="4"/>
      <c r="J209">
        <v>0</v>
      </c>
      <c r="K209" s="31">
        <v>1</v>
      </c>
    </row>
    <row r="210" spans="1:11" ht="15">
      <c r="A210" s="8"/>
      <c r="B210" s="2"/>
      <c r="C210" s="4" t="s">
        <v>246</v>
      </c>
      <c r="D210" s="4" t="s">
        <v>4</v>
      </c>
      <c r="E210" s="4" t="s">
        <v>4</v>
      </c>
      <c r="F210" s="4" t="s">
        <v>19</v>
      </c>
      <c r="G210" s="4" t="s">
        <v>24</v>
      </c>
      <c r="H210" s="4" t="s">
        <v>43</v>
      </c>
      <c r="I210" s="4"/>
      <c r="J210">
        <v>0</v>
      </c>
      <c r="K210" s="31" t="s">
        <v>254</v>
      </c>
    </row>
    <row r="211" spans="1:11" s="2" customFormat="1" ht="15" hidden="1">
      <c r="A211" s="8"/>
      <c r="C211" s="4" t="s">
        <v>247</v>
      </c>
      <c r="D211" s="4"/>
      <c r="E211" s="4"/>
      <c r="F211" s="4"/>
      <c r="G211" s="4"/>
      <c r="H211" s="4"/>
      <c r="I211" s="4"/>
      <c r="J211">
        <v>0</v>
      </c>
      <c r="K211" s="31" t="s">
        <v>254</v>
      </c>
    </row>
    <row r="212" spans="1:11" s="2" customFormat="1" ht="15" hidden="1">
      <c r="A212" s="8"/>
      <c r="C212" s="4" t="s">
        <v>248</v>
      </c>
      <c r="D212" s="4"/>
      <c r="E212" s="4"/>
      <c r="F212" s="4"/>
      <c r="G212" s="4"/>
      <c r="H212" s="4"/>
      <c r="I212" s="4"/>
      <c r="J212">
        <v>0</v>
      </c>
      <c r="K212" s="31">
        <v>1</v>
      </c>
    </row>
    <row r="213" spans="1:11" s="2" customFormat="1" ht="15" hidden="1">
      <c r="A213" s="8"/>
      <c r="C213" s="4" t="s">
        <v>249</v>
      </c>
      <c r="D213" s="4"/>
      <c r="E213" s="4"/>
      <c r="F213" s="4"/>
      <c r="G213" s="4"/>
      <c r="H213" s="4"/>
      <c r="I213" s="4"/>
      <c r="J213">
        <v>0</v>
      </c>
      <c r="K213" s="31">
        <v>1</v>
      </c>
    </row>
    <row r="214" spans="1:11" s="2" customFormat="1" ht="15" hidden="1">
      <c r="A214" s="8"/>
      <c r="C214" s="4" t="s">
        <v>250</v>
      </c>
      <c r="D214" s="4"/>
      <c r="E214" s="4"/>
      <c r="F214" s="4"/>
      <c r="G214" s="4"/>
      <c r="H214" s="4"/>
      <c r="I214" s="4"/>
      <c r="J214">
        <v>1</v>
      </c>
      <c r="K214" s="31">
        <v>1</v>
      </c>
    </row>
    <row r="215" spans="1:11" s="2" customFormat="1" ht="15" hidden="1">
      <c r="A215" s="8"/>
      <c r="C215" s="4" t="s">
        <v>251</v>
      </c>
      <c r="D215" s="4"/>
      <c r="E215" s="4"/>
      <c r="F215" s="4"/>
      <c r="G215" s="4"/>
      <c r="H215" s="4"/>
      <c r="I215" s="4"/>
      <c r="J215">
        <v>1</v>
      </c>
      <c r="K215" s="31">
        <v>1</v>
      </c>
    </row>
    <row r="216" spans="1:11" s="2" customFormat="1" ht="15" hidden="1">
      <c r="A216" s="8"/>
      <c r="C216" s="4" t="s">
        <v>252</v>
      </c>
      <c r="D216" s="4"/>
      <c r="E216" s="4"/>
      <c r="F216" s="4"/>
      <c r="G216" s="4"/>
      <c r="H216" s="4"/>
      <c r="I216" s="4"/>
      <c r="J216">
        <v>0</v>
      </c>
      <c r="K216" s="31">
        <v>0</v>
      </c>
    </row>
    <row r="217" spans="1:11" s="2" customFormat="1" ht="15" hidden="1">
      <c r="A217" s="8"/>
      <c r="C217" s="4" t="s">
        <v>253</v>
      </c>
      <c r="D217" s="4"/>
      <c r="E217" s="4"/>
      <c r="F217" s="4"/>
      <c r="G217" s="4"/>
      <c r="H217" s="4"/>
      <c r="I217" s="4"/>
      <c r="J217">
        <v>0</v>
      </c>
      <c r="K217" s="31">
        <v>1</v>
      </c>
    </row>
  </sheetData>
  <autoFilter ref="C4:H217">
    <filterColumn colId="1">
      <customFilters>
        <customFilter operator="notEqual" val=" "/>
      </customFilters>
    </filterColumn>
  </autoFilter>
  <dataValidations count="1">
    <dataValidation type="list" allowBlank="1" showInputMessage="1" showErrorMessage="1" sqref="F6:F217">
      <formula1>"XMLTagOnly,XMLTagCellReference,XMLColumnReference,XMLTagValue,XMLTagAttribute,XMLTagAttributeValue"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MetaSEPAPain00100104" filterMode="1"/>
  <dimension ref="A1:W2096"/>
  <sheetViews>
    <sheetView showGridLines="0" showRowColHeaders="0" workbookViewId="0">
      <pane ySplit="4" topLeftCell="A5" activePane="bottomLeft" state="frozen"/>
      <selection pane="bottomLeft" activeCell="D129" sqref="D129"/>
    </sheetView>
  </sheetViews>
  <sheetFormatPr defaultColWidth="9.140625" defaultRowHeight="0" customHeight="1" zeroHeight="1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1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31" customWidth="1"/>
  </cols>
  <sheetData>
    <row r="1" spans="1:23" ht="76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</row>
    <row r="2" spans="1:23" ht="12.75">
      <c r="A2" s="8"/>
    </row>
    <row r="3" spans="1:23" ht="13.5" thickBot="1">
      <c r="A3" s="8"/>
    </row>
    <row r="4" spans="1:23" ht="36.75" customHeight="1" thickBot="1">
      <c r="A4" s="8"/>
      <c r="C4" s="34" t="s">
        <v>26</v>
      </c>
      <c r="D4" s="32" t="s">
        <v>20</v>
      </c>
      <c r="E4" s="32" t="s">
        <v>18</v>
      </c>
      <c r="F4" s="32" t="s">
        <v>14</v>
      </c>
      <c r="G4" s="32" t="s">
        <v>21</v>
      </c>
      <c r="H4" s="35" t="s">
        <v>22</v>
      </c>
      <c r="I4" s="32" t="s">
        <v>257</v>
      </c>
      <c r="J4" s="32" t="s">
        <v>255</v>
      </c>
      <c r="K4" s="33" t="s">
        <v>256</v>
      </c>
    </row>
    <row r="5" spans="1:23" s="2" customFormat="1" ht="15" hidden="1">
      <c r="A5" s="8"/>
      <c r="C5" s="3" t="s">
        <v>1</v>
      </c>
      <c r="D5" s="3"/>
      <c r="E5" s="3"/>
      <c r="F5" s="3"/>
      <c r="G5" s="3"/>
      <c r="H5" s="3"/>
      <c r="I5"/>
      <c r="K5" s="36"/>
    </row>
    <row r="6" spans="1:23" ht="15" hidden="1">
      <c r="A6" s="8"/>
      <c r="C6" s="26" t="s">
        <v>44</v>
      </c>
      <c r="D6" s="3"/>
      <c r="E6" s="3"/>
      <c r="F6" s="3"/>
      <c r="G6" s="3"/>
      <c r="H6" s="3"/>
      <c r="I6" s="3"/>
    </row>
    <row r="7" spans="1:23" ht="15">
      <c r="A7" s="8"/>
      <c r="C7" s="3" t="s">
        <v>45</v>
      </c>
      <c r="D7" s="3" t="s">
        <v>4</v>
      </c>
      <c r="E7" s="3" t="s">
        <v>4</v>
      </c>
      <c r="F7" s="3" t="s">
        <v>15</v>
      </c>
      <c r="G7" s="3"/>
      <c r="H7" s="3"/>
      <c r="I7" s="3"/>
    </row>
    <row r="8" spans="1:23" ht="15">
      <c r="A8" s="8"/>
      <c r="C8" s="3" t="s">
        <v>46</v>
      </c>
      <c r="D8" s="3" t="s">
        <v>4</v>
      </c>
      <c r="E8" s="3" t="s">
        <v>4</v>
      </c>
      <c r="F8" s="3" t="s">
        <v>16</v>
      </c>
      <c r="G8" s="3" t="s">
        <v>23</v>
      </c>
      <c r="H8" s="5" t="s">
        <v>37</v>
      </c>
      <c r="I8" s="3"/>
    </row>
    <row r="9" spans="1:23" ht="15">
      <c r="A9" s="8"/>
      <c r="C9" s="4" t="s">
        <v>47</v>
      </c>
      <c r="D9" s="4" t="s">
        <v>4</v>
      </c>
      <c r="E9" s="3" t="s">
        <v>4</v>
      </c>
      <c r="F9" s="4" t="s">
        <v>16</v>
      </c>
      <c r="G9" s="4" t="s">
        <v>23</v>
      </c>
      <c r="H9" s="4" t="s">
        <v>38</v>
      </c>
      <c r="I9" s="4"/>
    </row>
    <row r="10" spans="1:23" ht="15" hidden="1">
      <c r="A10" s="8"/>
      <c r="C10" s="4" t="s">
        <v>774</v>
      </c>
      <c r="D10" s="4"/>
      <c r="E10" s="3"/>
      <c r="F10" s="4"/>
      <c r="G10" s="4"/>
      <c r="H10" s="4"/>
      <c r="I10" s="4"/>
    </row>
    <row r="11" spans="1:23" s="2" customFormat="1" ht="15" hidden="1">
      <c r="A11" s="8"/>
      <c r="B11"/>
      <c r="C11" s="4" t="s">
        <v>775</v>
      </c>
      <c r="D11" s="4"/>
      <c r="E11" s="3"/>
      <c r="F11" s="4"/>
      <c r="G11" s="4"/>
      <c r="H11" s="4"/>
      <c r="I11" s="4"/>
      <c r="J11"/>
      <c r="K11" s="31"/>
    </row>
    <row r="12" spans="1:23" ht="15" hidden="1">
      <c r="A12" s="8"/>
      <c r="C12" s="4" t="s">
        <v>776</v>
      </c>
      <c r="D12" s="4"/>
      <c r="E12" s="3"/>
      <c r="F12" s="4"/>
      <c r="G12" s="4"/>
      <c r="H12" s="4"/>
      <c r="I12" s="4"/>
    </row>
    <row r="13" spans="1:23" ht="15">
      <c r="A13" s="8"/>
      <c r="C13" s="4" t="s">
        <v>48</v>
      </c>
      <c r="D13" s="4" t="s">
        <v>4</v>
      </c>
      <c r="E13" s="3" t="s">
        <v>4</v>
      </c>
      <c r="F13" s="4" t="s">
        <v>16</v>
      </c>
      <c r="G13" s="4" t="s">
        <v>23</v>
      </c>
      <c r="H13" s="4" t="s">
        <v>36</v>
      </c>
      <c r="I13" s="4"/>
    </row>
    <row r="14" spans="1:23" s="2" customFormat="1" ht="15" hidden="1">
      <c r="A14" s="8"/>
      <c r="B14"/>
      <c r="C14" s="4" t="s">
        <v>49</v>
      </c>
      <c r="D14" s="4"/>
      <c r="E14" s="3"/>
      <c r="F14" s="4"/>
      <c r="G14" s="4"/>
      <c r="H14" s="4"/>
      <c r="I14" s="4"/>
      <c r="J14"/>
      <c r="K14" s="31"/>
    </row>
    <row r="15" spans="1:23" s="2" customFormat="1" ht="15">
      <c r="A15" s="8"/>
      <c r="B15"/>
      <c r="C15" s="4" t="s">
        <v>50</v>
      </c>
      <c r="D15" s="4" t="s">
        <v>4</v>
      </c>
      <c r="E15" s="4" t="s">
        <v>4</v>
      </c>
      <c r="F15" s="4" t="s">
        <v>15</v>
      </c>
      <c r="G15" s="4"/>
      <c r="H15" s="4"/>
      <c r="I15" s="4"/>
      <c r="J15"/>
      <c r="K15" s="31"/>
    </row>
    <row r="16" spans="1:23" s="2" customFormat="1" ht="15">
      <c r="A16" s="8"/>
      <c r="B16"/>
      <c r="C16" s="4" t="s">
        <v>51</v>
      </c>
      <c r="D16" s="4" t="s">
        <v>4</v>
      </c>
      <c r="E16" s="4" t="s">
        <v>4</v>
      </c>
      <c r="F16" s="4" t="s">
        <v>16</v>
      </c>
      <c r="G16" s="4" t="s">
        <v>23</v>
      </c>
      <c r="H16" s="4" t="s">
        <v>41</v>
      </c>
      <c r="I16" s="4"/>
      <c r="J16"/>
      <c r="K16" s="31"/>
    </row>
    <row r="17" spans="1:11" s="2" customFormat="1" ht="15" hidden="1">
      <c r="A17" s="8"/>
      <c r="B17"/>
      <c r="C17" s="4" t="s">
        <v>777</v>
      </c>
      <c r="D17" s="4"/>
      <c r="E17" s="4"/>
      <c r="F17" s="4"/>
      <c r="G17" s="4"/>
      <c r="H17" s="4"/>
      <c r="I17" s="4"/>
      <c r="J17"/>
      <c r="K17" s="31"/>
    </row>
    <row r="18" spans="1:11" s="2" customFormat="1" ht="15" hidden="1">
      <c r="A18" s="8"/>
      <c r="B18"/>
      <c r="C18" s="4" t="s">
        <v>778</v>
      </c>
      <c r="D18" s="4"/>
      <c r="E18" s="4"/>
      <c r="F18" s="4"/>
      <c r="G18" s="4"/>
      <c r="H18" s="4"/>
      <c r="I18" s="4"/>
      <c r="J18"/>
      <c r="K18" s="31"/>
    </row>
    <row r="19" spans="1:11" s="2" customFormat="1" ht="15" hidden="1">
      <c r="A19" s="8"/>
      <c r="B19"/>
      <c r="C19" s="4" t="s">
        <v>779</v>
      </c>
      <c r="D19" s="4"/>
      <c r="E19" s="4"/>
      <c r="F19" s="4"/>
      <c r="G19" s="4"/>
      <c r="H19" s="4"/>
      <c r="I19" s="4"/>
      <c r="J19"/>
      <c r="K19" s="31"/>
    </row>
    <row r="20" spans="1:11" s="2" customFormat="1" ht="15" hidden="1">
      <c r="A20" s="8"/>
      <c r="B20"/>
      <c r="C20" s="4" t="s">
        <v>780</v>
      </c>
      <c r="D20" s="4"/>
      <c r="E20" s="4"/>
      <c r="F20" s="4"/>
      <c r="G20" s="4"/>
      <c r="H20" s="4"/>
      <c r="I20" s="4"/>
      <c r="J20"/>
      <c r="K20" s="31"/>
    </row>
    <row r="21" spans="1:11" s="2" customFormat="1" ht="15" hidden="1">
      <c r="A21" s="8"/>
      <c r="B21"/>
      <c r="C21" s="4" t="s">
        <v>781</v>
      </c>
      <c r="D21" s="4"/>
      <c r="E21" s="4"/>
      <c r="F21" s="4"/>
      <c r="G21" s="4"/>
      <c r="H21" s="4"/>
      <c r="I21" s="4"/>
      <c r="J21"/>
      <c r="K21" s="31"/>
    </row>
    <row r="22" spans="1:11" s="2" customFormat="1" ht="15" hidden="1">
      <c r="A22" s="8"/>
      <c r="B22"/>
      <c r="C22" s="4" t="s">
        <v>782</v>
      </c>
      <c r="D22" s="4"/>
      <c r="E22" s="4"/>
      <c r="F22" s="4"/>
      <c r="G22" s="4"/>
      <c r="H22" s="4"/>
      <c r="I22" s="4"/>
      <c r="J22"/>
      <c r="K22" s="31"/>
    </row>
    <row r="23" spans="1:11" s="2" customFormat="1" ht="15" hidden="1">
      <c r="A23" s="8"/>
      <c r="B23"/>
      <c r="C23" s="4" t="s">
        <v>783</v>
      </c>
      <c r="D23" s="4"/>
      <c r="E23" s="4"/>
      <c r="F23" s="4"/>
      <c r="G23" s="4"/>
      <c r="H23" s="4"/>
      <c r="I23" s="4"/>
      <c r="J23"/>
      <c r="K23" s="31"/>
    </row>
    <row r="24" spans="1:11" s="2" customFormat="1" ht="15" hidden="1">
      <c r="A24" s="8"/>
      <c r="B24"/>
      <c r="C24" s="4" t="s">
        <v>784</v>
      </c>
      <c r="D24" s="4"/>
      <c r="E24" s="4"/>
      <c r="F24" s="4"/>
      <c r="G24" s="4"/>
      <c r="H24" s="4"/>
      <c r="I24" s="4"/>
      <c r="J24"/>
      <c r="K24" s="31"/>
    </row>
    <row r="25" spans="1:11" s="2" customFormat="1" ht="15" hidden="1">
      <c r="A25" s="8"/>
      <c r="B25"/>
      <c r="C25" s="4" t="s">
        <v>785</v>
      </c>
      <c r="D25" s="4"/>
      <c r="E25" s="4"/>
      <c r="F25" s="4"/>
      <c r="G25" s="4"/>
      <c r="H25" s="4"/>
      <c r="I25" s="4"/>
      <c r="J25"/>
      <c r="K25" s="31"/>
    </row>
    <row r="26" spans="1:11" s="2" customFormat="1" ht="15" hidden="1">
      <c r="A26" s="8"/>
      <c r="B26"/>
      <c r="C26" s="4" t="s">
        <v>786</v>
      </c>
      <c r="D26" s="4"/>
      <c r="E26" s="4"/>
      <c r="F26" s="4"/>
      <c r="G26" s="4"/>
      <c r="H26" s="4"/>
      <c r="I26" s="4"/>
      <c r="J26"/>
      <c r="K26" s="31"/>
    </row>
    <row r="27" spans="1:11" s="2" customFormat="1" ht="15" hidden="1">
      <c r="A27" s="8"/>
      <c r="B27"/>
      <c r="C27" s="4" t="s">
        <v>787</v>
      </c>
      <c r="D27" s="4"/>
      <c r="E27" s="4"/>
      <c r="F27" s="4"/>
      <c r="G27" s="4"/>
      <c r="H27" s="4"/>
      <c r="I27" s="4"/>
      <c r="J27"/>
      <c r="K27" s="31"/>
    </row>
    <row r="28" spans="1:11" s="2" customFormat="1" ht="15" hidden="1">
      <c r="A28" s="8"/>
      <c r="B28"/>
      <c r="C28" s="4" t="s">
        <v>52</v>
      </c>
      <c r="D28" s="4"/>
      <c r="E28" s="4"/>
      <c r="F28" s="4"/>
      <c r="G28" s="4"/>
      <c r="H28" s="4"/>
      <c r="I28" s="4"/>
      <c r="J28"/>
      <c r="K28" s="31"/>
    </row>
    <row r="29" spans="1:11" s="2" customFormat="1" ht="15" hidden="1">
      <c r="A29" s="8"/>
      <c r="B29"/>
      <c r="C29" s="4" t="s">
        <v>53</v>
      </c>
      <c r="D29" s="4"/>
      <c r="E29" s="4"/>
      <c r="F29" s="4"/>
      <c r="G29" s="4"/>
      <c r="H29" s="4"/>
      <c r="I29" s="4"/>
      <c r="J29"/>
      <c r="K29" s="31"/>
    </row>
    <row r="30" spans="1:11" s="2" customFormat="1" ht="15" hidden="1">
      <c r="A30" s="8"/>
      <c r="B30"/>
      <c r="C30" s="4" t="s">
        <v>788</v>
      </c>
      <c r="D30" s="4"/>
      <c r="E30" s="4"/>
      <c r="F30" s="4"/>
      <c r="G30" s="4"/>
      <c r="H30" s="4"/>
      <c r="I30" s="4"/>
      <c r="J30"/>
      <c r="K30" s="31"/>
    </row>
    <row r="31" spans="1:11" s="2" customFormat="1" ht="15" hidden="1">
      <c r="A31" s="8"/>
      <c r="B31"/>
      <c r="C31" s="4" t="s">
        <v>55</v>
      </c>
      <c r="D31" s="4"/>
      <c r="E31" s="4"/>
      <c r="F31" s="4"/>
      <c r="G31" s="4"/>
      <c r="H31" s="4"/>
      <c r="I31" s="4"/>
      <c r="J31"/>
      <c r="K31" s="31"/>
    </row>
    <row r="32" spans="1:11" s="2" customFormat="1" ht="15" hidden="1">
      <c r="A32" s="8"/>
      <c r="B32"/>
      <c r="C32" s="4" t="s">
        <v>56</v>
      </c>
      <c r="D32" s="4"/>
      <c r="E32" s="4"/>
      <c r="F32" s="4"/>
      <c r="G32" s="4"/>
      <c r="H32" s="4"/>
      <c r="I32" s="4"/>
      <c r="J32"/>
      <c r="K32" s="31"/>
    </row>
    <row r="33" spans="1:11" s="2" customFormat="1" ht="15" hidden="1">
      <c r="A33" s="8"/>
      <c r="B33"/>
      <c r="C33" s="4" t="s">
        <v>57</v>
      </c>
      <c r="D33" s="4"/>
      <c r="E33" s="4"/>
      <c r="F33" s="4"/>
      <c r="G33" s="4"/>
      <c r="H33" s="4"/>
      <c r="I33" s="4"/>
      <c r="J33"/>
      <c r="K33" s="31"/>
    </row>
    <row r="34" spans="1:11" s="2" customFormat="1" ht="15" hidden="1">
      <c r="A34" s="8"/>
      <c r="B34"/>
      <c r="C34" s="4" t="s">
        <v>58</v>
      </c>
      <c r="D34" s="4"/>
      <c r="E34" s="4"/>
      <c r="F34" s="4"/>
      <c r="G34" s="4"/>
      <c r="H34" s="4"/>
      <c r="I34" s="4"/>
      <c r="J34"/>
      <c r="K34" s="31"/>
    </row>
    <row r="35" spans="1:11" ht="15" hidden="1">
      <c r="A35" s="8"/>
      <c r="C35" s="4" t="s">
        <v>59</v>
      </c>
      <c r="D35" s="4"/>
      <c r="E35" s="4"/>
      <c r="F35" s="4"/>
      <c r="G35" s="4"/>
      <c r="H35" s="4"/>
      <c r="I35" s="4"/>
    </row>
    <row r="36" spans="1:11" ht="15" hidden="1">
      <c r="A36" s="8"/>
      <c r="C36" s="4" t="s">
        <v>60</v>
      </c>
      <c r="D36" s="4"/>
      <c r="E36" s="4"/>
      <c r="F36" s="4"/>
      <c r="G36" s="4"/>
      <c r="H36" s="4"/>
      <c r="I36" s="4"/>
    </row>
    <row r="37" spans="1:11" ht="15" hidden="1">
      <c r="A37" s="8"/>
      <c r="C37" s="4" t="s">
        <v>61</v>
      </c>
      <c r="D37" s="4"/>
      <c r="E37" s="4"/>
      <c r="F37" s="4"/>
      <c r="G37" s="4"/>
      <c r="H37" s="4"/>
      <c r="I37" s="4"/>
    </row>
    <row r="38" spans="1:11" s="2" customFormat="1" ht="15" hidden="1">
      <c r="A38" s="8"/>
      <c r="B38"/>
      <c r="C38" s="4" t="s">
        <v>62</v>
      </c>
      <c r="D38" s="4"/>
      <c r="E38" s="4"/>
      <c r="F38" s="4"/>
      <c r="G38" s="4"/>
      <c r="H38" s="4"/>
      <c r="I38" s="4"/>
      <c r="J38"/>
      <c r="K38" s="31"/>
    </row>
    <row r="39" spans="1:11" s="2" customFormat="1" ht="15" hidden="1">
      <c r="A39" s="8"/>
      <c r="B39"/>
      <c r="C39" s="4" t="s">
        <v>63</v>
      </c>
      <c r="D39" s="4"/>
      <c r="E39" s="4"/>
      <c r="F39" s="4"/>
      <c r="G39" s="4"/>
      <c r="H39" s="4"/>
      <c r="I39" s="4"/>
      <c r="J39"/>
      <c r="K39" s="31"/>
    </row>
    <row r="40" spans="1:11" s="2" customFormat="1" ht="15" hidden="1">
      <c r="A40" s="8"/>
      <c r="B40"/>
      <c r="C40" s="4" t="s">
        <v>64</v>
      </c>
      <c r="D40" s="4"/>
      <c r="E40" s="4"/>
      <c r="F40" s="4"/>
      <c r="G40" s="4"/>
      <c r="H40" s="4"/>
      <c r="I40" s="4"/>
      <c r="J40"/>
      <c r="K40" s="31"/>
    </row>
    <row r="41" spans="1:11" ht="15" hidden="1">
      <c r="A41" s="8"/>
      <c r="C41" s="4" t="s">
        <v>65</v>
      </c>
      <c r="D41" s="4"/>
      <c r="E41" s="4"/>
      <c r="F41" s="4"/>
      <c r="G41" s="4"/>
      <c r="H41" s="4"/>
      <c r="I41" s="4"/>
    </row>
    <row r="42" spans="1:11" s="2" customFormat="1" ht="15" hidden="1">
      <c r="A42" s="8"/>
      <c r="B42"/>
      <c r="C42" s="4" t="s">
        <v>66</v>
      </c>
      <c r="D42" s="4"/>
      <c r="E42" s="4"/>
      <c r="F42" s="4"/>
      <c r="G42" s="4"/>
      <c r="H42" s="4"/>
      <c r="I42" s="4"/>
      <c r="J42"/>
      <c r="K42" s="31"/>
    </row>
    <row r="43" spans="1:11" s="2" customFormat="1" ht="15" hidden="1">
      <c r="A43" s="8"/>
      <c r="B43"/>
      <c r="C43" s="4" t="s">
        <v>67</v>
      </c>
      <c r="D43" s="4"/>
      <c r="E43" s="4"/>
      <c r="F43" s="4"/>
      <c r="G43" s="4"/>
      <c r="H43" s="4"/>
      <c r="I43" s="4"/>
      <c r="J43"/>
      <c r="K43" s="31"/>
    </row>
    <row r="44" spans="1:11" s="2" customFormat="1" ht="15" hidden="1">
      <c r="A44" s="8"/>
      <c r="B44"/>
      <c r="C44" s="4" t="s">
        <v>68</v>
      </c>
      <c r="D44" s="4"/>
      <c r="E44" s="4"/>
      <c r="F44" s="4"/>
      <c r="G44" s="4"/>
      <c r="H44" s="4"/>
      <c r="I44" s="4"/>
      <c r="J44"/>
      <c r="K44" s="31"/>
    </row>
    <row r="45" spans="1:11" ht="15" hidden="1">
      <c r="A45" s="8"/>
      <c r="C45" s="4" t="s">
        <v>69</v>
      </c>
      <c r="D45" s="4"/>
      <c r="E45" s="4"/>
      <c r="F45" s="4"/>
      <c r="G45" s="4"/>
      <c r="H45" s="4"/>
      <c r="I45" s="4"/>
    </row>
    <row r="46" spans="1:11" ht="15" hidden="1">
      <c r="A46" s="8"/>
      <c r="C46" s="4" t="s">
        <v>70</v>
      </c>
      <c r="D46" s="4"/>
      <c r="E46" s="4"/>
      <c r="F46" s="4"/>
      <c r="G46" s="4"/>
      <c r="H46" s="4"/>
      <c r="I46" s="4"/>
    </row>
    <row r="47" spans="1:11" s="2" customFormat="1" ht="15" hidden="1">
      <c r="A47" s="8"/>
      <c r="B47"/>
      <c r="C47" s="4" t="s">
        <v>71</v>
      </c>
      <c r="D47" s="4"/>
      <c r="E47" s="4"/>
      <c r="F47" s="4"/>
      <c r="G47" s="4"/>
      <c r="H47" s="4"/>
      <c r="I47" s="4"/>
      <c r="J47"/>
      <c r="K47" s="31"/>
    </row>
    <row r="48" spans="1:11" s="2" customFormat="1" ht="15" hidden="1">
      <c r="A48" s="8"/>
      <c r="B48"/>
      <c r="C48" s="4" t="s">
        <v>72</v>
      </c>
      <c r="D48" s="4"/>
      <c r="E48" s="4"/>
      <c r="F48" s="4"/>
      <c r="G48" s="4"/>
      <c r="H48" s="4"/>
      <c r="I48" s="4"/>
      <c r="J48"/>
      <c r="K48" s="31"/>
    </row>
    <row r="49" spans="1:11" s="2" customFormat="1" ht="15" hidden="1">
      <c r="A49" s="8"/>
      <c r="B49"/>
      <c r="C49" s="4" t="s">
        <v>789</v>
      </c>
      <c r="D49" s="4"/>
      <c r="E49" s="4"/>
      <c r="F49" s="4"/>
      <c r="G49" s="4"/>
      <c r="H49" s="4"/>
      <c r="I49" s="4"/>
      <c r="J49"/>
      <c r="K49" s="31"/>
    </row>
    <row r="50" spans="1:11" s="2" customFormat="1" ht="15" hidden="1">
      <c r="A50" s="8"/>
      <c r="B50"/>
      <c r="C50" s="4" t="s">
        <v>790</v>
      </c>
      <c r="D50" s="4"/>
      <c r="E50" s="4"/>
      <c r="F50" s="4"/>
      <c r="G50" s="4"/>
      <c r="H50" s="4"/>
      <c r="I50" s="4"/>
      <c r="J50"/>
      <c r="K50" s="31"/>
    </row>
    <row r="51" spans="1:11" s="2" customFormat="1" ht="15" hidden="1">
      <c r="A51" s="8"/>
      <c r="B51"/>
      <c r="C51" s="4" t="s">
        <v>791</v>
      </c>
      <c r="D51" s="4"/>
      <c r="E51" s="4"/>
      <c r="F51" s="4"/>
      <c r="G51" s="4"/>
      <c r="H51" s="4"/>
      <c r="I51" s="4"/>
      <c r="J51"/>
      <c r="K51" s="31"/>
    </row>
    <row r="52" spans="1:11" s="2" customFormat="1" ht="15" hidden="1">
      <c r="A52" s="8"/>
      <c r="B52"/>
      <c r="C52" s="4" t="s">
        <v>792</v>
      </c>
      <c r="D52" s="4"/>
      <c r="E52" s="30"/>
      <c r="F52" s="4"/>
      <c r="G52" s="4"/>
      <c r="H52" s="4"/>
      <c r="I52" s="4"/>
      <c r="J52"/>
      <c r="K52" s="31"/>
    </row>
    <row r="53" spans="1:11" ht="15" hidden="1">
      <c r="A53" s="8"/>
      <c r="C53" s="4" t="s">
        <v>793</v>
      </c>
      <c r="D53" s="4"/>
      <c r="E53" s="3"/>
      <c r="F53" s="4"/>
      <c r="G53" s="4"/>
      <c r="H53" s="4"/>
      <c r="I53" s="4"/>
    </row>
    <row r="54" spans="1:11" ht="15" hidden="1">
      <c r="A54" s="8"/>
      <c r="C54" s="4" t="s">
        <v>794</v>
      </c>
      <c r="D54" s="4"/>
      <c r="E54" s="4"/>
      <c r="F54" s="4"/>
      <c r="G54" s="4"/>
      <c r="H54" s="4"/>
      <c r="I54" s="4"/>
    </row>
    <row r="55" spans="1:11" ht="15" hidden="1">
      <c r="A55" s="8"/>
      <c r="C55" s="4" t="s">
        <v>795</v>
      </c>
      <c r="D55" s="4"/>
      <c r="E55" s="4"/>
      <c r="F55" s="4"/>
      <c r="G55" s="4"/>
      <c r="H55" s="4"/>
      <c r="I55" s="4"/>
    </row>
    <row r="56" spans="1:11" ht="15" hidden="1">
      <c r="A56" s="8"/>
      <c r="C56" s="4" t="s">
        <v>796</v>
      </c>
      <c r="D56" s="4"/>
      <c r="E56" s="4"/>
      <c r="F56" s="4"/>
      <c r="G56" s="4"/>
      <c r="H56" s="4"/>
      <c r="I56" s="4"/>
    </row>
    <row r="57" spans="1:11" ht="15" hidden="1">
      <c r="A57" s="8"/>
      <c r="C57" s="4" t="s">
        <v>797</v>
      </c>
      <c r="D57" s="4"/>
      <c r="E57" s="4"/>
      <c r="F57" s="4"/>
      <c r="G57" s="4"/>
      <c r="H57" s="4"/>
      <c r="I57" s="4"/>
    </row>
    <row r="58" spans="1:11" ht="15" hidden="1">
      <c r="A58" s="8"/>
      <c r="C58" s="4" t="s">
        <v>798</v>
      </c>
      <c r="D58" s="4"/>
      <c r="E58" s="4"/>
      <c r="F58" s="4"/>
      <c r="G58" s="4"/>
      <c r="H58" s="4"/>
      <c r="I58" s="4"/>
    </row>
    <row r="59" spans="1:11" ht="15" hidden="1">
      <c r="A59" s="8"/>
      <c r="C59" s="4" t="s">
        <v>799</v>
      </c>
      <c r="D59" s="4"/>
      <c r="E59" s="4"/>
      <c r="F59" s="4"/>
      <c r="G59" s="4"/>
      <c r="H59" s="4"/>
      <c r="I59" s="4"/>
    </row>
    <row r="60" spans="1:11" s="2" customFormat="1" ht="15" hidden="1">
      <c r="A60" s="8"/>
      <c r="B60"/>
      <c r="C60" s="4" t="s">
        <v>800</v>
      </c>
      <c r="D60" s="4"/>
      <c r="E60" s="4"/>
      <c r="F60" s="4"/>
      <c r="G60" s="4"/>
      <c r="H60" s="4"/>
      <c r="I60" s="4"/>
      <c r="J60"/>
      <c r="K60" s="31"/>
    </row>
    <row r="61" spans="1:11" s="2" customFormat="1" ht="15" hidden="1">
      <c r="A61" s="8"/>
      <c r="B61"/>
      <c r="C61" s="4" t="s">
        <v>801</v>
      </c>
      <c r="D61" s="4"/>
      <c r="E61" s="4"/>
      <c r="F61" s="4"/>
      <c r="G61" s="4"/>
      <c r="H61" s="4"/>
      <c r="I61" s="4"/>
      <c r="J61"/>
      <c r="K61" s="31"/>
    </row>
    <row r="62" spans="1:11" s="2" customFormat="1" ht="15" hidden="1">
      <c r="A62" s="8"/>
      <c r="B62"/>
      <c r="C62" s="4" t="s">
        <v>802</v>
      </c>
      <c r="D62" s="4"/>
      <c r="E62" s="4"/>
      <c r="F62" s="4"/>
      <c r="G62" s="4"/>
      <c r="H62" s="4"/>
      <c r="I62" s="4"/>
      <c r="J62"/>
      <c r="K62" s="31"/>
    </row>
    <row r="63" spans="1:11" s="2" customFormat="1" ht="15" hidden="1">
      <c r="A63" s="8"/>
      <c r="B63"/>
      <c r="C63" s="4" t="s">
        <v>803</v>
      </c>
      <c r="D63" s="4"/>
      <c r="E63" s="4"/>
      <c r="F63" s="4"/>
      <c r="G63" s="4"/>
      <c r="H63" s="4"/>
      <c r="I63" s="4"/>
      <c r="J63"/>
      <c r="K63" s="31"/>
    </row>
    <row r="64" spans="1:11" s="2" customFormat="1" ht="15" hidden="1">
      <c r="A64" s="8"/>
      <c r="B64"/>
      <c r="C64" s="4" t="s">
        <v>804</v>
      </c>
      <c r="D64" s="4"/>
      <c r="E64" s="4"/>
      <c r="F64" s="4"/>
      <c r="G64" s="4"/>
      <c r="H64" s="4"/>
      <c r="I64" s="4"/>
      <c r="J64"/>
      <c r="K64" s="31"/>
    </row>
    <row r="65" spans="1:11" s="2" customFormat="1" ht="15" hidden="1">
      <c r="A65" s="8"/>
      <c r="B65"/>
      <c r="C65" s="4" t="s">
        <v>805</v>
      </c>
      <c r="D65" s="4"/>
      <c r="E65" s="4"/>
      <c r="F65" s="4"/>
      <c r="G65" s="4"/>
      <c r="H65" s="4"/>
      <c r="I65" s="4"/>
      <c r="J65"/>
      <c r="K65" s="31"/>
    </row>
    <row r="66" spans="1:11" s="2" customFormat="1" ht="15" hidden="1">
      <c r="A66" s="8"/>
      <c r="B66"/>
      <c r="C66" s="4" t="s">
        <v>806</v>
      </c>
      <c r="D66" s="4"/>
      <c r="E66" s="4"/>
      <c r="F66" s="4"/>
      <c r="G66" s="4"/>
      <c r="H66" s="4"/>
      <c r="I66" s="4"/>
      <c r="J66"/>
      <c r="K66" s="31"/>
    </row>
    <row r="67" spans="1:11" s="2" customFormat="1" ht="15" hidden="1">
      <c r="A67" s="8"/>
      <c r="B67"/>
      <c r="C67" s="4" t="s">
        <v>807</v>
      </c>
      <c r="D67" s="4"/>
      <c r="E67" s="4"/>
      <c r="F67" s="4"/>
      <c r="G67" s="4"/>
      <c r="H67" s="4"/>
      <c r="I67" s="4"/>
      <c r="J67"/>
      <c r="K67" s="31"/>
    </row>
    <row r="68" spans="1:11" s="2" customFormat="1" ht="15" hidden="1">
      <c r="A68" s="8"/>
      <c r="B68"/>
      <c r="C68" s="4" t="s">
        <v>808</v>
      </c>
      <c r="D68" s="4"/>
      <c r="E68" s="4"/>
      <c r="F68" s="4"/>
      <c r="G68" s="4"/>
      <c r="H68" s="4"/>
      <c r="I68" s="4"/>
      <c r="J68"/>
      <c r="K68" s="31"/>
    </row>
    <row r="69" spans="1:11" s="2" customFormat="1" ht="15" hidden="1">
      <c r="A69" s="8"/>
      <c r="B69"/>
      <c r="C69" s="4" t="s">
        <v>809</v>
      </c>
      <c r="D69" s="4"/>
      <c r="E69" s="4"/>
      <c r="F69" s="4"/>
      <c r="G69" s="4"/>
      <c r="H69" s="4"/>
      <c r="I69" s="4"/>
      <c r="J69"/>
      <c r="K69" s="31"/>
    </row>
    <row r="70" spans="1:11" s="2" customFormat="1" ht="15" hidden="1">
      <c r="A70" s="8"/>
      <c r="B70"/>
      <c r="C70" s="4" t="s">
        <v>810</v>
      </c>
      <c r="D70" s="4"/>
      <c r="E70" s="4"/>
      <c r="F70" s="4"/>
      <c r="G70" s="4"/>
      <c r="H70" s="4"/>
      <c r="I70" s="4"/>
      <c r="J70"/>
      <c r="K70" s="31"/>
    </row>
    <row r="71" spans="1:11" s="2" customFormat="1" ht="15" hidden="1">
      <c r="A71" s="8"/>
      <c r="B71"/>
      <c r="C71" s="4" t="s">
        <v>811</v>
      </c>
      <c r="D71" s="4"/>
      <c r="E71" s="4"/>
      <c r="F71" s="4"/>
      <c r="G71" s="4"/>
      <c r="H71" s="4"/>
      <c r="I71" s="4"/>
      <c r="J71"/>
      <c r="K71" s="31"/>
    </row>
    <row r="72" spans="1:11" s="2" customFormat="1" ht="15" hidden="1">
      <c r="A72" s="8"/>
      <c r="B72"/>
      <c r="C72" s="4" t="s">
        <v>812</v>
      </c>
      <c r="D72" s="4"/>
      <c r="E72" s="4"/>
      <c r="F72" s="4"/>
      <c r="G72" s="4"/>
      <c r="H72" s="4"/>
      <c r="I72" s="4"/>
      <c r="J72"/>
      <c r="K72" s="31"/>
    </row>
    <row r="73" spans="1:11" s="2" customFormat="1" ht="15" hidden="1">
      <c r="A73" s="8"/>
      <c r="B73"/>
      <c r="C73" s="4" t="s">
        <v>813</v>
      </c>
      <c r="D73" s="4"/>
      <c r="E73" s="4"/>
      <c r="F73" s="4"/>
      <c r="G73" s="4"/>
      <c r="H73" s="4"/>
      <c r="I73" s="4"/>
      <c r="J73"/>
      <c r="K73" s="31"/>
    </row>
    <row r="74" spans="1:11" s="2" customFormat="1" ht="15" hidden="1">
      <c r="A74" s="8"/>
      <c r="B74"/>
      <c r="C74" s="4" t="s">
        <v>814</v>
      </c>
      <c r="D74" s="4"/>
      <c r="E74" s="4"/>
      <c r="F74" s="4"/>
      <c r="G74" s="4"/>
      <c r="H74" s="4"/>
      <c r="I74" s="4"/>
      <c r="J74"/>
      <c r="K74" s="31"/>
    </row>
    <row r="75" spans="1:11" s="2" customFormat="1" ht="15" hidden="1">
      <c r="A75" s="8"/>
      <c r="B75"/>
      <c r="C75" s="4" t="s">
        <v>815</v>
      </c>
      <c r="D75" s="4"/>
      <c r="E75" s="4"/>
      <c r="F75" s="4"/>
      <c r="G75" s="4"/>
      <c r="H75" s="4"/>
      <c r="I75" s="4"/>
      <c r="J75"/>
      <c r="K75" s="31"/>
    </row>
    <row r="76" spans="1:11" s="2" customFormat="1" ht="15" hidden="1">
      <c r="A76" s="8"/>
      <c r="B76"/>
      <c r="C76" s="4" t="s">
        <v>816</v>
      </c>
      <c r="D76" s="4"/>
      <c r="E76" s="4"/>
      <c r="F76" s="4"/>
      <c r="G76" s="4"/>
      <c r="H76" s="4"/>
      <c r="I76" s="4"/>
      <c r="J76"/>
      <c r="K76" s="31"/>
    </row>
    <row r="77" spans="1:11" s="2" customFormat="1" ht="15" hidden="1">
      <c r="A77" s="8"/>
      <c r="B77"/>
      <c r="C77" s="4" t="s">
        <v>817</v>
      </c>
      <c r="D77" s="4"/>
      <c r="E77" s="4"/>
      <c r="F77" s="4"/>
      <c r="G77" s="4"/>
      <c r="H77" s="4"/>
      <c r="I77" s="4"/>
      <c r="J77"/>
      <c r="K77" s="31"/>
    </row>
    <row r="78" spans="1:11" s="2" customFormat="1" ht="15" hidden="1">
      <c r="A78" s="8"/>
      <c r="B78"/>
      <c r="C78" s="4" t="s">
        <v>818</v>
      </c>
      <c r="D78" s="4"/>
      <c r="E78" s="4"/>
      <c r="F78" s="4"/>
      <c r="G78" s="4"/>
      <c r="H78" s="4"/>
      <c r="I78" s="4"/>
      <c r="J78"/>
      <c r="K78" s="31"/>
    </row>
    <row r="79" spans="1:11" s="2" customFormat="1" ht="15" hidden="1">
      <c r="A79" s="8"/>
      <c r="B79"/>
      <c r="C79" s="4" t="s">
        <v>819</v>
      </c>
      <c r="D79" s="4"/>
      <c r="E79" s="4"/>
      <c r="F79" s="4"/>
      <c r="G79" s="4"/>
      <c r="H79" s="4"/>
      <c r="I79" s="4"/>
      <c r="J79"/>
      <c r="K79" s="31"/>
    </row>
    <row r="80" spans="1:11" s="2" customFormat="1" ht="15" hidden="1">
      <c r="A80" s="8"/>
      <c r="B80"/>
      <c r="C80" s="4" t="s">
        <v>820</v>
      </c>
      <c r="D80" s="4"/>
      <c r="E80" s="4"/>
      <c r="F80" s="4"/>
      <c r="G80" s="4"/>
      <c r="H80" s="4"/>
      <c r="I80" s="4"/>
      <c r="J80"/>
      <c r="K80" s="31"/>
    </row>
    <row r="81" spans="1:11" ht="15" hidden="1">
      <c r="A81" s="8"/>
      <c r="C81" s="4" t="s">
        <v>821</v>
      </c>
      <c r="D81" s="4"/>
      <c r="E81" s="4"/>
      <c r="F81" s="4"/>
      <c r="G81" s="4"/>
      <c r="H81" s="4"/>
      <c r="I81" s="4"/>
    </row>
    <row r="82" spans="1:11" ht="15" hidden="1">
      <c r="A82" s="8"/>
      <c r="C82" s="4" t="s">
        <v>822</v>
      </c>
      <c r="D82" s="4"/>
      <c r="E82" s="4"/>
      <c r="F82" s="4"/>
      <c r="G82" s="4"/>
      <c r="H82" s="4"/>
      <c r="I82" s="4"/>
    </row>
    <row r="83" spans="1:11" ht="15" hidden="1">
      <c r="A83" s="8"/>
      <c r="C83" s="4" t="s">
        <v>823</v>
      </c>
      <c r="D83" s="4"/>
      <c r="E83" s="4"/>
      <c r="F83" s="4"/>
      <c r="G83" s="4"/>
      <c r="H83" s="4"/>
      <c r="I83" s="4"/>
    </row>
    <row r="84" spans="1:11" s="2" customFormat="1" ht="15" hidden="1">
      <c r="A84" s="8"/>
      <c r="B84"/>
      <c r="C84" s="4" t="s">
        <v>824</v>
      </c>
      <c r="D84" s="4"/>
      <c r="E84" s="4"/>
      <c r="F84" s="4"/>
      <c r="G84" s="4"/>
      <c r="H84" s="4"/>
      <c r="I84" s="4"/>
      <c r="J84"/>
      <c r="K84" s="31"/>
    </row>
    <row r="85" spans="1:11" ht="15" hidden="1">
      <c r="A85" s="8"/>
      <c r="C85" s="4" t="s">
        <v>825</v>
      </c>
      <c r="D85" s="4"/>
      <c r="E85" s="4"/>
      <c r="F85" s="4"/>
      <c r="G85" s="4"/>
      <c r="H85" s="4"/>
      <c r="I85" s="4"/>
    </row>
    <row r="86" spans="1:11" ht="15" hidden="1">
      <c r="A86" s="8"/>
      <c r="C86" s="4" t="s">
        <v>826</v>
      </c>
      <c r="D86" s="4"/>
      <c r="E86" s="4"/>
      <c r="F86" s="4"/>
      <c r="G86" s="4"/>
      <c r="H86" s="4"/>
      <c r="I86" s="4"/>
    </row>
    <row r="87" spans="1:11" ht="15" hidden="1">
      <c r="A87" s="8"/>
      <c r="C87" s="4" t="s">
        <v>827</v>
      </c>
      <c r="D87" s="4"/>
      <c r="E87" s="4"/>
      <c r="F87" s="4"/>
      <c r="G87" s="4"/>
      <c r="H87" s="4"/>
      <c r="I87" s="4"/>
    </row>
    <row r="88" spans="1:11" s="2" customFormat="1" ht="15" hidden="1">
      <c r="A88" s="8"/>
      <c r="B88"/>
      <c r="C88" s="4" t="s">
        <v>828</v>
      </c>
      <c r="D88" s="4"/>
      <c r="E88" s="4"/>
      <c r="F88" s="4"/>
      <c r="G88" s="4"/>
      <c r="H88" s="4"/>
      <c r="I88" s="4"/>
      <c r="J88"/>
      <c r="K88" s="31"/>
    </row>
    <row r="89" spans="1:11" s="2" customFormat="1" ht="15" hidden="1">
      <c r="A89" s="8"/>
      <c r="B89"/>
      <c r="C89" s="4" t="s">
        <v>829</v>
      </c>
      <c r="D89" s="4"/>
      <c r="E89" s="4"/>
      <c r="F89" s="4"/>
      <c r="G89" s="4"/>
      <c r="H89" s="4"/>
      <c r="I89" s="4"/>
      <c r="J89"/>
      <c r="K89" s="31"/>
    </row>
    <row r="90" spans="1:11" s="2" customFormat="1" ht="15" hidden="1">
      <c r="A90" s="8"/>
      <c r="B90"/>
      <c r="C90" s="4" t="s">
        <v>830</v>
      </c>
      <c r="D90" s="4"/>
      <c r="E90" s="4"/>
      <c r="F90" s="4"/>
      <c r="G90" s="4"/>
      <c r="H90" s="4"/>
      <c r="I90" s="4"/>
      <c r="J90"/>
      <c r="K90" s="31"/>
    </row>
    <row r="91" spans="1:11" s="2" customFormat="1" ht="15" hidden="1">
      <c r="A91" s="8"/>
      <c r="B91"/>
      <c r="C91" s="4" t="s">
        <v>831</v>
      </c>
      <c r="D91" s="4"/>
      <c r="E91" s="4"/>
      <c r="F91" s="4"/>
      <c r="G91" s="4"/>
      <c r="H91" s="4"/>
      <c r="I91" s="4"/>
      <c r="J91"/>
      <c r="K91" s="31"/>
    </row>
    <row r="92" spans="1:11" s="2" customFormat="1" ht="15" hidden="1">
      <c r="A92" s="8"/>
      <c r="B92"/>
      <c r="C92" s="4" t="s">
        <v>832</v>
      </c>
      <c r="D92" s="4"/>
      <c r="E92" s="4"/>
      <c r="F92" s="4"/>
      <c r="G92" s="4"/>
      <c r="H92" s="4"/>
      <c r="I92" s="4"/>
      <c r="J92"/>
      <c r="K92" s="31"/>
    </row>
    <row r="93" spans="1:11" s="2" customFormat="1" ht="15" hidden="1">
      <c r="A93" s="8"/>
      <c r="B93"/>
      <c r="C93" s="4" t="s">
        <v>833</v>
      </c>
      <c r="D93" s="4"/>
      <c r="E93" s="4"/>
      <c r="F93" s="4"/>
      <c r="G93" s="4"/>
      <c r="H93" s="4"/>
      <c r="I93" s="4"/>
      <c r="J93"/>
      <c r="K93" s="31"/>
    </row>
    <row r="94" spans="1:11" s="2" customFormat="1" ht="15" hidden="1">
      <c r="A94" s="8"/>
      <c r="B94"/>
      <c r="C94" s="4" t="s">
        <v>834</v>
      </c>
      <c r="D94" s="4"/>
      <c r="E94" s="4"/>
      <c r="F94" s="4"/>
      <c r="G94" s="4"/>
      <c r="H94" s="4"/>
      <c r="I94" s="4"/>
      <c r="J94"/>
      <c r="K94" s="31"/>
    </row>
    <row r="95" spans="1:11" s="2" customFormat="1" ht="15" hidden="1">
      <c r="A95" s="8"/>
      <c r="B95"/>
      <c r="C95" s="4" t="s">
        <v>835</v>
      </c>
      <c r="D95" s="4"/>
      <c r="E95" s="4"/>
      <c r="F95" s="4"/>
      <c r="G95" s="4"/>
      <c r="H95" s="4"/>
      <c r="I95" s="4"/>
      <c r="J95"/>
      <c r="K95" s="31"/>
    </row>
    <row r="96" spans="1:11" s="2" customFormat="1" ht="15" hidden="1">
      <c r="A96" s="8"/>
      <c r="B96"/>
      <c r="C96" s="4" t="s">
        <v>836</v>
      </c>
      <c r="D96" s="4"/>
      <c r="E96" s="4"/>
      <c r="F96" s="4"/>
      <c r="G96" s="4"/>
      <c r="H96" s="4"/>
      <c r="I96" s="4"/>
      <c r="J96"/>
      <c r="K96" s="31"/>
    </row>
    <row r="97" spans="1:11" s="2" customFormat="1" ht="15" hidden="1">
      <c r="A97" s="8"/>
      <c r="B97"/>
      <c r="C97" s="4" t="s">
        <v>837</v>
      </c>
      <c r="D97" s="4"/>
      <c r="E97" s="4"/>
      <c r="F97" s="4"/>
      <c r="G97" s="4"/>
      <c r="H97" s="4"/>
      <c r="I97" s="4"/>
      <c r="J97"/>
      <c r="K97" s="31"/>
    </row>
    <row r="98" spans="1:11" s="2" customFormat="1" ht="15">
      <c r="A98" s="8"/>
      <c r="B98"/>
      <c r="C98" s="4" t="s">
        <v>73</v>
      </c>
      <c r="D98" s="4" t="s">
        <v>4</v>
      </c>
      <c r="E98" s="4" t="s">
        <v>4</v>
      </c>
      <c r="F98" s="4" t="s">
        <v>15</v>
      </c>
      <c r="G98" s="4"/>
      <c r="H98" s="4"/>
      <c r="I98" s="4"/>
      <c r="J98"/>
      <c r="K98" s="31"/>
    </row>
    <row r="99" spans="1:11" s="2" customFormat="1" ht="15">
      <c r="A99" s="8"/>
      <c r="B99"/>
      <c r="C99" s="4" t="s">
        <v>74</v>
      </c>
      <c r="D99" s="4" t="s">
        <v>4</v>
      </c>
      <c r="E99" s="4" t="s">
        <v>4</v>
      </c>
      <c r="F99" s="4" t="s">
        <v>16</v>
      </c>
      <c r="G99" s="4" t="s">
        <v>23</v>
      </c>
      <c r="H99" s="4" t="s">
        <v>40</v>
      </c>
      <c r="I99" s="4"/>
      <c r="J99"/>
      <c r="K99" s="31"/>
    </row>
    <row r="100" spans="1:11" s="2" customFormat="1" ht="15">
      <c r="A100" s="8"/>
      <c r="B100"/>
      <c r="C100" s="4" t="s">
        <v>75</v>
      </c>
      <c r="D100" s="4" t="s">
        <v>4</v>
      </c>
      <c r="E100" s="4" t="s">
        <v>4</v>
      </c>
      <c r="F100" s="4" t="s">
        <v>17</v>
      </c>
      <c r="G100" s="4" t="s">
        <v>2</v>
      </c>
      <c r="H100" s="4"/>
      <c r="I100" s="4"/>
      <c r="J100"/>
      <c r="K100" s="31"/>
    </row>
    <row r="101" spans="1:11" s="2" customFormat="1" ht="15">
      <c r="A101" s="8"/>
      <c r="B101"/>
      <c r="C101" s="4" t="s">
        <v>76</v>
      </c>
      <c r="D101" s="4" t="s">
        <v>4</v>
      </c>
      <c r="E101" s="4" t="s">
        <v>4</v>
      </c>
      <c r="F101" s="4" t="s">
        <v>17</v>
      </c>
      <c r="G101" s="105" t="s">
        <v>1610</v>
      </c>
      <c r="H101" s="4"/>
      <c r="I101" s="4"/>
      <c r="J101"/>
      <c r="K101" s="31"/>
    </row>
    <row r="102" spans="1:11" s="2" customFormat="1" ht="15" hidden="1">
      <c r="A102" s="8"/>
      <c r="B102"/>
      <c r="C102" s="4" t="s">
        <v>77</v>
      </c>
      <c r="D102" s="4"/>
      <c r="E102" s="4"/>
      <c r="F102" s="4"/>
      <c r="G102" s="4"/>
      <c r="H102" s="4"/>
      <c r="I102" s="4"/>
      <c r="J102"/>
      <c r="K102" s="31"/>
    </row>
    <row r="103" spans="1:11" s="2" customFormat="1" ht="15" hidden="1">
      <c r="A103" s="8"/>
      <c r="B103"/>
      <c r="C103" s="4" t="s">
        <v>78</v>
      </c>
      <c r="D103" s="4"/>
      <c r="E103" s="4"/>
      <c r="F103" s="4"/>
      <c r="G103" s="4"/>
      <c r="H103" s="4"/>
      <c r="I103" s="4"/>
      <c r="J103"/>
      <c r="K103" s="31"/>
    </row>
    <row r="104" spans="1:11" s="2" customFormat="1" ht="15">
      <c r="A104" s="8"/>
      <c r="B104"/>
      <c r="C104" s="4" t="s">
        <v>79</v>
      </c>
      <c r="D104" s="4" t="s">
        <v>4</v>
      </c>
      <c r="E104" s="4" t="s">
        <v>4</v>
      </c>
      <c r="F104" s="4" t="s">
        <v>15</v>
      </c>
      <c r="G104" s="4"/>
      <c r="H104" s="4"/>
      <c r="I104" s="4"/>
      <c r="J104"/>
      <c r="K104" s="31"/>
    </row>
    <row r="105" spans="1:11" s="2" customFormat="1" ht="15" hidden="1">
      <c r="A105" s="8"/>
      <c r="B105"/>
      <c r="C105" s="4" t="s">
        <v>80</v>
      </c>
      <c r="D105" s="4"/>
      <c r="E105" s="4"/>
      <c r="F105" s="4"/>
      <c r="G105" s="4"/>
      <c r="H105" s="4"/>
      <c r="I105" s="4"/>
      <c r="J105"/>
      <c r="K105" s="31"/>
    </row>
    <row r="106" spans="1:11" s="2" customFormat="1" ht="15">
      <c r="A106" s="8"/>
      <c r="B106"/>
      <c r="C106" s="4" t="s">
        <v>81</v>
      </c>
      <c r="D106" s="4" t="s">
        <v>4</v>
      </c>
      <c r="E106" s="4" t="s">
        <v>4</v>
      </c>
      <c r="F106" s="4" t="s">
        <v>15</v>
      </c>
      <c r="G106" s="4"/>
      <c r="H106" s="4"/>
      <c r="I106" s="4"/>
      <c r="J106"/>
      <c r="K106" s="31"/>
    </row>
    <row r="107" spans="1:11" s="2" customFormat="1" ht="15">
      <c r="A107" s="8"/>
      <c r="B107"/>
      <c r="C107" s="4" t="s">
        <v>82</v>
      </c>
      <c r="D107" s="4" t="s">
        <v>4</v>
      </c>
      <c r="E107" s="4" t="s">
        <v>4</v>
      </c>
      <c r="F107" s="4" t="s">
        <v>17</v>
      </c>
      <c r="G107" s="4" t="s">
        <v>0</v>
      </c>
      <c r="H107" s="4"/>
      <c r="I107" s="4"/>
      <c r="J107"/>
      <c r="K107" s="31"/>
    </row>
    <row r="108" spans="1:11" s="2" customFormat="1" ht="15" hidden="1">
      <c r="A108" s="8"/>
      <c r="B108"/>
      <c r="C108" s="4" t="s">
        <v>838</v>
      </c>
      <c r="D108" s="4"/>
      <c r="E108" s="4"/>
      <c r="F108" s="4"/>
      <c r="G108" s="4"/>
      <c r="H108" s="4"/>
      <c r="I108" s="4"/>
      <c r="J108"/>
      <c r="K108" s="31"/>
    </row>
    <row r="109" spans="1:11" s="2" customFormat="1" ht="15" hidden="1">
      <c r="A109" s="8"/>
      <c r="B109"/>
      <c r="C109" s="4" t="s">
        <v>83</v>
      </c>
      <c r="D109" s="4"/>
      <c r="E109" s="4"/>
      <c r="F109" s="4"/>
      <c r="G109" s="4"/>
      <c r="H109" s="4"/>
      <c r="I109" s="4"/>
      <c r="J109"/>
      <c r="K109" s="31"/>
    </row>
    <row r="110" spans="1:11" s="2" customFormat="1" ht="15" hidden="1">
      <c r="A110" s="8"/>
      <c r="B110"/>
      <c r="C110" s="4" t="s">
        <v>84</v>
      </c>
      <c r="D110" s="4"/>
      <c r="E110" s="4"/>
      <c r="F110" s="4"/>
      <c r="G110" s="4"/>
      <c r="H110" s="4"/>
      <c r="I110" s="4"/>
      <c r="J110"/>
      <c r="K110" s="31"/>
    </row>
    <row r="111" spans="1:11" ht="15" hidden="1">
      <c r="A111" s="8"/>
      <c r="C111" s="4" t="s">
        <v>85</v>
      </c>
      <c r="D111" s="4"/>
      <c r="E111" s="4"/>
      <c r="F111" s="4"/>
      <c r="G111" s="4"/>
      <c r="H111" s="4"/>
      <c r="I111" s="4"/>
    </row>
    <row r="112" spans="1:11" ht="15" hidden="1">
      <c r="A112" s="8"/>
      <c r="C112" s="4" t="s">
        <v>86</v>
      </c>
      <c r="D112" s="4"/>
      <c r="E112" s="4"/>
      <c r="F112" s="4"/>
      <c r="G112" s="4"/>
      <c r="H112" s="4"/>
      <c r="I112" s="4"/>
    </row>
    <row r="113" spans="1:11" ht="15" hidden="1">
      <c r="A113" s="8"/>
      <c r="C113" s="4" t="s">
        <v>87</v>
      </c>
      <c r="D113" s="4"/>
      <c r="E113" s="4"/>
      <c r="F113" s="4"/>
      <c r="G113" s="4"/>
      <c r="H113" s="4"/>
      <c r="I113" s="4"/>
    </row>
    <row r="114" spans="1:11" s="2" customFormat="1" ht="15" hidden="1">
      <c r="A114" s="8"/>
      <c r="B114"/>
      <c r="C114" s="4" t="s">
        <v>88</v>
      </c>
      <c r="D114" s="4"/>
      <c r="E114" s="4"/>
      <c r="F114" s="4"/>
      <c r="G114" s="4"/>
      <c r="H114" s="4"/>
      <c r="I114" s="4"/>
      <c r="J114"/>
      <c r="K114" s="31"/>
    </row>
    <row r="115" spans="1:11" ht="15">
      <c r="A115" s="8"/>
      <c r="C115" s="4" t="s">
        <v>89</v>
      </c>
      <c r="D115" s="4" t="s">
        <v>4</v>
      </c>
      <c r="E115" s="4" t="s">
        <v>4</v>
      </c>
      <c r="F115" s="4" t="s">
        <v>19</v>
      </c>
      <c r="G115" s="4" t="s">
        <v>24</v>
      </c>
      <c r="H115" s="4" t="s">
        <v>1549</v>
      </c>
      <c r="I115" s="4"/>
    </row>
    <row r="116" spans="1:11" s="2" customFormat="1" ht="15" hidden="1">
      <c r="A116" s="8"/>
      <c r="B116"/>
      <c r="C116" s="4" t="s">
        <v>839</v>
      </c>
      <c r="D116" s="4"/>
      <c r="E116" s="4"/>
      <c r="F116" s="4"/>
      <c r="G116" s="4"/>
      <c r="H116" s="4"/>
      <c r="I116" s="4"/>
      <c r="J116"/>
      <c r="K116" s="31"/>
    </row>
    <row r="117" spans="1:11" s="2" customFormat="1" ht="15">
      <c r="A117" s="8"/>
      <c r="B117"/>
      <c r="C117" s="4" t="s">
        <v>90</v>
      </c>
      <c r="D117" s="4" t="s">
        <v>4</v>
      </c>
      <c r="E117" s="4" t="s">
        <v>4</v>
      </c>
      <c r="F117" s="4" t="s">
        <v>15</v>
      </c>
      <c r="G117" s="4"/>
      <c r="H117" s="4"/>
      <c r="I117" s="4"/>
      <c r="J117"/>
      <c r="K117" s="31"/>
    </row>
    <row r="118" spans="1:11" s="2" customFormat="1" ht="15">
      <c r="A118" s="8"/>
      <c r="B118"/>
      <c r="C118" s="4" t="s">
        <v>91</v>
      </c>
      <c r="D118" s="4" t="s">
        <v>4</v>
      </c>
      <c r="E118" s="4" t="s">
        <v>4</v>
      </c>
      <c r="F118" s="4" t="s">
        <v>16</v>
      </c>
      <c r="G118" s="4" t="s">
        <v>23</v>
      </c>
      <c r="H118" s="4" t="s">
        <v>41</v>
      </c>
      <c r="I118" s="4"/>
      <c r="J118"/>
      <c r="K118" s="31"/>
    </row>
    <row r="119" spans="1:11" s="2" customFormat="1" ht="15">
      <c r="A119" s="8"/>
      <c r="B119"/>
      <c r="C119" s="4" t="s">
        <v>92</v>
      </c>
      <c r="D119" s="4" t="s">
        <v>4</v>
      </c>
      <c r="E119" s="4" t="s">
        <v>4</v>
      </c>
      <c r="F119" s="4" t="s">
        <v>15</v>
      </c>
      <c r="G119" s="4"/>
      <c r="H119" s="4"/>
      <c r="I119" s="4"/>
      <c r="J119"/>
      <c r="K119" s="31"/>
    </row>
    <row r="120" spans="1:11" s="2" customFormat="1" ht="15" hidden="1">
      <c r="A120" s="8"/>
      <c r="B120"/>
      <c r="C120" s="4" t="s">
        <v>840</v>
      </c>
      <c r="D120" s="4"/>
      <c r="E120" s="4"/>
      <c r="F120" s="4"/>
      <c r="G120" s="4"/>
      <c r="H120" s="4"/>
      <c r="I120" s="4"/>
      <c r="J120"/>
      <c r="K120" s="31"/>
    </row>
    <row r="121" spans="1:11" s="2" customFormat="1" ht="15" hidden="1">
      <c r="A121" s="8"/>
      <c r="B121"/>
      <c r="C121" s="4" t="s">
        <v>841</v>
      </c>
      <c r="D121" s="4"/>
      <c r="E121" s="4"/>
      <c r="F121" s="4"/>
      <c r="G121" s="4"/>
      <c r="H121" s="4"/>
      <c r="I121" s="4"/>
      <c r="J121"/>
      <c r="K121" s="31"/>
    </row>
    <row r="122" spans="1:11" s="2" customFormat="1" ht="15" hidden="1">
      <c r="A122" s="8"/>
      <c r="B122"/>
      <c r="C122" s="4" t="s">
        <v>842</v>
      </c>
      <c r="D122" s="4"/>
      <c r="E122" s="4"/>
      <c r="F122" s="4"/>
      <c r="G122" s="4"/>
      <c r="H122" s="4"/>
      <c r="I122" s="4"/>
      <c r="J122"/>
      <c r="K122" s="31"/>
    </row>
    <row r="123" spans="1:11" s="2" customFormat="1" ht="15" hidden="1">
      <c r="A123" s="8"/>
      <c r="B123"/>
      <c r="C123" s="4" t="s">
        <v>843</v>
      </c>
      <c r="D123" s="4"/>
      <c r="E123" s="4"/>
      <c r="F123" s="4"/>
      <c r="G123" s="4"/>
      <c r="H123" s="4"/>
      <c r="I123" s="4"/>
      <c r="J123"/>
      <c r="K123" s="31"/>
    </row>
    <row r="124" spans="1:11" s="2" customFormat="1" ht="15" hidden="1">
      <c r="A124" s="8"/>
      <c r="B124"/>
      <c r="C124" s="4" t="s">
        <v>844</v>
      </c>
      <c r="D124" s="4"/>
      <c r="E124" s="4"/>
      <c r="F124" s="4"/>
      <c r="G124" s="4"/>
      <c r="H124" s="4"/>
      <c r="I124" s="4"/>
      <c r="J124"/>
      <c r="K124" s="31"/>
    </row>
    <row r="125" spans="1:11" ht="15" hidden="1">
      <c r="A125" s="8"/>
      <c r="C125" s="4" t="s">
        <v>845</v>
      </c>
      <c r="D125" s="4"/>
      <c r="E125" s="4"/>
      <c r="F125" s="4"/>
      <c r="G125" s="4"/>
      <c r="H125" s="4"/>
      <c r="I125" s="4"/>
    </row>
    <row r="126" spans="1:11" ht="15" hidden="1">
      <c r="A126" s="8"/>
      <c r="C126" s="4" t="s">
        <v>846</v>
      </c>
      <c r="D126" s="4"/>
      <c r="E126" s="4"/>
      <c r="F126" s="4"/>
      <c r="G126" s="4"/>
      <c r="H126" s="4"/>
      <c r="I126" s="4"/>
    </row>
    <row r="127" spans="1:11" s="2" customFormat="1" ht="15" hidden="1">
      <c r="A127" s="8"/>
      <c r="B127"/>
      <c r="C127" s="4" t="s">
        <v>847</v>
      </c>
      <c r="D127" s="4"/>
      <c r="E127" s="4"/>
      <c r="F127" s="4"/>
      <c r="G127" s="4"/>
      <c r="H127" s="4"/>
      <c r="I127" s="4"/>
      <c r="J127"/>
      <c r="K127" s="31"/>
    </row>
    <row r="128" spans="1:11" s="2" customFormat="1" ht="15">
      <c r="A128" s="8"/>
      <c r="B128"/>
      <c r="C128" s="4" t="s">
        <v>93</v>
      </c>
      <c r="D128" s="4" t="s">
        <v>4</v>
      </c>
      <c r="E128" s="4" t="s">
        <v>4</v>
      </c>
      <c r="F128" s="4" t="s">
        <v>16</v>
      </c>
      <c r="G128" s="4" t="s">
        <v>23</v>
      </c>
      <c r="H128" s="4" t="s">
        <v>766</v>
      </c>
      <c r="I128" s="4"/>
      <c r="J128"/>
      <c r="K128" s="31"/>
    </row>
    <row r="129" spans="1:11" s="2" customFormat="1" ht="15">
      <c r="A129" s="8"/>
      <c r="B129"/>
      <c r="C129" s="4" t="s">
        <v>94</v>
      </c>
      <c r="D129" s="4" t="s">
        <v>4</v>
      </c>
      <c r="E129" s="4" t="s">
        <v>4</v>
      </c>
      <c r="F129" s="4" t="s">
        <v>16</v>
      </c>
      <c r="G129" s="4" t="s">
        <v>23</v>
      </c>
      <c r="H129" s="4" t="s">
        <v>767</v>
      </c>
      <c r="I129" s="4"/>
      <c r="J129"/>
      <c r="K129" s="31"/>
    </row>
    <row r="130" spans="1:11" s="2" customFormat="1" ht="15">
      <c r="A130" s="8"/>
      <c r="B130"/>
      <c r="C130" s="4" t="s">
        <v>94</v>
      </c>
      <c r="D130" s="4" t="s">
        <v>4</v>
      </c>
      <c r="E130" s="4" t="s">
        <v>4</v>
      </c>
      <c r="F130" s="4" t="s">
        <v>16</v>
      </c>
      <c r="G130" s="4" t="s">
        <v>23</v>
      </c>
      <c r="H130" s="4" t="s">
        <v>768</v>
      </c>
      <c r="I130" s="4"/>
      <c r="J130"/>
      <c r="K130" s="31"/>
    </row>
    <row r="131" spans="1:11" s="2" customFormat="1" ht="15" hidden="1">
      <c r="A131" s="8"/>
      <c r="B131"/>
      <c r="C131" s="4" t="s">
        <v>95</v>
      </c>
      <c r="D131" s="4"/>
      <c r="E131" s="4"/>
      <c r="F131" s="4"/>
      <c r="G131" s="4"/>
      <c r="H131" s="4"/>
      <c r="I131" s="4"/>
      <c r="J131"/>
      <c r="K131" s="31"/>
    </row>
    <row r="132" spans="1:11" s="2" customFormat="1" ht="15" hidden="1">
      <c r="A132" s="8"/>
      <c r="B132"/>
      <c r="C132" s="4" t="s">
        <v>96</v>
      </c>
      <c r="D132" s="4"/>
      <c r="E132" s="4"/>
      <c r="F132" s="4"/>
      <c r="G132" s="4"/>
      <c r="H132" s="4"/>
      <c r="I132" s="4"/>
      <c r="J132"/>
      <c r="K132" s="31"/>
    </row>
    <row r="133" spans="1:11" s="2" customFormat="1" ht="15" hidden="1">
      <c r="A133" s="8"/>
      <c r="B133"/>
      <c r="C133" s="4" t="s">
        <v>848</v>
      </c>
      <c r="D133" s="4"/>
      <c r="E133" s="4"/>
      <c r="F133" s="4"/>
      <c r="G133" s="4"/>
      <c r="H133" s="4"/>
      <c r="I133" s="4"/>
      <c r="J133"/>
      <c r="K133" s="31"/>
    </row>
    <row r="134" spans="1:11" s="2" customFormat="1" ht="15" hidden="1">
      <c r="A134" s="8"/>
      <c r="B134"/>
      <c r="C134" s="4" t="s">
        <v>98</v>
      </c>
      <c r="D134" s="4"/>
      <c r="E134" s="4"/>
      <c r="F134" s="4"/>
      <c r="G134" s="4"/>
      <c r="H134" s="4"/>
      <c r="I134" s="4"/>
      <c r="J134"/>
      <c r="K134" s="31"/>
    </row>
    <row r="135" spans="1:11" s="2" customFormat="1" ht="15" hidden="1">
      <c r="A135" s="8"/>
      <c r="B135"/>
      <c r="C135" s="4" t="s">
        <v>99</v>
      </c>
      <c r="D135" s="4"/>
      <c r="E135" s="4"/>
      <c r="F135" s="4"/>
      <c r="G135" s="4"/>
      <c r="H135" s="4"/>
      <c r="I135" s="4"/>
      <c r="J135"/>
      <c r="K135" s="31"/>
    </row>
    <row r="136" spans="1:11" s="2" customFormat="1" ht="15" hidden="1">
      <c r="A136" s="8"/>
      <c r="B136"/>
      <c r="C136" s="4" t="s">
        <v>100</v>
      </c>
      <c r="D136" s="4"/>
      <c r="E136" s="4"/>
      <c r="F136" s="4"/>
      <c r="G136" s="4"/>
      <c r="H136" s="4"/>
      <c r="I136" s="4"/>
      <c r="J136"/>
      <c r="K136" s="31"/>
    </row>
    <row r="137" spans="1:11" s="2" customFormat="1" ht="15" hidden="1">
      <c r="A137" s="8"/>
      <c r="B137"/>
      <c r="C137" s="4" t="s">
        <v>101</v>
      </c>
      <c r="D137" s="4"/>
      <c r="E137" s="4"/>
      <c r="F137" s="4"/>
      <c r="G137" s="4"/>
      <c r="H137" s="4"/>
      <c r="I137" s="4"/>
      <c r="J137"/>
      <c r="K137" s="31"/>
    </row>
    <row r="138" spans="1:11" s="2" customFormat="1" ht="15" hidden="1">
      <c r="A138" s="8"/>
      <c r="B138"/>
      <c r="C138" s="4" t="s">
        <v>102</v>
      </c>
      <c r="D138" s="4"/>
      <c r="E138" s="4"/>
      <c r="F138" s="4"/>
      <c r="G138" s="4"/>
      <c r="H138" s="4"/>
      <c r="I138" s="4"/>
      <c r="J138"/>
      <c r="K138" s="31"/>
    </row>
    <row r="139" spans="1:11" s="2" customFormat="1" ht="15" hidden="1">
      <c r="A139" s="8"/>
      <c r="B139"/>
      <c r="C139" s="4" t="s">
        <v>103</v>
      </c>
      <c r="D139" s="4"/>
      <c r="E139" s="4"/>
      <c r="F139" s="4"/>
      <c r="G139" s="4"/>
      <c r="H139" s="4"/>
      <c r="I139" s="4"/>
      <c r="J139"/>
      <c r="K139" s="31"/>
    </row>
    <row r="140" spans="1:11" s="2" customFormat="1" ht="15" hidden="1">
      <c r="A140" s="8"/>
      <c r="B140"/>
      <c r="C140" s="4" t="s">
        <v>104</v>
      </c>
      <c r="D140" s="4"/>
      <c r="E140" s="4"/>
      <c r="F140" s="4"/>
      <c r="G140" s="4"/>
      <c r="H140" s="4"/>
      <c r="I140" s="4"/>
      <c r="J140"/>
      <c r="K140" s="31"/>
    </row>
    <row r="141" spans="1:11" s="2" customFormat="1" ht="15" hidden="1">
      <c r="A141" s="8"/>
      <c r="B141"/>
      <c r="C141" s="4" t="s">
        <v>105</v>
      </c>
      <c r="D141" s="4"/>
      <c r="E141" s="4"/>
      <c r="F141" s="4"/>
      <c r="G141" s="4"/>
      <c r="H141" s="4"/>
      <c r="I141" s="4"/>
      <c r="J141"/>
      <c r="K141" s="31"/>
    </row>
    <row r="142" spans="1:11" s="2" customFormat="1" ht="15" hidden="1">
      <c r="A142" s="8"/>
      <c r="B142"/>
      <c r="C142" s="4" t="s">
        <v>106</v>
      </c>
      <c r="D142" s="4"/>
      <c r="E142" s="4"/>
      <c r="F142" s="4"/>
      <c r="G142" s="4"/>
      <c r="H142" s="4"/>
      <c r="I142" s="4"/>
      <c r="J142"/>
      <c r="K142" s="31"/>
    </row>
    <row r="143" spans="1:11" s="2" customFormat="1" ht="15" hidden="1">
      <c r="A143" s="8"/>
      <c r="B143"/>
      <c r="C143" s="4" t="s">
        <v>107</v>
      </c>
      <c r="D143" s="4"/>
      <c r="E143" s="4"/>
      <c r="F143" s="4"/>
      <c r="G143" s="4"/>
      <c r="H143" s="4"/>
      <c r="I143" s="4"/>
      <c r="J143"/>
      <c r="K143" s="31"/>
    </row>
    <row r="144" spans="1:11" s="2" customFormat="1" ht="15" hidden="1">
      <c r="A144" s="8"/>
      <c r="B144"/>
      <c r="C144" s="4" t="s">
        <v>108</v>
      </c>
      <c r="D144" s="4"/>
      <c r="E144" s="4"/>
      <c r="F144" s="4"/>
      <c r="G144" s="4"/>
      <c r="H144" s="4"/>
      <c r="I144" s="4"/>
      <c r="J144"/>
      <c r="K144" s="31"/>
    </row>
    <row r="145" spans="1:11" s="2" customFormat="1" ht="15" hidden="1">
      <c r="A145" s="8"/>
      <c r="B145"/>
      <c r="C145" s="4" t="s">
        <v>109</v>
      </c>
      <c r="D145" s="4"/>
      <c r="E145" s="4"/>
      <c r="F145" s="4"/>
      <c r="G145" s="4"/>
      <c r="H145" s="4"/>
      <c r="I145" s="4"/>
      <c r="J145"/>
      <c r="K145" s="31"/>
    </row>
    <row r="146" spans="1:11" s="2" customFormat="1" ht="15" hidden="1">
      <c r="A146" s="8"/>
      <c r="B146"/>
      <c r="C146" s="4" t="s">
        <v>110</v>
      </c>
      <c r="D146" s="4"/>
      <c r="E146" s="4"/>
      <c r="F146" s="4"/>
      <c r="G146" s="4"/>
      <c r="H146" s="4"/>
      <c r="I146" s="4"/>
      <c r="J146"/>
      <c r="K146" s="31"/>
    </row>
    <row r="147" spans="1:11" s="2" customFormat="1" ht="15" hidden="1">
      <c r="A147" s="8"/>
      <c r="B147"/>
      <c r="C147" s="4" t="s">
        <v>111</v>
      </c>
      <c r="D147" s="4"/>
      <c r="E147" s="4"/>
      <c r="F147" s="4"/>
      <c r="G147" s="4"/>
      <c r="H147" s="4"/>
      <c r="I147" s="4"/>
      <c r="J147"/>
      <c r="K147" s="31"/>
    </row>
    <row r="148" spans="1:11" s="2" customFormat="1" ht="15" hidden="1">
      <c r="A148" s="8"/>
      <c r="B148"/>
      <c r="C148" s="4" t="s">
        <v>112</v>
      </c>
      <c r="D148" s="4"/>
      <c r="E148" s="4"/>
      <c r="F148" s="4"/>
      <c r="G148" s="4"/>
      <c r="H148" s="4"/>
      <c r="I148" s="4"/>
      <c r="J148"/>
      <c r="K148" s="31"/>
    </row>
    <row r="149" spans="1:11" s="2" customFormat="1" ht="15" hidden="1">
      <c r="A149" s="8"/>
      <c r="B149"/>
      <c r="C149" s="4" t="s">
        <v>113</v>
      </c>
      <c r="D149" s="4"/>
      <c r="E149" s="4"/>
      <c r="F149" s="4"/>
      <c r="G149" s="4"/>
      <c r="H149" s="4"/>
      <c r="I149" s="4"/>
      <c r="J149"/>
      <c r="K149" s="31"/>
    </row>
    <row r="150" spans="1:11" s="2" customFormat="1" ht="15" hidden="1">
      <c r="A150" s="8"/>
      <c r="B150"/>
      <c r="C150" s="4" t="s">
        <v>114</v>
      </c>
      <c r="D150" s="4"/>
      <c r="E150" s="4"/>
      <c r="F150" s="4"/>
      <c r="G150" s="4"/>
      <c r="H150" s="4"/>
      <c r="I150" s="4"/>
      <c r="J150"/>
      <c r="K150" s="31"/>
    </row>
    <row r="151" spans="1:11" s="2" customFormat="1" ht="15" hidden="1">
      <c r="A151" s="8"/>
      <c r="B151"/>
      <c r="C151" s="4" t="s">
        <v>115</v>
      </c>
      <c r="D151" s="4"/>
      <c r="E151" s="4"/>
      <c r="F151" s="4"/>
      <c r="G151" s="4"/>
      <c r="H151" s="4"/>
      <c r="I151" s="4"/>
      <c r="J151"/>
      <c r="K151" s="31"/>
    </row>
    <row r="152" spans="1:11" s="2" customFormat="1" ht="15" hidden="1">
      <c r="A152" s="8"/>
      <c r="B152"/>
      <c r="C152" s="4" t="s">
        <v>849</v>
      </c>
      <c r="D152" s="4"/>
      <c r="E152" s="4"/>
      <c r="F152" s="4"/>
      <c r="G152" s="4"/>
      <c r="H152" s="4"/>
      <c r="I152" s="4"/>
      <c r="J152"/>
      <c r="K152" s="31"/>
    </row>
    <row r="153" spans="1:11" ht="15" hidden="1">
      <c r="A153" s="8"/>
      <c r="C153" s="4" t="s">
        <v>850</v>
      </c>
      <c r="D153" s="4"/>
      <c r="E153" s="4"/>
      <c r="F153" s="4"/>
      <c r="G153" s="4"/>
      <c r="H153" s="4"/>
      <c r="I153" s="4"/>
    </row>
    <row r="154" spans="1:11" ht="15" hidden="1">
      <c r="A154" s="8"/>
      <c r="C154" s="4" t="s">
        <v>851</v>
      </c>
      <c r="D154" s="4"/>
      <c r="E154" s="4"/>
      <c r="F154" s="4"/>
      <c r="G154" s="4"/>
      <c r="H154" s="4"/>
      <c r="I154" s="4"/>
    </row>
    <row r="155" spans="1:11" ht="15" hidden="1">
      <c r="A155" s="8"/>
      <c r="C155" s="4" t="s">
        <v>852</v>
      </c>
      <c r="D155" s="4"/>
      <c r="E155" s="4"/>
      <c r="F155" s="4"/>
      <c r="G155" s="4"/>
      <c r="H155" s="4"/>
      <c r="I155" s="4"/>
    </row>
    <row r="156" spans="1:11" ht="15" hidden="1">
      <c r="A156" s="8"/>
      <c r="C156" s="4" t="s">
        <v>853</v>
      </c>
      <c r="D156" s="4"/>
      <c r="E156" s="4"/>
      <c r="F156" s="4"/>
      <c r="G156" s="4"/>
      <c r="H156" s="4"/>
      <c r="I156" s="4"/>
    </row>
    <row r="157" spans="1:11" ht="15" hidden="1">
      <c r="A157" s="8"/>
      <c r="C157" s="4" t="s">
        <v>854</v>
      </c>
      <c r="D157" s="4"/>
      <c r="E157" s="4"/>
      <c r="F157" s="4"/>
      <c r="G157" s="4"/>
      <c r="H157" s="4"/>
      <c r="I157" s="4"/>
    </row>
    <row r="158" spans="1:11" ht="15" hidden="1">
      <c r="A158" s="8"/>
      <c r="C158" s="4" t="s">
        <v>855</v>
      </c>
      <c r="D158" s="4"/>
      <c r="E158" s="4"/>
      <c r="F158" s="4"/>
      <c r="G158" s="4"/>
      <c r="H158" s="4"/>
      <c r="I158" s="4"/>
    </row>
    <row r="159" spans="1:11" ht="15" hidden="1">
      <c r="A159" s="8"/>
      <c r="C159" s="4" t="s">
        <v>856</v>
      </c>
      <c r="D159" s="4"/>
      <c r="E159" s="4"/>
      <c r="F159" s="4"/>
      <c r="G159" s="4"/>
      <c r="H159" s="4"/>
      <c r="I159" s="4"/>
    </row>
    <row r="160" spans="1:11" ht="15" hidden="1">
      <c r="A160" s="8"/>
      <c r="C160" s="4" t="s">
        <v>857</v>
      </c>
      <c r="D160" s="4"/>
      <c r="E160" s="4"/>
      <c r="F160" s="4"/>
      <c r="G160" s="4"/>
      <c r="H160" s="4"/>
      <c r="I160" s="4"/>
    </row>
    <row r="161" spans="1:11" ht="15">
      <c r="A161" s="8"/>
      <c r="C161" s="4" t="s">
        <v>116</v>
      </c>
      <c r="D161" s="4" t="s">
        <v>4</v>
      </c>
      <c r="E161" s="4" t="s">
        <v>4</v>
      </c>
      <c r="F161" s="4" t="s">
        <v>15</v>
      </c>
      <c r="G161" s="4"/>
      <c r="H161" s="4"/>
      <c r="I161" s="4"/>
    </row>
    <row r="162" spans="1:11" s="2" customFormat="1" ht="15">
      <c r="A162" s="8"/>
      <c r="B162"/>
      <c r="C162" s="4" t="s">
        <v>117</v>
      </c>
      <c r="D162" s="4" t="s">
        <v>4</v>
      </c>
      <c r="E162" s="4" t="s">
        <v>4</v>
      </c>
      <c r="F162" s="4" t="s">
        <v>15</v>
      </c>
      <c r="G162" s="4"/>
      <c r="H162" s="4"/>
      <c r="I162" s="4"/>
      <c r="J162"/>
      <c r="K162" s="31"/>
    </row>
    <row r="163" spans="1:11" s="2" customFormat="1" ht="15">
      <c r="A163" s="8"/>
      <c r="B163"/>
      <c r="C163" s="4" t="s">
        <v>118</v>
      </c>
      <c r="D163" s="4" t="s">
        <v>4</v>
      </c>
      <c r="E163" s="4" t="s">
        <v>4</v>
      </c>
      <c r="F163" s="4" t="s">
        <v>16</v>
      </c>
      <c r="G163" s="4" t="s">
        <v>23</v>
      </c>
      <c r="H163" s="4" t="s">
        <v>39</v>
      </c>
      <c r="I163" s="4"/>
      <c r="J163"/>
      <c r="K163" s="31"/>
    </row>
    <row r="164" spans="1:11" s="2" customFormat="1" ht="15" hidden="1">
      <c r="A164" s="8"/>
      <c r="B164"/>
      <c r="C164" s="4" t="s">
        <v>858</v>
      </c>
      <c r="D164" s="4"/>
      <c r="E164" s="4"/>
      <c r="F164" s="4"/>
      <c r="G164" s="4"/>
      <c r="H164" s="4"/>
      <c r="I164" s="4"/>
      <c r="J164"/>
      <c r="K164" s="31"/>
    </row>
    <row r="165" spans="1:11" s="2" customFormat="1" ht="15" hidden="1">
      <c r="A165" s="8"/>
      <c r="B165"/>
      <c r="C165" s="4" t="s">
        <v>859</v>
      </c>
      <c r="D165" s="4"/>
      <c r="E165" s="4"/>
      <c r="F165" s="4"/>
      <c r="G165" s="4"/>
      <c r="H165" s="4"/>
      <c r="I165" s="4"/>
      <c r="J165"/>
      <c r="K165" s="31"/>
    </row>
    <row r="166" spans="1:11" s="2" customFormat="1" ht="15" hidden="1">
      <c r="A166" s="8"/>
      <c r="B166"/>
      <c r="C166" s="4" t="s">
        <v>860</v>
      </c>
      <c r="D166" s="4"/>
      <c r="E166" s="4"/>
      <c r="F166" s="4"/>
      <c r="G166" s="4"/>
      <c r="H166" s="4"/>
      <c r="I166" s="4"/>
      <c r="J166"/>
      <c r="K166" s="31"/>
    </row>
    <row r="167" spans="1:11" s="2" customFormat="1" ht="15" hidden="1">
      <c r="A167" s="8"/>
      <c r="B167"/>
      <c r="C167" s="4" t="s">
        <v>861</v>
      </c>
      <c r="D167" s="4"/>
      <c r="E167" s="4"/>
      <c r="F167" s="4"/>
      <c r="G167" s="4"/>
      <c r="H167" s="4"/>
      <c r="I167" s="4"/>
      <c r="J167"/>
      <c r="K167" s="31"/>
    </row>
    <row r="168" spans="1:11" s="2" customFormat="1" ht="15" hidden="1">
      <c r="A168" s="8"/>
      <c r="B168"/>
      <c r="C168" s="4" t="s">
        <v>862</v>
      </c>
      <c r="D168" s="4"/>
      <c r="E168" s="4"/>
      <c r="F168" s="4"/>
      <c r="G168" s="4"/>
      <c r="H168" s="4"/>
      <c r="I168" s="4"/>
      <c r="J168"/>
      <c r="K168" s="31"/>
    </row>
    <row r="169" spans="1:11" s="2" customFormat="1" ht="15" hidden="1">
      <c r="A169" s="8"/>
      <c r="B169"/>
      <c r="C169" s="4" t="s">
        <v>863</v>
      </c>
      <c r="D169" s="4"/>
      <c r="E169" s="4"/>
      <c r="F169" s="4"/>
      <c r="G169" s="4"/>
      <c r="H169" s="4"/>
      <c r="I169" s="4"/>
      <c r="J169"/>
      <c r="K169" s="31"/>
    </row>
    <row r="170" spans="1:11" s="2" customFormat="1" ht="15" hidden="1">
      <c r="A170" s="8"/>
      <c r="B170"/>
      <c r="C170" s="4" t="s">
        <v>864</v>
      </c>
      <c r="D170" s="4"/>
      <c r="E170" s="4"/>
      <c r="F170" s="4"/>
      <c r="G170" s="4"/>
      <c r="H170" s="4"/>
      <c r="I170" s="4"/>
      <c r="J170"/>
      <c r="K170" s="31"/>
    </row>
    <row r="171" spans="1:11" s="2" customFormat="1" ht="15" hidden="1">
      <c r="A171" s="8"/>
      <c r="B171"/>
      <c r="C171" s="4" t="s">
        <v>865</v>
      </c>
      <c r="D171" s="4"/>
      <c r="E171" s="4"/>
      <c r="F171" s="4"/>
      <c r="G171" s="4"/>
      <c r="H171" s="4"/>
      <c r="I171" s="4"/>
      <c r="J171"/>
      <c r="K171" s="31"/>
    </row>
    <row r="172" spans="1:11" s="2" customFormat="1" ht="15" hidden="1">
      <c r="A172" s="8"/>
      <c r="B172"/>
      <c r="C172" s="4" t="s">
        <v>866</v>
      </c>
      <c r="D172" s="4"/>
      <c r="E172" s="4"/>
      <c r="F172" s="4"/>
      <c r="G172" s="4"/>
      <c r="H172" s="4"/>
      <c r="I172" s="4"/>
      <c r="J172"/>
      <c r="K172" s="31"/>
    </row>
    <row r="173" spans="1:11" s="2" customFormat="1" ht="15" hidden="1">
      <c r="A173" s="8"/>
      <c r="B173"/>
      <c r="C173" s="4" t="s">
        <v>119</v>
      </c>
      <c r="D173" s="4"/>
      <c r="E173" s="4"/>
      <c r="F173" s="4"/>
      <c r="G173" s="4"/>
      <c r="H173" s="4"/>
      <c r="I173" s="4"/>
      <c r="J173"/>
      <c r="K173" s="31"/>
    </row>
    <row r="174" spans="1:11" s="2" customFormat="1" ht="15" hidden="1">
      <c r="A174" s="8"/>
      <c r="B174"/>
      <c r="C174" s="4" t="s">
        <v>867</v>
      </c>
      <c r="D174" s="4"/>
      <c r="E174" s="4"/>
      <c r="F174" s="4"/>
      <c r="G174" s="4"/>
      <c r="H174" s="4"/>
      <c r="I174" s="4"/>
      <c r="J174"/>
      <c r="K174" s="31"/>
    </row>
    <row r="175" spans="1:11" s="2" customFormat="1" ht="15">
      <c r="A175" s="8"/>
      <c r="B175"/>
      <c r="C175" s="4" t="s">
        <v>120</v>
      </c>
      <c r="D175" s="4" t="s">
        <v>4</v>
      </c>
      <c r="E175" s="4" t="s">
        <v>4</v>
      </c>
      <c r="F175" s="4" t="s">
        <v>15</v>
      </c>
      <c r="G175" s="4"/>
      <c r="H175" s="4"/>
      <c r="I175" s="4"/>
      <c r="J175"/>
      <c r="K175" s="31"/>
    </row>
    <row r="176" spans="1:11" s="2" customFormat="1" ht="15">
      <c r="A176" s="8"/>
      <c r="B176"/>
      <c r="C176" s="4" t="s">
        <v>121</v>
      </c>
      <c r="D176" s="4" t="s">
        <v>4</v>
      </c>
      <c r="E176" s="4" t="s">
        <v>4</v>
      </c>
      <c r="F176" s="4" t="s">
        <v>15</v>
      </c>
      <c r="G176" s="4"/>
      <c r="H176" s="4"/>
      <c r="I176" s="4"/>
      <c r="J176"/>
      <c r="K176" s="31"/>
    </row>
    <row r="177" spans="1:11" s="2" customFormat="1" ht="15">
      <c r="A177" s="8"/>
      <c r="B177"/>
      <c r="C177" s="4" t="s">
        <v>868</v>
      </c>
      <c r="D177" s="4" t="s">
        <v>4</v>
      </c>
      <c r="E177" s="4" t="s">
        <v>4</v>
      </c>
      <c r="F177" s="4" t="s">
        <v>16</v>
      </c>
      <c r="G177" s="4" t="s">
        <v>23</v>
      </c>
      <c r="H177" s="4" t="s">
        <v>769</v>
      </c>
      <c r="I177" s="4"/>
      <c r="J177"/>
      <c r="K177" s="31"/>
    </row>
    <row r="178" spans="1:11" s="2" customFormat="1" ht="15" hidden="1">
      <c r="A178" s="8"/>
      <c r="B178"/>
      <c r="C178" s="4" t="s">
        <v>869</v>
      </c>
      <c r="D178" s="4"/>
      <c r="E178" s="4"/>
      <c r="F178" s="4"/>
      <c r="G178" s="4"/>
      <c r="H178" s="4"/>
      <c r="I178" s="4"/>
      <c r="J178"/>
      <c r="K178" s="31"/>
    </row>
    <row r="179" spans="1:11" s="2" customFormat="1" ht="15" hidden="1">
      <c r="A179" s="8"/>
      <c r="B179"/>
      <c r="C179" s="4" t="s">
        <v>870</v>
      </c>
      <c r="D179" s="4"/>
      <c r="E179" s="4"/>
      <c r="F179" s="4"/>
      <c r="G179" s="4"/>
      <c r="H179" s="4"/>
      <c r="I179" s="4"/>
      <c r="J179"/>
      <c r="K179" s="31"/>
    </row>
    <row r="180" spans="1:11" s="2" customFormat="1" ht="15" hidden="1">
      <c r="A180" s="8"/>
      <c r="B180"/>
      <c r="C180" s="4" t="s">
        <v>871</v>
      </c>
      <c r="D180" s="4"/>
      <c r="E180" s="4"/>
      <c r="F180" s="4"/>
      <c r="G180" s="4"/>
      <c r="H180" s="4"/>
      <c r="I180" s="4"/>
      <c r="J180"/>
      <c r="K180" s="31"/>
    </row>
    <row r="181" spans="1:11" s="2" customFormat="1" ht="15" hidden="1">
      <c r="A181" s="8"/>
      <c r="B181"/>
      <c r="C181" s="4" t="s">
        <v>872</v>
      </c>
      <c r="D181" s="4"/>
      <c r="E181" s="4"/>
      <c r="F181" s="4"/>
      <c r="G181" s="4"/>
      <c r="H181" s="4"/>
      <c r="I181" s="4"/>
      <c r="J181"/>
      <c r="K181" s="31"/>
    </row>
    <row r="182" spans="1:11" s="2" customFormat="1" ht="15" hidden="1">
      <c r="A182" s="8"/>
      <c r="B182"/>
      <c r="C182" s="4" t="s">
        <v>873</v>
      </c>
      <c r="D182" s="4"/>
      <c r="E182" s="4"/>
      <c r="F182" s="4"/>
      <c r="G182" s="4"/>
      <c r="H182" s="4"/>
      <c r="I182" s="4"/>
      <c r="J182"/>
      <c r="K182" s="31"/>
    </row>
    <row r="183" spans="1:11" ht="15" hidden="1">
      <c r="A183" s="8"/>
      <c r="C183" s="4" t="s">
        <v>874</v>
      </c>
      <c r="D183" s="4"/>
      <c r="E183" s="4"/>
      <c r="F183" s="4"/>
      <c r="G183" s="4"/>
      <c r="H183" s="4"/>
      <c r="I183" s="4"/>
    </row>
    <row r="184" spans="1:11" ht="15" hidden="1">
      <c r="A184" s="8"/>
      <c r="C184" s="4" t="s">
        <v>875</v>
      </c>
      <c r="D184" s="4"/>
      <c r="E184" s="4"/>
      <c r="F184" s="4"/>
      <c r="G184" s="4"/>
      <c r="H184" s="4"/>
      <c r="I184" s="4"/>
    </row>
    <row r="185" spans="1:11" ht="15" hidden="1">
      <c r="A185" s="8"/>
      <c r="C185" s="4" t="s">
        <v>876</v>
      </c>
      <c r="D185" s="4"/>
      <c r="E185" s="4"/>
      <c r="F185" s="4"/>
      <c r="G185" s="4"/>
      <c r="H185" s="4"/>
      <c r="I185" s="4"/>
    </row>
    <row r="186" spans="1:11" s="2" customFormat="1" ht="15" hidden="1">
      <c r="A186" s="8"/>
      <c r="B186"/>
      <c r="C186" s="4" t="s">
        <v>877</v>
      </c>
      <c r="D186" s="4"/>
      <c r="E186" s="4"/>
      <c r="F186" s="4"/>
      <c r="G186" s="4"/>
      <c r="H186" s="4"/>
      <c r="I186" s="4"/>
      <c r="J186"/>
      <c r="K186" s="31"/>
    </row>
    <row r="187" spans="1:11" s="2" customFormat="1" ht="15" hidden="1">
      <c r="A187" s="8"/>
      <c r="B187"/>
      <c r="C187" s="4" t="s">
        <v>878</v>
      </c>
      <c r="D187" s="4"/>
      <c r="E187" s="4"/>
      <c r="F187" s="4"/>
      <c r="G187" s="4"/>
      <c r="H187" s="4"/>
      <c r="I187" s="4"/>
      <c r="J187"/>
      <c r="K187" s="31"/>
    </row>
    <row r="188" spans="1:11" s="2" customFormat="1" ht="15" hidden="1">
      <c r="A188" s="8"/>
      <c r="B188"/>
      <c r="C188" s="4" t="s">
        <v>879</v>
      </c>
      <c r="D188" s="4"/>
      <c r="E188" s="4"/>
      <c r="F188" s="4"/>
      <c r="G188" s="4"/>
      <c r="H188" s="4"/>
      <c r="I188" s="4"/>
      <c r="J188"/>
      <c r="K188" s="31"/>
    </row>
    <row r="189" spans="1:11" s="2" customFormat="1" ht="15" hidden="1">
      <c r="A189" s="8"/>
      <c r="B189"/>
      <c r="C189" s="4" t="s">
        <v>880</v>
      </c>
      <c r="D189" s="4"/>
      <c r="E189" s="4"/>
      <c r="F189" s="4"/>
      <c r="G189" s="4"/>
      <c r="H189" s="4"/>
      <c r="I189" s="4"/>
      <c r="J189"/>
      <c r="K189" s="31"/>
    </row>
    <row r="190" spans="1:11" s="2" customFormat="1" ht="15" hidden="1">
      <c r="A190" s="8"/>
      <c r="B190"/>
      <c r="C190" s="4" t="s">
        <v>881</v>
      </c>
      <c r="D190" s="4"/>
      <c r="E190" s="4"/>
      <c r="F190" s="4"/>
      <c r="G190" s="4"/>
      <c r="H190" s="4"/>
      <c r="I190" s="4"/>
      <c r="J190"/>
      <c r="K190" s="31"/>
    </row>
    <row r="191" spans="1:11" s="2" customFormat="1" ht="15" hidden="1">
      <c r="A191" s="8"/>
      <c r="B191"/>
      <c r="C191" s="4" t="s">
        <v>882</v>
      </c>
      <c r="D191" s="4"/>
      <c r="E191" s="4"/>
      <c r="F191" s="4"/>
      <c r="G191" s="4"/>
      <c r="H191" s="4"/>
      <c r="I191" s="4"/>
      <c r="J191"/>
      <c r="K191" s="31"/>
    </row>
    <row r="192" spans="1:11" s="2" customFormat="1" ht="15" hidden="1">
      <c r="A192" s="8"/>
      <c r="B192"/>
      <c r="C192" s="4" t="s">
        <v>883</v>
      </c>
      <c r="D192" s="4"/>
      <c r="E192" s="4"/>
      <c r="F192" s="4"/>
      <c r="G192" s="4"/>
      <c r="H192" s="4"/>
      <c r="I192" s="4"/>
      <c r="J192"/>
      <c r="K192" s="31"/>
    </row>
    <row r="193" spans="1:11" s="2" customFormat="1" ht="15" hidden="1">
      <c r="A193" s="8"/>
      <c r="B193"/>
      <c r="C193" s="4" t="s">
        <v>884</v>
      </c>
      <c r="D193" s="4"/>
      <c r="E193" s="4"/>
      <c r="F193" s="4"/>
      <c r="G193" s="4"/>
      <c r="H193" s="4"/>
      <c r="I193" s="4"/>
      <c r="J193"/>
      <c r="K193" s="31"/>
    </row>
    <row r="194" spans="1:11" s="2" customFormat="1" ht="15" hidden="1">
      <c r="A194" s="8"/>
      <c r="B194"/>
      <c r="C194" s="4" t="s">
        <v>885</v>
      </c>
      <c r="D194" s="4"/>
      <c r="E194" s="4"/>
      <c r="F194" s="4"/>
      <c r="G194" s="4"/>
      <c r="H194" s="4"/>
      <c r="I194" s="4"/>
      <c r="J194"/>
      <c r="K194" s="31"/>
    </row>
    <row r="195" spans="1:11" s="2" customFormat="1" ht="15" hidden="1">
      <c r="A195" s="8"/>
      <c r="B195"/>
      <c r="C195" s="4" t="s">
        <v>886</v>
      </c>
      <c r="D195" s="4"/>
      <c r="E195" s="4"/>
      <c r="F195" s="4"/>
      <c r="G195" s="4"/>
      <c r="H195" s="4"/>
      <c r="I195" s="4"/>
      <c r="J195"/>
      <c r="K195" s="31"/>
    </row>
    <row r="196" spans="1:11" s="2" customFormat="1" ht="15" hidden="1">
      <c r="A196" s="8"/>
      <c r="B196"/>
      <c r="C196" s="4" t="s">
        <v>887</v>
      </c>
      <c r="D196" s="4"/>
      <c r="E196" s="4"/>
      <c r="F196" s="4"/>
      <c r="G196" s="4"/>
      <c r="H196" s="4"/>
      <c r="I196" s="4"/>
      <c r="J196"/>
      <c r="K196" s="31"/>
    </row>
    <row r="197" spans="1:11" s="2" customFormat="1" ht="15" hidden="1">
      <c r="A197" s="8"/>
      <c r="B197"/>
      <c r="C197" s="4" t="s">
        <v>888</v>
      </c>
      <c r="D197" s="4"/>
      <c r="E197" s="4"/>
      <c r="F197" s="4"/>
      <c r="G197" s="4"/>
      <c r="H197" s="4"/>
      <c r="I197" s="4"/>
      <c r="J197"/>
      <c r="K197" s="31"/>
    </row>
    <row r="198" spans="1:11" s="2" customFormat="1" ht="15" hidden="1">
      <c r="A198" s="8"/>
      <c r="B198"/>
      <c r="C198" s="4" t="s">
        <v>889</v>
      </c>
      <c r="D198" s="4"/>
      <c r="E198" s="4"/>
      <c r="F198" s="4"/>
      <c r="G198" s="4"/>
      <c r="H198" s="4"/>
      <c r="I198" s="4"/>
      <c r="J198"/>
      <c r="K198" s="31"/>
    </row>
    <row r="199" spans="1:11" s="2" customFormat="1" ht="15" hidden="1">
      <c r="A199" s="8"/>
      <c r="B199"/>
      <c r="C199" s="4" t="s">
        <v>890</v>
      </c>
      <c r="D199" s="4"/>
      <c r="E199" s="4"/>
      <c r="F199" s="4"/>
      <c r="G199" s="4"/>
      <c r="H199" s="4"/>
      <c r="I199" s="4"/>
      <c r="J199"/>
      <c r="K199" s="31"/>
    </row>
    <row r="200" spans="1:11" s="2" customFormat="1" ht="15" hidden="1">
      <c r="A200" s="8"/>
      <c r="B200"/>
      <c r="C200" s="4" t="s">
        <v>891</v>
      </c>
      <c r="D200" s="4"/>
      <c r="E200" s="4"/>
      <c r="F200" s="4"/>
      <c r="G200" s="4"/>
      <c r="H200" s="4"/>
      <c r="I200" s="4"/>
      <c r="J200"/>
      <c r="K200" s="31"/>
    </row>
    <row r="201" spans="1:11" s="2" customFormat="1" ht="15" hidden="1">
      <c r="A201" s="8"/>
      <c r="B201"/>
      <c r="C201" s="4" t="s">
        <v>892</v>
      </c>
      <c r="D201" s="4"/>
      <c r="E201" s="4"/>
      <c r="F201" s="4"/>
      <c r="G201" s="4"/>
      <c r="H201" s="4"/>
      <c r="I201" s="4"/>
      <c r="J201"/>
      <c r="K201" s="31"/>
    </row>
    <row r="202" spans="1:11" s="2" customFormat="1" ht="15" hidden="1">
      <c r="A202" s="8"/>
      <c r="B202"/>
      <c r="C202" s="4" t="s">
        <v>893</v>
      </c>
      <c r="D202" s="4"/>
      <c r="E202" s="4"/>
      <c r="F202" s="4"/>
      <c r="G202" s="4"/>
      <c r="H202" s="4"/>
      <c r="I202" s="4"/>
      <c r="J202"/>
      <c r="K202" s="31"/>
    </row>
    <row r="203" spans="1:11" s="2" customFormat="1" ht="15" hidden="1">
      <c r="A203" s="8"/>
      <c r="B203"/>
      <c r="C203" s="4" t="s">
        <v>894</v>
      </c>
      <c r="D203" s="4"/>
      <c r="E203" s="4"/>
      <c r="F203" s="4"/>
      <c r="G203" s="4"/>
      <c r="H203" s="4"/>
      <c r="I203" s="4"/>
      <c r="J203"/>
      <c r="K203" s="31"/>
    </row>
    <row r="204" spans="1:11" s="2" customFormat="1" ht="15" hidden="1">
      <c r="A204" s="8"/>
      <c r="B204"/>
      <c r="C204" s="4" t="s">
        <v>895</v>
      </c>
      <c r="D204" s="4"/>
      <c r="E204" s="4"/>
      <c r="F204" s="4"/>
      <c r="G204" s="4"/>
      <c r="H204" s="4"/>
      <c r="I204" s="4"/>
      <c r="J204"/>
      <c r="K204" s="31"/>
    </row>
    <row r="205" spans="1:11" s="2" customFormat="1" ht="15" hidden="1">
      <c r="A205" s="8"/>
      <c r="B205"/>
      <c r="C205" s="4" t="s">
        <v>896</v>
      </c>
      <c r="D205" s="4"/>
      <c r="E205" s="4"/>
      <c r="F205" s="4"/>
      <c r="G205" s="4"/>
      <c r="H205" s="4"/>
      <c r="I205" s="4"/>
      <c r="J205"/>
      <c r="K205" s="31"/>
    </row>
    <row r="206" spans="1:11" s="2" customFormat="1" ht="15" hidden="1">
      <c r="A206" s="8"/>
      <c r="B206"/>
      <c r="C206" s="4" t="s">
        <v>897</v>
      </c>
      <c r="D206" s="4"/>
      <c r="E206" s="4"/>
      <c r="F206" s="4"/>
      <c r="G206" s="4"/>
      <c r="H206" s="4"/>
      <c r="I206" s="4"/>
      <c r="J206"/>
      <c r="K206" s="31"/>
    </row>
    <row r="207" spans="1:11" s="2" customFormat="1" ht="15" hidden="1">
      <c r="A207" s="8"/>
      <c r="B207"/>
      <c r="C207" s="4" t="s">
        <v>898</v>
      </c>
      <c r="D207" s="4"/>
      <c r="E207" s="4"/>
      <c r="F207" s="4"/>
      <c r="G207" s="4"/>
      <c r="H207" s="4"/>
      <c r="I207" s="4"/>
      <c r="J207"/>
      <c r="K207" s="31"/>
    </row>
    <row r="208" spans="1:11" s="2" customFormat="1" ht="15" hidden="1">
      <c r="A208" s="8"/>
      <c r="B208"/>
      <c r="C208" s="4" t="s">
        <v>899</v>
      </c>
      <c r="D208" s="4"/>
      <c r="E208" s="4"/>
      <c r="F208" s="4"/>
      <c r="G208" s="4"/>
      <c r="H208" s="4"/>
      <c r="I208" s="4"/>
      <c r="J208"/>
      <c r="K208" s="31"/>
    </row>
    <row r="209" spans="1:11" s="2" customFormat="1" ht="15" hidden="1">
      <c r="A209" s="8"/>
      <c r="B209"/>
      <c r="C209" s="4" t="s">
        <v>900</v>
      </c>
      <c r="D209" s="4"/>
      <c r="E209" s="4"/>
      <c r="F209" s="4"/>
      <c r="G209" s="4"/>
      <c r="H209" s="4"/>
      <c r="I209" s="4"/>
      <c r="J209"/>
      <c r="K209" s="31"/>
    </row>
    <row r="210" spans="1:11" s="2" customFormat="1" ht="15" hidden="1">
      <c r="A210" s="8"/>
      <c r="B210"/>
      <c r="C210" s="4" t="s">
        <v>901</v>
      </c>
      <c r="D210" s="4"/>
      <c r="E210" s="4"/>
      <c r="F210" s="4"/>
      <c r="G210" s="4"/>
      <c r="H210" s="4"/>
      <c r="I210" s="4"/>
      <c r="J210"/>
      <c r="K210" s="31"/>
    </row>
    <row r="211" spans="1:11" ht="15" hidden="1">
      <c r="A211" s="8"/>
      <c r="C211" s="4" t="s">
        <v>902</v>
      </c>
      <c r="D211" s="4"/>
      <c r="E211" s="4"/>
      <c r="F211" s="4"/>
      <c r="G211" s="4"/>
      <c r="H211" s="4"/>
      <c r="I211" s="4"/>
    </row>
    <row r="212" spans="1:11" ht="15" hidden="1">
      <c r="A212" s="8"/>
      <c r="C212" s="4" t="s">
        <v>903</v>
      </c>
      <c r="D212" s="4"/>
      <c r="E212" s="4"/>
      <c r="F212" s="4"/>
      <c r="G212" s="4"/>
      <c r="H212" s="4"/>
      <c r="I212" s="4"/>
    </row>
    <row r="213" spans="1:11" s="2" customFormat="1" ht="15" hidden="1">
      <c r="A213" s="8"/>
      <c r="B213"/>
      <c r="C213" s="4" t="s">
        <v>904</v>
      </c>
      <c r="D213" s="4"/>
      <c r="E213" s="4"/>
      <c r="F213" s="4"/>
      <c r="G213" s="4"/>
      <c r="H213" s="4"/>
      <c r="I213" s="4"/>
      <c r="J213"/>
      <c r="K213" s="31"/>
    </row>
    <row r="214" spans="1:11" s="2" customFormat="1" ht="15" hidden="1">
      <c r="A214" s="8"/>
      <c r="B214"/>
      <c r="C214" s="4" t="s">
        <v>905</v>
      </c>
      <c r="D214" s="4"/>
      <c r="E214" s="4"/>
      <c r="F214" s="4"/>
      <c r="G214" s="4"/>
      <c r="H214" s="4"/>
      <c r="I214" s="4"/>
      <c r="J214"/>
      <c r="K214" s="31"/>
    </row>
    <row r="215" spans="1:11" s="2" customFormat="1" ht="15" hidden="1">
      <c r="A215" s="8"/>
      <c r="B215"/>
      <c r="C215" s="4" t="s">
        <v>906</v>
      </c>
      <c r="D215" s="4"/>
      <c r="E215" s="4"/>
      <c r="F215" s="4"/>
      <c r="G215" s="4"/>
      <c r="H215" s="4"/>
      <c r="I215" s="4"/>
      <c r="J215"/>
      <c r="K215" s="31"/>
    </row>
    <row r="216" spans="1:11" s="2" customFormat="1" ht="15" hidden="1">
      <c r="A216" s="8"/>
      <c r="B216"/>
      <c r="C216" s="4" t="s">
        <v>907</v>
      </c>
      <c r="D216" s="4"/>
      <c r="E216" s="4"/>
      <c r="F216" s="4"/>
      <c r="G216" s="4"/>
      <c r="H216" s="4"/>
      <c r="I216" s="4"/>
      <c r="J216"/>
      <c r="K216" s="31"/>
    </row>
    <row r="217" spans="1:11" s="2" customFormat="1" ht="15" hidden="1">
      <c r="A217" s="8"/>
      <c r="B217"/>
      <c r="C217" s="4" t="s">
        <v>908</v>
      </c>
      <c r="D217" s="4"/>
      <c r="E217" s="4"/>
      <c r="F217" s="4"/>
      <c r="G217" s="4"/>
      <c r="H217" s="4"/>
      <c r="I217" s="4"/>
      <c r="J217"/>
      <c r="K217" s="31"/>
    </row>
    <row r="218" spans="1:11" s="2" customFormat="1" ht="15" hidden="1">
      <c r="A218" s="8"/>
      <c r="B218"/>
      <c r="C218" s="4" t="s">
        <v>909</v>
      </c>
      <c r="D218" s="4"/>
      <c r="E218" s="4"/>
      <c r="F218" s="4"/>
      <c r="G218" s="4"/>
      <c r="H218" s="4"/>
      <c r="I218" s="4"/>
      <c r="J218"/>
      <c r="K218" s="31"/>
    </row>
    <row r="219" spans="1:11" s="2" customFormat="1" ht="15" hidden="1">
      <c r="A219" s="8"/>
      <c r="B219"/>
      <c r="C219" s="4" t="s">
        <v>910</v>
      </c>
      <c r="D219" s="4"/>
      <c r="E219" s="4"/>
      <c r="F219" s="4"/>
      <c r="G219" s="4"/>
      <c r="H219" s="4"/>
      <c r="I219" s="4"/>
      <c r="J219"/>
      <c r="K219" s="31"/>
    </row>
    <row r="220" spans="1:11" ht="15" hidden="1">
      <c r="A220" s="8"/>
      <c r="C220" s="4" t="s">
        <v>911</v>
      </c>
      <c r="D220" s="4"/>
      <c r="E220" s="4"/>
      <c r="F220" s="4"/>
      <c r="G220" s="4"/>
      <c r="H220" s="4"/>
      <c r="I220" s="4"/>
    </row>
    <row r="221" spans="1:11" ht="15" hidden="1">
      <c r="A221" s="8"/>
      <c r="C221" s="4" t="s">
        <v>912</v>
      </c>
      <c r="D221" s="4"/>
      <c r="E221" s="4"/>
      <c r="F221" s="4"/>
      <c r="G221" s="4"/>
      <c r="H221" s="4"/>
      <c r="I221" s="4"/>
    </row>
    <row r="222" spans="1:11" ht="15" hidden="1">
      <c r="A222" s="8"/>
      <c r="C222" s="4" t="s">
        <v>913</v>
      </c>
      <c r="D222" s="4"/>
      <c r="E222" s="4"/>
      <c r="F222" s="4"/>
      <c r="G222" s="4"/>
      <c r="H222" s="4"/>
      <c r="I222" s="4"/>
    </row>
    <row r="223" spans="1:11" ht="15" hidden="1">
      <c r="A223" s="8"/>
      <c r="C223" s="4" t="s">
        <v>914</v>
      </c>
      <c r="D223" s="4"/>
      <c r="E223" s="4"/>
      <c r="F223" s="4"/>
      <c r="G223" s="4"/>
      <c r="H223" s="4"/>
      <c r="I223" s="4"/>
    </row>
    <row r="224" spans="1:11" ht="15" hidden="1">
      <c r="A224" s="8"/>
      <c r="C224" s="4" t="s">
        <v>915</v>
      </c>
      <c r="D224" s="4"/>
      <c r="E224" s="4"/>
      <c r="F224" s="4"/>
      <c r="G224" s="4"/>
      <c r="H224" s="4"/>
      <c r="I224" s="4"/>
    </row>
    <row r="225" spans="1:9" ht="15" hidden="1">
      <c r="A225" s="8"/>
      <c r="C225" s="4" t="s">
        <v>916</v>
      </c>
      <c r="D225" s="4"/>
      <c r="E225" s="4"/>
      <c r="F225" s="4"/>
      <c r="G225" s="4"/>
      <c r="H225" s="4"/>
      <c r="I225" s="4"/>
    </row>
    <row r="226" spans="1:9" ht="15" hidden="1">
      <c r="A226" s="8"/>
      <c r="C226" s="4" t="s">
        <v>917</v>
      </c>
      <c r="D226" s="4"/>
      <c r="E226" s="4"/>
      <c r="F226" s="4"/>
      <c r="G226" s="4"/>
      <c r="H226" s="4"/>
      <c r="I226" s="4"/>
    </row>
    <row r="227" spans="1:9" ht="15" hidden="1">
      <c r="A227" s="8"/>
      <c r="C227" s="4" t="s">
        <v>918</v>
      </c>
      <c r="D227" s="4"/>
      <c r="E227" s="4"/>
      <c r="F227" s="4"/>
      <c r="G227" s="4"/>
      <c r="H227" s="4"/>
      <c r="I227" s="4"/>
    </row>
    <row r="228" spans="1:9" ht="15" hidden="1">
      <c r="A228" s="8"/>
      <c r="C228" s="4" t="s">
        <v>919</v>
      </c>
      <c r="D228" s="4"/>
      <c r="E228" s="4"/>
      <c r="F228" s="4"/>
      <c r="G228" s="4"/>
      <c r="H228" s="4"/>
      <c r="I228" s="4"/>
    </row>
    <row r="229" spans="1:9" ht="15" hidden="1">
      <c r="A229" s="8"/>
      <c r="C229" s="4" t="s">
        <v>920</v>
      </c>
      <c r="D229" s="4"/>
      <c r="E229" s="4"/>
      <c r="F229" s="4"/>
      <c r="G229" s="4"/>
      <c r="H229" s="4"/>
      <c r="I229" s="4"/>
    </row>
    <row r="230" spans="1:9" ht="15" hidden="1">
      <c r="A230" s="8"/>
      <c r="C230" s="4" t="s">
        <v>123</v>
      </c>
      <c r="D230" s="4"/>
      <c r="E230" s="4"/>
      <c r="F230" s="4"/>
      <c r="G230" s="4"/>
      <c r="H230" s="4"/>
      <c r="I230" s="4"/>
    </row>
    <row r="231" spans="1:9" ht="15" hidden="1">
      <c r="A231" s="8"/>
      <c r="C231" s="4" t="s">
        <v>124</v>
      </c>
      <c r="D231" s="4"/>
      <c r="E231" s="4"/>
      <c r="F231" s="4"/>
      <c r="G231" s="4"/>
      <c r="H231" s="4"/>
      <c r="I231" s="4"/>
    </row>
    <row r="232" spans="1:9" ht="15" hidden="1">
      <c r="A232" s="8"/>
      <c r="C232" s="4" t="s">
        <v>921</v>
      </c>
      <c r="D232" s="4"/>
      <c r="E232" s="4"/>
      <c r="F232" s="4"/>
      <c r="G232" s="4"/>
      <c r="H232" s="4"/>
      <c r="I232" s="4"/>
    </row>
    <row r="233" spans="1:9" ht="15" hidden="1">
      <c r="A233" s="8"/>
      <c r="C233" s="4" t="s">
        <v>922</v>
      </c>
      <c r="D233" s="4"/>
      <c r="E233" s="4"/>
      <c r="F233" s="4"/>
      <c r="G233" s="4"/>
      <c r="H233" s="4"/>
      <c r="I233" s="4"/>
    </row>
    <row r="234" spans="1:9" ht="15" hidden="1">
      <c r="A234" s="8"/>
      <c r="C234" s="4" t="s">
        <v>923</v>
      </c>
      <c r="F234" s="4"/>
      <c r="G234" s="4"/>
      <c r="H234" s="4"/>
      <c r="I234" s="4"/>
    </row>
    <row r="235" spans="1:9" ht="15" hidden="1">
      <c r="A235" s="8"/>
      <c r="C235" s="4" t="s">
        <v>924</v>
      </c>
      <c r="F235" s="4"/>
      <c r="G235" s="4"/>
      <c r="H235" s="4"/>
      <c r="I235" s="4"/>
    </row>
    <row r="236" spans="1:9" ht="15" hidden="1">
      <c r="A236" s="8"/>
      <c r="C236" s="4" t="s">
        <v>925</v>
      </c>
      <c r="F236" s="4"/>
      <c r="G236" s="4"/>
      <c r="H236" s="4"/>
      <c r="I236" s="4"/>
    </row>
    <row r="237" spans="1:9" ht="15" hidden="1">
      <c r="A237" s="8"/>
      <c r="C237" s="4" t="s">
        <v>926</v>
      </c>
      <c r="F237" s="4"/>
      <c r="G237" s="4"/>
      <c r="H237" s="4"/>
      <c r="I237" s="4"/>
    </row>
    <row r="238" spans="1:9" ht="15" hidden="1">
      <c r="A238" s="8"/>
      <c r="C238" s="4" t="s">
        <v>927</v>
      </c>
      <c r="F238" s="4"/>
      <c r="G238" s="4"/>
      <c r="H238" s="4"/>
      <c r="I238" s="4"/>
    </row>
    <row r="239" spans="1:9" ht="15" hidden="1">
      <c r="A239" s="8"/>
      <c r="C239" s="4" t="s">
        <v>928</v>
      </c>
      <c r="F239" s="4"/>
      <c r="G239" s="4"/>
      <c r="H239" s="4"/>
      <c r="I239" s="4"/>
    </row>
    <row r="240" spans="1:9" ht="15" hidden="1">
      <c r="A240" s="8"/>
      <c r="C240" s="4" t="s">
        <v>929</v>
      </c>
      <c r="F240" s="4"/>
      <c r="G240" s="4"/>
      <c r="H240" s="4"/>
      <c r="I240" s="4"/>
    </row>
    <row r="241" spans="1:9" ht="15" hidden="1">
      <c r="A241" s="8"/>
      <c r="C241" s="4" t="s">
        <v>930</v>
      </c>
      <c r="F241" s="4"/>
      <c r="G241" s="4"/>
      <c r="H241" s="4"/>
      <c r="I241" s="4"/>
    </row>
    <row r="242" spans="1:9" ht="15" hidden="1">
      <c r="A242" s="8"/>
      <c r="C242" s="4" t="s">
        <v>931</v>
      </c>
      <c r="F242" s="4"/>
      <c r="G242" s="4"/>
      <c r="H242" s="4"/>
      <c r="I242" s="4"/>
    </row>
    <row r="243" spans="1:9" ht="15" hidden="1">
      <c r="A243" s="8"/>
      <c r="C243" s="4" t="s">
        <v>125</v>
      </c>
      <c r="F243" s="4"/>
      <c r="G243" s="4"/>
      <c r="H243" s="4"/>
      <c r="I243" s="4"/>
    </row>
    <row r="244" spans="1:9" ht="15" hidden="1">
      <c r="A244" s="8"/>
      <c r="C244" s="4" t="s">
        <v>126</v>
      </c>
      <c r="F244" s="4"/>
      <c r="G244" s="4"/>
      <c r="H244" s="4"/>
      <c r="I244" s="4"/>
    </row>
    <row r="245" spans="1:9" ht="15" hidden="1">
      <c r="A245" s="8"/>
      <c r="C245" s="4" t="s">
        <v>932</v>
      </c>
      <c r="F245" s="4"/>
      <c r="G245" s="4"/>
      <c r="H245" s="4"/>
      <c r="I245" s="4"/>
    </row>
    <row r="246" spans="1:9" ht="15" hidden="1">
      <c r="A246" s="8"/>
      <c r="C246" s="4" t="s">
        <v>128</v>
      </c>
      <c r="F246" s="4"/>
      <c r="G246" s="4"/>
      <c r="H246" s="4"/>
      <c r="I246" s="4"/>
    </row>
    <row r="247" spans="1:9" ht="15" hidden="1">
      <c r="A247" s="8"/>
      <c r="C247" s="4" t="s">
        <v>129</v>
      </c>
      <c r="F247" s="4"/>
      <c r="G247" s="4"/>
      <c r="H247" s="4"/>
      <c r="I247" s="4"/>
    </row>
    <row r="248" spans="1:9" ht="15" hidden="1">
      <c r="A248" s="8"/>
      <c r="C248" s="4" t="s">
        <v>130</v>
      </c>
      <c r="F248" s="4"/>
      <c r="G248" s="4"/>
      <c r="H248" s="4"/>
      <c r="I248" s="4"/>
    </row>
    <row r="249" spans="1:9" ht="15" hidden="1">
      <c r="A249" s="8"/>
      <c r="C249" s="4" t="s">
        <v>131</v>
      </c>
      <c r="F249" s="4"/>
      <c r="G249" s="4"/>
      <c r="H249" s="4"/>
      <c r="I249" s="4"/>
    </row>
    <row r="250" spans="1:9" ht="15" hidden="1">
      <c r="A250" s="8"/>
      <c r="C250" s="4" t="s">
        <v>132</v>
      </c>
      <c r="F250" s="4"/>
      <c r="G250" s="4"/>
      <c r="H250" s="4"/>
      <c r="I250" s="4"/>
    </row>
    <row r="251" spans="1:9" ht="15" hidden="1">
      <c r="A251" s="8"/>
      <c r="C251" s="4" t="s">
        <v>133</v>
      </c>
      <c r="F251" s="4"/>
      <c r="G251" s="4"/>
      <c r="H251" s="4"/>
      <c r="I251" s="4"/>
    </row>
    <row r="252" spans="1:9" ht="15" hidden="1">
      <c r="A252" s="8"/>
      <c r="C252" s="4" t="s">
        <v>134</v>
      </c>
      <c r="F252" s="4"/>
      <c r="G252" s="4"/>
      <c r="H252" s="4"/>
      <c r="I252" s="4"/>
    </row>
    <row r="253" spans="1:9" ht="15" hidden="1">
      <c r="A253" s="8"/>
      <c r="C253" s="4" t="s">
        <v>135</v>
      </c>
      <c r="F253" s="4"/>
      <c r="G253" s="4"/>
      <c r="H253" s="4"/>
      <c r="I253" s="4"/>
    </row>
    <row r="254" spans="1:9" ht="15" hidden="1">
      <c r="A254" s="8"/>
      <c r="C254" s="4" t="s">
        <v>136</v>
      </c>
      <c r="F254" s="4"/>
      <c r="G254" s="4"/>
      <c r="H254" s="4"/>
      <c r="I254" s="4"/>
    </row>
    <row r="255" spans="1:9" ht="15" hidden="1">
      <c r="A255" s="8"/>
      <c r="C255" s="4" t="s">
        <v>137</v>
      </c>
      <c r="F255" s="4"/>
      <c r="G255" s="4"/>
      <c r="H255" s="4"/>
      <c r="I255" s="4"/>
    </row>
    <row r="256" spans="1:9" ht="15" hidden="1">
      <c r="A256" s="8"/>
      <c r="C256" s="4" t="s">
        <v>138</v>
      </c>
      <c r="F256" s="4"/>
      <c r="G256" s="4"/>
      <c r="H256" s="4"/>
      <c r="I256" s="4"/>
    </row>
    <row r="257" spans="1:9" ht="15" hidden="1">
      <c r="A257" s="8"/>
      <c r="C257" s="4" t="s">
        <v>139</v>
      </c>
      <c r="F257" s="4"/>
      <c r="G257" s="4"/>
      <c r="H257" s="4"/>
      <c r="I257" s="4"/>
    </row>
    <row r="258" spans="1:9" ht="15" hidden="1">
      <c r="A258" s="8"/>
      <c r="C258" s="4" t="s">
        <v>140</v>
      </c>
      <c r="F258" s="4"/>
      <c r="G258" s="4"/>
      <c r="H258" s="4"/>
      <c r="I258" s="4"/>
    </row>
    <row r="259" spans="1:9" ht="15" hidden="1">
      <c r="A259" s="8"/>
      <c r="C259" s="4" t="s">
        <v>141</v>
      </c>
      <c r="F259" s="4"/>
      <c r="G259" s="4"/>
      <c r="H259" s="4"/>
      <c r="I259" s="4"/>
    </row>
    <row r="260" spans="1:9" ht="15" hidden="1">
      <c r="A260" s="8"/>
      <c r="C260" s="4" t="s">
        <v>142</v>
      </c>
      <c r="F260" s="4"/>
      <c r="G260" s="4"/>
      <c r="H260" s="4"/>
      <c r="I260" s="4"/>
    </row>
    <row r="261" spans="1:9" ht="15" hidden="1">
      <c r="A261" s="8"/>
      <c r="C261" s="4" t="s">
        <v>143</v>
      </c>
      <c r="F261" s="4"/>
      <c r="G261" s="4"/>
      <c r="H261" s="4"/>
      <c r="I261" s="4"/>
    </row>
    <row r="262" spans="1:9" ht="15" hidden="1">
      <c r="A262" s="8"/>
      <c r="C262" s="4" t="s">
        <v>144</v>
      </c>
      <c r="F262" s="4"/>
      <c r="G262" s="4"/>
      <c r="H262" s="4"/>
      <c r="I262" s="4"/>
    </row>
    <row r="263" spans="1:9" ht="15" hidden="1">
      <c r="A263" s="8"/>
      <c r="C263" s="4" t="s">
        <v>145</v>
      </c>
      <c r="F263" s="4"/>
      <c r="G263" s="4"/>
      <c r="H263" s="4"/>
      <c r="I263" s="4"/>
    </row>
    <row r="264" spans="1:9" ht="15" hidden="1">
      <c r="A264" s="8"/>
      <c r="C264" s="4" t="s">
        <v>933</v>
      </c>
      <c r="F264" s="4"/>
      <c r="G264" s="4"/>
      <c r="H264" s="4"/>
      <c r="I264" s="4"/>
    </row>
    <row r="265" spans="1:9" ht="15" hidden="1">
      <c r="A265" s="8"/>
      <c r="C265" s="4" t="s">
        <v>934</v>
      </c>
      <c r="F265" s="4"/>
      <c r="G265" s="4"/>
      <c r="H265" s="4"/>
      <c r="I265" s="4"/>
    </row>
    <row r="266" spans="1:9" ht="15" hidden="1">
      <c r="A266" s="8"/>
      <c r="C266" s="4" t="s">
        <v>935</v>
      </c>
      <c r="F266" s="4"/>
      <c r="G266" s="4"/>
      <c r="H266" s="4"/>
      <c r="I266" s="4"/>
    </row>
    <row r="267" spans="1:9" ht="15" hidden="1">
      <c r="A267" s="8"/>
      <c r="C267" s="4" t="s">
        <v>936</v>
      </c>
      <c r="F267" s="4"/>
      <c r="G267" s="4"/>
      <c r="H267" s="4"/>
      <c r="I267" s="4"/>
    </row>
    <row r="268" spans="1:9" ht="15" hidden="1">
      <c r="A268" s="8"/>
      <c r="C268" s="4" t="s">
        <v>937</v>
      </c>
      <c r="F268" s="4"/>
      <c r="G268" s="4"/>
      <c r="H268" s="4"/>
      <c r="I268" s="4"/>
    </row>
    <row r="269" spans="1:9" ht="15" hidden="1">
      <c r="A269" s="8"/>
      <c r="C269" s="4" t="s">
        <v>938</v>
      </c>
      <c r="F269" s="4"/>
      <c r="G269" s="4"/>
      <c r="H269" s="4"/>
      <c r="I269" s="4"/>
    </row>
    <row r="270" spans="1:9" ht="15" hidden="1">
      <c r="A270" s="8"/>
      <c r="C270" s="4" t="s">
        <v>939</v>
      </c>
      <c r="F270" s="4"/>
      <c r="G270" s="4"/>
      <c r="H270" s="4"/>
      <c r="I270" s="4"/>
    </row>
    <row r="271" spans="1:9" ht="15" hidden="1">
      <c r="A271" s="8"/>
      <c r="C271" s="4" t="s">
        <v>940</v>
      </c>
      <c r="F271" s="4"/>
      <c r="G271" s="4"/>
      <c r="H271" s="4"/>
      <c r="I271" s="4"/>
    </row>
    <row r="272" spans="1:9" ht="15" hidden="1">
      <c r="A272" s="8"/>
      <c r="C272" s="4" t="s">
        <v>941</v>
      </c>
      <c r="F272" s="4"/>
      <c r="G272" s="4"/>
      <c r="H272" s="4"/>
      <c r="I272" s="4"/>
    </row>
    <row r="273" spans="1:9" ht="15">
      <c r="A273" s="8"/>
      <c r="C273" s="4" t="s">
        <v>146</v>
      </c>
      <c r="D273" t="s">
        <v>4</v>
      </c>
      <c r="E273" t="s">
        <v>4</v>
      </c>
      <c r="F273" s="4" t="s">
        <v>17</v>
      </c>
      <c r="G273" s="4" t="s">
        <v>3</v>
      </c>
      <c r="H273" s="4"/>
      <c r="I273" s="4"/>
    </row>
    <row r="274" spans="1:9" ht="15" hidden="1">
      <c r="A274" s="8"/>
      <c r="C274" s="4" t="s">
        <v>942</v>
      </c>
      <c r="F274" s="4"/>
      <c r="G274" s="4"/>
      <c r="H274" s="4"/>
      <c r="I274" s="4"/>
    </row>
    <row r="275" spans="1:9" ht="15" hidden="1">
      <c r="A275" s="8"/>
      <c r="C275" s="4" t="s">
        <v>943</v>
      </c>
      <c r="F275" s="4"/>
      <c r="G275" s="4"/>
      <c r="H275" s="4"/>
      <c r="I275" s="4"/>
    </row>
    <row r="276" spans="1:9" ht="15" hidden="1">
      <c r="A276" s="8"/>
      <c r="C276" s="4" t="s">
        <v>944</v>
      </c>
      <c r="F276" s="4"/>
      <c r="G276" s="4"/>
      <c r="H276" s="4"/>
      <c r="I276" s="4"/>
    </row>
    <row r="277" spans="1:9" ht="15" hidden="1">
      <c r="A277" s="8"/>
      <c r="C277" s="4" t="s">
        <v>945</v>
      </c>
      <c r="F277" s="4"/>
      <c r="G277" s="4"/>
      <c r="H277" s="4"/>
      <c r="I277" s="4"/>
    </row>
    <row r="278" spans="1:9" ht="15" hidden="1">
      <c r="A278" s="8"/>
      <c r="C278" s="4" t="s">
        <v>946</v>
      </c>
      <c r="F278" s="4"/>
      <c r="G278" s="4"/>
      <c r="H278" s="4"/>
      <c r="I278" s="4"/>
    </row>
    <row r="279" spans="1:9" ht="15" hidden="1">
      <c r="A279" s="8"/>
      <c r="C279" s="4" t="s">
        <v>947</v>
      </c>
      <c r="F279" s="4"/>
      <c r="G279" s="4"/>
      <c r="H279" s="4"/>
      <c r="I279" s="4"/>
    </row>
    <row r="280" spans="1:9" ht="15" hidden="1">
      <c r="A280" s="8"/>
      <c r="C280" s="4" t="s">
        <v>948</v>
      </c>
      <c r="F280" s="4"/>
      <c r="G280" s="4"/>
      <c r="H280" s="4"/>
      <c r="I280" s="4"/>
    </row>
    <row r="281" spans="1:9" ht="15" hidden="1">
      <c r="A281" s="8"/>
      <c r="C281" s="4" t="s">
        <v>949</v>
      </c>
      <c r="F281" s="4"/>
      <c r="G281" s="4"/>
      <c r="H281" s="4"/>
      <c r="I281" s="4"/>
    </row>
    <row r="282" spans="1:9" ht="15" hidden="1">
      <c r="A282" s="8"/>
      <c r="C282" s="4" t="s">
        <v>950</v>
      </c>
      <c r="F282" s="4"/>
      <c r="G282" s="4"/>
      <c r="H282" s="4"/>
      <c r="I282" s="4"/>
    </row>
    <row r="283" spans="1:9" ht="15" hidden="1">
      <c r="A283" s="8"/>
      <c r="C283" s="4" t="s">
        <v>951</v>
      </c>
      <c r="F283" s="4"/>
      <c r="G283" s="4"/>
      <c r="H283" s="4"/>
      <c r="I283" s="4"/>
    </row>
    <row r="284" spans="1:9" ht="15" hidden="1">
      <c r="A284" s="8"/>
      <c r="C284" s="4" t="s">
        <v>952</v>
      </c>
      <c r="F284" s="4"/>
      <c r="G284" s="4"/>
      <c r="H284" s="4"/>
      <c r="I284" s="4"/>
    </row>
    <row r="285" spans="1:9" ht="15" hidden="1">
      <c r="A285" s="8"/>
      <c r="C285" s="4" t="s">
        <v>953</v>
      </c>
      <c r="F285" s="4"/>
      <c r="G285" s="4"/>
      <c r="H285" s="4"/>
      <c r="I285" s="4"/>
    </row>
    <row r="286" spans="1:9" ht="15" hidden="1">
      <c r="A286" s="8"/>
      <c r="C286" s="4" t="s">
        <v>954</v>
      </c>
      <c r="F286" s="4"/>
      <c r="G286" s="4"/>
      <c r="H286" s="4"/>
      <c r="I286" s="4"/>
    </row>
    <row r="287" spans="1:9" ht="15" hidden="1">
      <c r="A287" s="8"/>
      <c r="C287" s="4" t="s">
        <v>955</v>
      </c>
      <c r="F287" s="4"/>
      <c r="G287" s="4"/>
      <c r="H287" s="4"/>
      <c r="I287" s="4"/>
    </row>
    <row r="288" spans="1:9" ht="15" hidden="1">
      <c r="A288" s="8"/>
      <c r="C288" s="4" t="s">
        <v>956</v>
      </c>
      <c r="F288" s="4"/>
      <c r="G288" s="4"/>
      <c r="H288" s="4"/>
      <c r="I288" s="4"/>
    </row>
    <row r="289" spans="1:9" ht="15" hidden="1">
      <c r="A289" s="8"/>
      <c r="C289" s="4" t="s">
        <v>957</v>
      </c>
      <c r="F289" s="4"/>
      <c r="G289" s="4"/>
      <c r="H289" s="4"/>
      <c r="I289" s="4"/>
    </row>
    <row r="290" spans="1:9" ht="15" hidden="1">
      <c r="A290" s="8"/>
      <c r="C290" s="4" t="s">
        <v>958</v>
      </c>
      <c r="F290" s="4"/>
      <c r="G290" s="4"/>
      <c r="H290" s="4"/>
      <c r="I290" s="4"/>
    </row>
    <row r="291" spans="1:9" ht="15" hidden="1">
      <c r="A291" s="8"/>
      <c r="C291" s="4" t="s">
        <v>959</v>
      </c>
      <c r="F291" s="4"/>
      <c r="G291" s="4"/>
      <c r="H291" s="4"/>
      <c r="I291" s="4"/>
    </row>
    <row r="292" spans="1:9" ht="15" hidden="1">
      <c r="A292" s="8"/>
      <c r="C292" s="4" t="s">
        <v>960</v>
      </c>
      <c r="F292" s="4"/>
      <c r="G292" s="4"/>
      <c r="H292" s="4"/>
      <c r="I292" s="4"/>
    </row>
    <row r="293" spans="1:9" ht="15" hidden="1">
      <c r="A293" s="8"/>
      <c r="C293" s="4" t="s">
        <v>961</v>
      </c>
      <c r="F293" s="4"/>
      <c r="G293" s="4"/>
      <c r="H293" s="4"/>
      <c r="I293" s="4"/>
    </row>
    <row r="294" spans="1:9" ht="15" hidden="1">
      <c r="A294" s="8"/>
      <c r="C294" s="4" t="s">
        <v>962</v>
      </c>
      <c r="F294" s="4"/>
      <c r="G294" s="4"/>
      <c r="H294" s="4"/>
      <c r="I294" s="4"/>
    </row>
    <row r="295" spans="1:9" ht="15" hidden="1">
      <c r="A295" s="8"/>
      <c r="C295" s="4" t="s">
        <v>963</v>
      </c>
      <c r="F295" s="4"/>
      <c r="G295" s="4"/>
      <c r="H295" s="4"/>
      <c r="I295" s="4"/>
    </row>
    <row r="296" spans="1:9" ht="15" hidden="1">
      <c r="A296" s="8"/>
      <c r="C296" s="4" t="s">
        <v>964</v>
      </c>
      <c r="F296" s="4"/>
      <c r="G296" s="4"/>
      <c r="H296" s="4"/>
      <c r="I296" s="4"/>
    </row>
    <row r="297" spans="1:9" ht="15" hidden="1">
      <c r="A297" s="8"/>
      <c r="C297" s="4" t="s">
        <v>965</v>
      </c>
      <c r="F297" s="4"/>
      <c r="G297" s="4"/>
      <c r="H297" s="4"/>
      <c r="I297" s="4"/>
    </row>
    <row r="298" spans="1:9" ht="15" hidden="1">
      <c r="A298" s="8"/>
      <c r="C298" s="4" t="s">
        <v>966</v>
      </c>
      <c r="F298" s="4"/>
      <c r="G298" s="4"/>
      <c r="H298" s="4"/>
      <c r="I298" s="4"/>
    </row>
    <row r="299" spans="1:9" ht="15" hidden="1">
      <c r="A299" s="8"/>
      <c r="C299" s="4" t="s">
        <v>967</v>
      </c>
      <c r="F299" s="4"/>
      <c r="G299" s="4"/>
      <c r="H299" s="4"/>
      <c r="I299" s="4"/>
    </row>
    <row r="300" spans="1:9" ht="15" hidden="1">
      <c r="A300" s="8"/>
      <c r="C300" s="4" t="s">
        <v>968</v>
      </c>
      <c r="F300" s="4"/>
      <c r="G300" s="4"/>
      <c r="H300" s="4"/>
      <c r="I300" s="4"/>
    </row>
    <row r="301" spans="1:9" ht="15" hidden="1">
      <c r="A301" s="8"/>
      <c r="C301" s="4" t="s">
        <v>969</v>
      </c>
      <c r="F301" s="4"/>
      <c r="G301" s="4"/>
      <c r="H301" s="4"/>
      <c r="I301" s="4"/>
    </row>
    <row r="302" spans="1:9" ht="15" hidden="1">
      <c r="A302" s="8"/>
      <c r="C302" s="4" t="s">
        <v>970</v>
      </c>
      <c r="F302" s="4"/>
      <c r="G302" s="4"/>
      <c r="H302" s="4"/>
      <c r="I302" s="4"/>
    </row>
    <row r="303" spans="1:9" ht="15" hidden="1">
      <c r="A303" s="8"/>
      <c r="C303" s="4" t="s">
        <v>971</v>
      </c>
      <c r="F303" s="4"/>
      <c r="G303" s="4"/>
      <c r="H303" s="4"/>
      <c r="I303" s="4"/>
    </row>
    <row r="304" spans="1:9" ht="15" hidden="1">
      <c r="A304" s="8"/>
      <c r="C304" s="4" t="s">
        <v>972</v>
      </c>
      <c r="F304" s="4"/>
      <c r="G304" s="4"/>
      <c r="H304" s="4"/>
      <c r="I304" s="4"/>
    </row>
    <row r="305" spans="1:9" ht="15" hidden="1">
      <c r="A305" s="8"/>
      <c r="C305" s="4" t="s">
        <v>973</v>
      </c>
      <c r="F305" s="4"/>
      <c r="G305" s="4"/>
      <c r="H305" s="4"/>
      <c r="I305" s="4"/>
    </row>
    <row r="306" spans="1:9" ht="15" hidden="1">
      <c r="A306" s="8"/>
      <c r="C306" s="4" t="s">
        <v>974</v>
      </c>
      <c r="F306" s="4"/>
      <c r="G306" s="4"/>
      <c r="H306" s="4"/>
      <c r="I306" s="4"/>
    </row>
    <row r="307" spans="1:9" ht="15" hidden="1">
      <c r="A307" s="8"/>
      <c r="C307" s="4" t="s">
        <v>975</v>
      </c>
      <c r="F307" s="4"/>
      <c r="G307" s="4"/>
      <c r="H307" s="4"/>
      <c r="I307" s="4"/>
    </row>
    <row r="308" spans="1:9" ht="15" hidden="1">
      <c r="A308" s="8"/>
      <c r="C308" s="4" t="s">
        <v>976</v>
      </c>
      <c r="F308" s="4"/>
      <c r="G308" s="4"/>
      <c r="H308" s="4"/>
      <c r="I308" s="4"/>
    </row>
    <row r="309" spans="1:9" ht="15" hidden="1">
      <c r="A309" s="8"/>
      <c r="C309" s="4" t="s">
        <v>977</v>
      </c>
      <c r="F309" s="4"/>
      <c r="G309" s="4"/>
      <c r="H309" s="4"/>
      <c r="I309" s="4"/>
    </row>
    <row r="310" spans="1:9" ht="15" hidden="1">
      <c r="A310" s="8"/>
      <c r="C310" s="4" t="s">
        <v>978</v>
      </c>
      <c r="F310" s="4"/>
      <c r="G310" s="4"/>
      <c r="H310" s="4"/>
      <c r="I310" s="4"/>
    </row>
    <row r="311" spans="1:9" ht="15" hidden="1">
      <c r="A311" s="8"/>
      <c r="C311" s="4" t="s">
        <v>979</v>
      </c>
      <c r="F311" s="4"/>
      <c r="G311" s="4"/>
      <c r="H311" s="4"/>
      <c r="I311" s="4"/>
    </row>
    <row r="312" spans="1:9" ht="15" hidden="1">
      <c r="A312" s="8"/>
      <c r="C312" s="4" t="s">
        <v>980</v>
      </c>
      <c r="F312" s="4"/>
      <c r="G312" s="4"/>
      <c r="H312" s="4"/>
      <c r="I312" s="4"/>
    </row>
    <row r="313" spans="1:9" ht="15" hidden="1">
      <c r="A313" s="8"/>
      <c r="C313" s="4" t="s">
        <v>981</v>
      </c>
      <c r="F313" s="4"/>
      <c r="G313" s="4"/>
      <c r="H313" s="4"/>
      <c r="I313" s="4"/>
    </row>
    <row r="314" spans="1:9" ht="15" hidden="1">
      <c r="A314" s="8"/>
      <c r="C314" s="4" t="s">
        <v>982</v>
      </c>
      <c r="F314" s="4"/>
      <c r="G314" s="4"/>
      <c r="H314" s="4"/>
      <c r="I314" s="4"/>
    </row>
    <row r="315" spans="1:9" ht="15" hidden="1">
      <c r="A315" s="8"/>
      <c r="C315" s="4" t="s">
        <v>983</v>
      </c>
      <c r="F315" s="4"/>
      <c r="G315" s="4"/>
      <c r="H315" s="4"/>
      <c r="I315" s="4"/>
    </row>
    <row r="316" spans="1:9" ht="15" hidden="1">
      <c r="A316" s="8"/>
      <c r="C316" s="4" t="s">
        <v>984</v>
      </c>
      <c r="F316" s="4"/>
      <c r="G316" s="4"/>
      <c r="H316" s="4"/>
      <c r="I316" s="4"/>
    </row>
    <row r="317" spans="1:9" ht="15" hidden="1">
      <c r="A317" s="8"/>
      <c r="C317" s="4" t="s">
        <v>985</v>
      </c>
      <c r="F317" s="4"/>
      <c r="G317" s="4"/>
      <c r="H317" s="4"/>
      <c r="I317" s="4"/>
    </row>
    <row r="318" spans="1:9" ht="15" hidden="1">
      <c r="A318" s="8"/>
      <c r="C318" s="4" t="s">
        <v>986</v>
      </c>
      <c r="F318" s="4"/>
      <c r="G318" s="4"/>
      <c r="H318" s="4"/>
      <c r="I318" s="4"/>
    </row>
    <row r="319" spans="1:9" ht="15" hidden="1">
      <c r="A319" s="8"/>
      <c r="C319" s="4" t="s">
        <v>987</v>
      </c>
      <c r="F319" s="4"/>
      <c r="G319" s="4"/>
      <c r="H319" s="4"/>
      <c r="I319" s="4"/>
    </row>
    <row r="320" spans="1:9" ht="15" hidden="1">
      <c r="A320" s="8"/>
      <c r="C320" s="4" t="s">
        <v>988</v>
      </c>
      <c r="F320" s="4"/>
      <c r="G320" s="4"/>
      <c r="H320" s="4"/>
      <c r="I320" s="4"/>
    </row>
    <row r="321" spans="1:9" ht="15" hidden="1">
      <c r="A321" s="8"/>
      <c r="C321" s="4" t="s">
        <v>989</v>
      </c>
      <c r="F321" s="4"/>
      <c r="G321" s="4"/>
      <c r="H321" s="4"/>
      <c r="I321" s="4"/>
    </row>
    <row r="322" spans="1:9" ht="15" hidden="1">
      <c r="A322" s="8"/>
      <c r="C322" s="4" t="s">
        <v>990</v>
      </c>
      <c r="F322" s="4"/>
      <c r="G322" s="4"/>
      <c r="H322" s="4"/>
      <c r="I322" s="4"/>
    </row>
    <row r="323" spans="1:9" ht="15" hidden="1">
      <c r="A323" s="8"/>
      <c r="C323" s="4" t="s">
        <v>991</v>
      </c>
      <c r="F323" s="4"/>
      <c r="G323" s="4"/>
      <c r="H323" s="4"/>
      <c r="I323" s="4"/>
    </row>
    <row r="324" spans="1:9" ht="15" hidden="1">
      <c r="A324" s="8"/>
      <c r="C324" s="4" t="s">
        <v>992</v>
      </c>
      <c r="F324" s="4"/>
      <c r="G324" s="4"/>
      <c r="H324" s="4"/>
      <c r="I324" s="4"/>
    </row>
    <row r="325" spans="1:9" ht="15" hidden="1">
      <c r="A325" s="8"/>
      <c r="C325" s="4" t="s">
        <v>993</v>
      </c>
      <c r="F325" s="4"/>
      <c r="G325" s="4"/>
      <c r="H325" s="4"/>
      <c r="I325" s="4"/>
    </row>
    <row r="326" spans="1:9" ht="15" hidden="1">
      <c r="A326" s="8"/>
      <c r="C326" s="4" t="s">
        <v>994</v>
      </c>
      <c r="F326" s="4"/>
      <c r="G326" s="4"/>
      <c r="H326" s="4"/>
      <c r="I326" s="4"/>
    </row>
    <row r="327" spans="1:9" ht="15" hidden="1">
      <c r="A327" s="8"/>
      <c r="C327" s="4" t="s">
        <v>995</v>
      </c>
      <c r="F327" s="4"/>
      <c r="G327" s="4"/>
      <c r="H327" s="4"/>
      <c r="I327" s="4"/>
    </row>
    <row r="328" spans="1:9" ht="15">
      <c r="A328" s="8"/>
      <c r="C328" s="4" t="s">
        <v>147</v>
      </c>
      <c r="D328" t="s">
        <v>4</v>
      </c>
      <c r="E328" t="s">
        <v>4</v>
      </c>
      <c r="F328" s="4" t="s">
        <v>15</v>
      </c>
      <c r="G328" s="4"/>
      <c r="H328" s="4"/>
      <c r="I328" s="4"/>
    </row>
    <row r="329" spans="1:9" ht="15">
      <c r="A329" s="8"/>
      <c r="C329" s="4" t="s">
        <v>148</v>
      </c>
      <c r="D329" t="s">
        <v>4</v>
      </c>
      <c r="E329" t="s">
        <v>4</v>
      </c>
      <c r="F329" s="4" t="s">
        <v>15</v>
      </c>
      <c r="G329" s="4"/>
      <c r="H329" s="4"/>
      <c r="I329" s="4"/>
    </row>
    <row r="330" spans="1:9" ht="15" hidden="1">
      <c r="A330" s="8"/>
      <c r="C330" s="4" t="s">
        <v>149</v>
      </c>
      <c r="F330" s="4"/>
      <c r="G330" s="4"/>
      <c r="H330" s="4"/>
      <c r="I330" s="4"/>
    </row>
    <row r="331" spans="1:9" ht="15">
      <c r="A331" s="8"/>
      <c r="C331" s="4" t="s">
        <v>150</v>
      </c>
      <c r="D331" t="s">
        <v>4</v>
      </c>
      <c r="E331" t="s">
        <v>4</v>
      </c>
      <c r="F331" s="4" t="s">
        <v>19</v>
      </c>
      <c r="G331" s="4" t="s">
        <v>24</v>
      </c>
      <c r="H331" s="4" t="s">
        <v>13</v>
      </c>
      <c r="I331" s="4"/>
    </row>
    <row r="332" spans="1:9" ht="15" hidden="1">
      <c r="A332" s="8"/>
      <c r="C332" s="4" t="s">
        <v>151</v>
      </c>
      <c r="F332" s="4"/>
      <c r="G332" s="4"/>
      <c r="H332" s="4"/>
      <c r="I332" s="4"/>
    </row>
    <row r="333" spans="1:9" ht="15" hidden="1">
      <c r="A333" s="8"/>
      <c r="C333" s="4" t="s">
        <v>996</v>
      </c>
      <c r="F333" s="4"/>
      <c r="G333" s="4"/>
      <c r="H333" s="4"/>
      <c r="I333" s="4"/>
    </row>
    <row r="334" spans="1:9" ht="15" hidden="1">
      <c r="A334" s="8"/>
      <c r="C334" s="4" t="s">
        <v>152</v>
      </c>
      <c r="F334" s="4"/>
      <c r="G334" s="4"/>
      <c r="H334" s="4"/>
      <c r="I334" s="4"/>
    </row>
    <row r="335" spans="1:9" ht="15" hidden="1">
      <c r="A335" s="8"/>
      <c r="C335" s="4" t="s">
        <v>153</v>
      </c>
      <c r="F335" s="4"/>
      <c r="G335" s="4"/>
      <c r="H335" s="4"/>
      <c r="I335" s="4"/>
    </row>
    <row r="336" spans="1:9" ht="15" hidden="1">
      <c r="A336" s="8"/>
      <c r="C336" s="4" t="s">
        <v>997</v>
      </c>
      <c r="F336" s="4"/>
      <c r="G336" s="4"/>
      <c r="H336" s="4"/>
      <c r="I336" s="4"/>
    </row>
    <row r="337" spans="1:9" ht="15" hidden="1">
      <c r="A337" s="8"/>
      <c r="C337" s="4" t="s">
        <v>154</v>
      </c>
      <c r="F337" s="4"/>
      <c r="G337" s="4"/>
      <c r="H337" s="4"/>
      <c r="I337" s="4"/>
    </row>
    <row r="338" spans="1:9" ht="15" hidden="1">
      <c r="A338" s="8"/>
      <c r="C338" s="4" t="s">
        <v>155</v>
      </c>
      <c r="F338" s="4"/>
      <c r="G338" s="4"/>
      <c r="H338" s="4"/>
      <c r="I338" s="4"/>
    </row>
    <row r="339" spans="1:9" ht="15" hidden="1">
      <c r="A339" s="8"/>
      <c r="C339" s="4" t="s">
        <v>156</v>
      </c>
      <c r="F339" s="4"/>
      <c r="G339" s="4"/>
      <c r="H339" s="4"/>
      <c r="I339" s="4"/>
    </row>
    <row r="340" spans="1:9" ht="15" hidden="1">
      <c r="A340" s="8"/>
      <c r="C340" s="4" t="s">
        <v>157</v>
      </c>
      <c r="F340" s="4"/>
      <c r="G340" s="4"/>
      <c r="H340" s="4"/>
      <c r="I340" s="4"/>
    </row>
    <row r="341" spans="1:9" ht="15" hidden="1">
      <c r="A341" s="8"/>
      <c r="C341" s="4" t="s">
        <v>158</v>
      </c>
      <c r="F341" s="4"/>
      <c r="G341" s="4"/>
      <c r="H341" s="4"/>
      <c r="I341" s="4"/>
    </row>
    <row r="342" spans="1:9" ht="15" hidden="1">
      <c r="A342" s="8"/>
      <c r="C342" s="4" t="s">
        <v>159</v>
      </c>
      <c r="F342" s="4"/>
      <c r="G342" s="4"/>
      <c r="H342" s="4"/>
      <c r="I342" s="4"/>
    </row>
    <row r="343" spans="1:9" ht="15">
      <c r="A343" s="8"/>
      <c r="C343" s="4" t="s">
        <v>160</v>
      </c>
      <c r="D343" t="s">
        <v>4</v>
      </c>
      <c r="E343" t="s">
        <v>4</v>
      </c>
      <c r="F343" s="4" t="s">
        <v>15</v>
      </c>
      <c r="G343" s="4"/>
      <c r="H343" s="4"/>
      <c r="I343" s="4"/>
    </row>
    <row r="344" spans="1:9" ht="15">
      <c r="A344" s="8"/>
      <c r="C344" s="4" t="s">
        <v>161</v>
      </c>
      <c r="D344" t="s">
        <v>4</v>
      </c>
      <c r="E344" t="s">
        <v>4</v>
      </c>
      <c r="F344" s="4" t="s">
        <v>19</v>
      </c>
      <c r="G344" s="4" t="s">
        <v>24</v>
      </c>
      <c r="H344" s="4" t="s">
        <v>8</v>
      </c>
      <c r="I344" s="4" t="s">
        <v>25</v>
      </c>
    </row>
    <row r="345" spans="1:9" ht="15" hidden="1">
      <c r="A345" s="8"/>
      <c r="C345" s="4" t="s">
        <v>162</v>
      </c>
      <c r="F345" s="4"/>
      <c r="G345" s="4"/>
      <c r="H345" s="4"/>
      <c r="I345" s="4"/>
    </row>
    <row r="346" spans="1:9" ht="15" hidden="1">
      <c r="A346" s="8"/>
      <c r="C346" s="4" t="s">
        <v>998</v>
      </c>
      <c r="F346" s="4"/>
      <c r="G346" s="4"/>
      <c r="H346" s="4"/>
      <c r="I346" s="4"/>
    </row>
    <row r="347" spans="1:9" ht="15" hidden="1">
      <c r="A347" s="8"/>
      <c r="C347" s="4" t="s">
        <v>999</v>
      </c>
      <c r="F347" s="4"/>
      <c r="G347" s="4"/>
      <c r="H347" s="4"/>
      <c r="I347" s="4"/>
    </row>
    <row r="348" spans="1:9" ht="15" hidden="1">
      <c r="A348" s="8"/>
      <c r="C348" s="4" t="s">
        <v>1000</v>
      </c>
      <c r="F348" s="4"/>
      <c r="G348" s="4"/>
      <c r="H348" s="4"/>
      <c r="I348" s="4"/>
    </row>
    <row r="349" spans="1:9" ht="15" hidden="1">
      <c r="A349" s="8"/>
      <c r="C349" s="4" t="s">
        <v>1001</v>
      </c>
      <c r="F349" s="4"/>
      <c r="G349" s="4"/>
      <c r="H349" s="4"/>
      <c r="I349" s="4"/>
    </row>
    <row r="350" spans="1:9" ht="15" hidden="1">
      <c r="A350" s="8"/>
      <c r="C350" s="4" t="s">
        <v>1002</v>
      </c>
      <c r="F350" s="4"/>
      <c r="G350" s="4"/>
      <c r="H350" s="4"/>
      <c r="I350" s="4"/>
    </row>
    <row r="351" spans="1:9" ht="15" hidden="1">
      <c r="A351" s="8"/>
      <c r="C351" s="4" t="s">
        <v>1003</v>
      </c>
      <c r="F351" s="4"/>
      <c r="G351" s="4"/>
      <c r="H351" s="4"/>
      <c r="I351" s="4"/>
    </row>
    <row r="352" spans="1:9" ht="15" hidden="1">
      <c r="A352" s="8"/>
      <c r="C352" s="4" t="s">
        <v>1004</v>
      </c>
      <c r="F352" s="4"/>
      <c r="G352" s="4"/>
      <c r="H352" s="4"/>
      <c r="I352" s="4"/>
    </row>
    <row r="353" spans="1:9" ht="15" hidden="1">
      <c r="A353" s="8"/>
      <c r="C353" s="4" t="s">
        <v>1005</v>
      </c>
      <c r="F353" s="4"/>
      <c r="G353" s="4"/>
      <c r="H353" s="4"/>
      <c r="I353" s="4"/>
    </row>
    <row r="354" spans="1:9" ht="15" hidden="1">
      <c r="A354" s="8"/>
      <c r="C354" s="4" t="s">
        <v>1006</v>
      </c>
      <c r="F354" s="4"/>
      <c r="G354" s="4"/>
      <c r="H354" s="4"/>
      <c r="I354" s="4"/>
    </row>
    <row r="355" spans="1:9" ht="15" hidden="1">
      <c r="A355" s="8"/>
      <c r="C355" s="4" t="s">
        <v>163</v>
      </c>
      <c r="F355" s="4"/>
      <c r="G355" s="4"/>
      <c r="H355" s="4"/>
      <c r="I355" s="4"/>
    </row>
    <row r="356" spans="1:9" ht="15" hidden="1">
      <c r="A356" s="8"/>
      <c r="C356" s="4" t="s">
        <v>1007</v>
      </c>
      <c r="F356" s="4"/>
      <c r="G356" s="4"/>
      <c r="H356" s="4"/>
      <c r="I356" s="4"/>
    </row>
    <row r="357" spans="1:9" ht="15" hidden="1">
      <c r="A357" s="8"/>
      <c r="C357" s="4" t="s">
        <v>1008</v>
      </c>
      <c r="F357" s="4"/>
      <c r="G357" s="4"/>
      <c r="H357" s="4"/>
      <c r="I357" s="4"/>
    </row>
    <row r="358" spans="1:9" ht="15" hidden="1">
      <c r="A358" s="8"/>
      <c r="C358" s="4" t="s">
        <v>1009</v>
      </c>
      <c r="F358" s="4"/>
      <c r="G358" s="4"/>
      <c r="H358" s="4"/>
      <c r="I358" s="4"/>
    </row>
    <row r="359" spans="1:9" ht="15" hidden="1">
      <c r="A359" s="8"/>
      <c r="C359" s="4" t="s">
        <v>1010</v>
      </c>
      <c r="F359" s="4"/>
      <c r="G359" s="4"/>
      <c r="H359" s="4"/>
      <c r="I359" s="4"/>
    </row>
    <row r="360" spans="1:9" ht="15" hidden="1">
      <c r="A360" s="8"/>
      <c r="C360" s="4" t="s">
        <v>1011</v>
      </c>
      <c r="F360" s="4"/>
      <c r="G360" s="4"/>
      <c r="H360" s="4"/>
      <c r="I360" s="4"/>
    </row>
    <row r="361" spans="1:9" ht="15" hidden="1">
      <c r="A361" s="8"/>
      <c r="C361" s="4" t="s">
        <v>1012</v>
      </c>
      <c r="F361" s="4"/>
      <c r="G361" s="4"/>
      <c r="H361" s="4"/>
      <c r="I361" s="4"/>
    </row>
    <row r="362" spans="1:9" ht="15" hidden="1">
      <c r="A362" s="8"/>
      <c r="C362" s="4" t="s">
        <v>1013</v>
      </c>
      <c r="F362" s="4"/>
      <c r="G362" s="4"/>
      <c r="H362" s="4"/>
      <c r="I362" s="4"/>
    </row>
    <row r="363" spans="1:9" ht="15" hidden="1">
      <c r="A363" s="8"/>
      <c r="C363" s="4" t="s">
        <v>1014</v>
      </c>
      <c r="F363" s="4"/>
      <c r="G363" s="4"/>
      <c r="H363" s="4"/>
      <c r="I363" s="4"/>
    </row>
    <row r="364" spans="1:9" ht="15" hidden="1">
      <c r="A364" s="8"/>
      <c r="C364" s="4" t="s">
        <v>1015</v>
      </c>
      <c r="F364" s="4"/>
      <c r="G364" s="4"/>
      <c r="H364" s="4"/>
      <c r="I364" s="4"/>
    </row>
    <row r="365" spans="1:9" ht="15" hidden="1">
      <c r="A365" s="8"/>
      <c r="C365" s="4" t="s">
        <v>1016</v>
      </c>
      <c r="F365" s="4"/>
      <c r="G365" s="4"/>
      <c r="H365" s="4"/>
      <c r="I365" s="4"/>
    </row>
    <row r="366" spans="1:9" ht="15" hidden="1">
      <c r="A366" s="8"/>
      <c r="C366" s="4" t="s">
        <v>1017</v>
      </c>
      <c r="F366" s="4"/>
      <c r="G366" s="4"/>
      <c r="H366" s="4"/>
      <c r="I366" s="4"/>
    </row>
    <row r="367" spans="1:9" ht="15" hidden="1">
      <c r="A367" s="8"/>
      <c r="C367" s="4" t="s">
        <v>1018</v>
      </c>
      <c r="F367" s="4"/>
      <c r="G367" s="4"/>
      <c r="H367" s="4"/>
      <c r="I367" s="4"/>
    </row>
    <row r="368" spans="1:9" ht="15" hidden="1">
      <c r="A368" s="8"/>
      <c r="C368" s="4" t="s">
        <v>1019</v>
      </c>
      <c r="F368" s="4"/>
      <c r="G368" s="4"/>
      <c r="H368" s="4"/>
      <c r="I368" s="4"/>
    </row>
    <row r="369" spans="1:9" ht="15" hidden="1">
      <c r="A369" s="8"/>
      <c r="C369" s="4" t="s">
        <v>1020</v>
      </c>
      <c r="F369" s="4"/>
      <c r="G369" s="4"/>
      <c r="H369" s="4"/>
      <c r="I369" s="4"/>
    </row>
    <row r="370" spans="1:9" ht="15" hidden="1">
      <c r="A370" s="8"/>
      <c r="C370" s="4" t="s">
        <v>1021</v>
      </c>
      <c r="F370" s="4"/>
      <c r="G370" s="4"/>
      <c r="H370" s="4"/>
      <c r="I370" s="4"/>
    </row>
    <row r="371" spans="1:9" ht="15" hidden="1">
      <c r="A371" s="8"/>
      <c r="C371" s="4" t="s">
        <v>1022</v>
      </c>
      <c r="F371" s="4"/>
      <c r="G371" s="4"/>
      <c r="H371" s="4"/>
      <c r="I371" s="4"/>
    </row>
    <row r="372" spans="1:9" ht="15" hidden="1">
      <c r="A372" s="8"/>
      <c r="C372" s="4" t="s">
        <v>1023</v>
      </c>
      <c r="F372" s="4"/>
      <c r="G372" s="4"/>
      <c r="H372" s="4"/>
      <c r="I372" s="4"/>
    </row>
    <row r="373" spans="1:9" ht="15" hidden="1">
      <c r="A373" s="8"/>
      <c r="C373" s="4" t="s">
        <v>1024</v>
      </c>
      <c r="F373" s="4"/>
      <c r="G373" s="4"/>
      <c r="H373" s="4"/>
      <c r="I373" s="4"/>
    </row>
    <row r="374" spans="1:9" ht="15" hidden="1">
      <c r="A374" s="8"/>
      <c r="C374" s="4" t="s">
        <v>1025</v>
      </c>
      <c r="F374" s="4"/>
      <c r="G374" s="4"/>
      <c r="H374" s="4"/>
      <c r="I374" s="4"/>
    </row>
    <row r="375" spans="1:9" ht="15" hidden="1">
      <c r="A375" s="8"/>
      <c r="C375" s="4" t="s">
        <v>1026</v>
      </c>
      <c r="F375" s="4"/>
      <c r="G375" s="4"/>
      <c r="H375" s="4"/>
      <c r="I375" s="4"/>
    </row>
    <row r="376" spans="1:9" ht="15" hidden="1">
      <c r="A376" s="8"/>
      <c r="C376" s="4" t="s">
        <v>1027</v>
      </c>
      <c r="F376" s="4"/>
      <c r="G376" s="4"/>
      <c r="H376" s="4"/>
      <c r="I376" s="4"/>
    </row>
    <row r="377" spans="1:9" ht="15" hidden="1">
      <c r="A377" s="8"/>
      <c r="C377" s="4" t="s">
        <v>1028</v>
      </c>
      <c r="F377" s="4"/>
      <c r="G377" s="4"/>
      <c r="H377" s="4"/>
      <c r="I377" s="4"/>
    </row>
    <row r="378" spans="1:9" ht="15" hidden="1">
      <c r="A378" s="8"/>
      <c r="C378" s="4" t="s">
        <v>1029</v>
      </c>
      <c r="F378" s="4"/>
      <c r="G378" s="4"/>
      <c r="H378" s="4"/>
      <c r="I378" s="4"/>
    </row>
    <row r="379" spans="1:9" ht="15" hidden="1">
      <c r="A379" s="8"/>
      <c r="C379" s="4" t="s">
        <v>1030</v>
      </c>
      <c r="F379" s="4"/>
      <c r="G379" s="4"/>
      <c r="H379" s="4"/>
      <c r="I379" s="4"/>
    </row>
    <row r="380" spans="1:9" ht="15" hidden="1">
      <c r="A380" s="8"/>
      <c r="C380" s="4" t="s">
        <v>1031</v>
      </c>
      <c r="F380" s="4"/>
      <c r="G380" s="4"/>
      <c r="H380" s="4"/>
      <c r="I380" s="4"/>
    </row>
    <row r="381" spans="1:9" ht="15" hidden="1">
      <c r="A381" s="8"/>
      <c r="C381" s="4" t="s">
        <v>1032</v>
      </c>
      <c r="F381" s="4"/>
      <c r="G381" s="4"/>
      <c r="H381" s="4"/>
      <c r="I381" s="4"/>
    </row>
    <row r="382" spans="1:9" ht="15" hidden="1">
      <c r="A382" s="8"/>
      <c r="C382" s="4" t="s">
        <v>1033</v>
      </c>
      <c r="F382" s="4"/>
      <c r="G382" s="4"/>
      <c r="H382" s="4"/>
      <c r="I382" s="4"/>
    </row>
    <row r="383" spans="1:9" ht="15" hidden="1">
      <c r="A383" s="8"/>
      <c r="C383" s="4" t="s">
        <v>1034</v>
      </c>
      <c r="F383" s="4"/>
      <c r="G383" s="4"/>
      <c r="H383" s="4"/>
      <c r="I383" s="4"/>
    </row>
    <row r="384" spans="1:9" ht="15" hidden="1">
      <c r="A384" s="8"/>
      <c r="C384" s="4" t="s">
        <v>1035</v>
      </c>
      <c r="F384" s="4"/>
      <c r="G384" s="4"/>
      <c r="H384" s="4"/>
      <c r="I384" s="4"/>
    </row>
    <row r="385" spans="1:9" ht="15" hidden="1">
      <c r="A385" s="8"/>
      <c r="C385" s="4" t="s">
        <v>1036</v>
      </c>
      <c r="F385" s="4"/>
      <c r="G385" s="4"/>
      <c r="H385" s="4"/>
      <c r="I385" s="4"/>
    </row>
    <row r="386" spans="1:9" ht="15" hidden="1">
      <c r="A386" s="8"/>
      <c r="C386" s="4" t="s">
        <v>1037</v>
      </c>
      <c r="F386" s="4"/>
      <c r="G386" s="4"/>
      <c r="H386" s="4"/>
      <c r="I386" s="4"/>
    </row>
    <row r="387" spans="1:9" ht="15" hidden="1">
      <c r="A387" s="8"/>
      <c r="C387" s="4" t="s">
        <v>1038</v>
      </c>
      <c r="F387" s="4"/>
      <c r="G387" s="4"/>
      <c r="H387" s="4"/>
      <c r="I387" s="4"/>
    </row>
    <row r="388" spans="1:9" ht="15" hidden="1">
      <c r="A388" s="8"/>
      <c r="C388" s="4" t="s">
        <v>1039</v>
      </c>
      <c r="F388" s="4"/>
      <c r="G388" s="4"/>
      <c r="H388" s="4"/>
      <c r="I388" s="4"/>
    </row>
    <row r="389" spans="1:9" ht="15" hidden="1">
      <c r="A389" s="8"/>
      <c r="C389" s="4" t="s">
        <v>1040</v>
      </c>
      <c r="F389" s="4"/>
      <c r="G389" s="4"/>
      <c r="H389" s="4"/>
      <c r="I389" s="4"/>
    </row>
    <row r="390" spans="1:9" ht="15" hidden="1">
      <c r="A390" s="8"/>
      <c r="C390" s="4" t="s">
        <v>1041</v>
      </c>
      <c r="F390" s="4"/>
      <c r="G390" s="4"/>
      <c r="H390" s="4"/>
      <c r="I390" s="4"/>
    </row>
    <row r="391" spans="1:9" ht="15" hidden="1">
      <c r="A391" s="8"/>
      <c r="C391" s="4" t="s">
        <v>1042</v>
      </c>
      <c r="F391" s="4"/>
      <c r="G391" s="4"/>
      <c r="H391" s="4"/>
      <c r="I391" s="4"/>
    </row>
    <row r="392" spans="1:9" ht="15" hidden="1">
      <c r="A392" s="8"/>
      <c r="C392" s="4" t="s">
        <v>1043</v>
      </c>
      <c r="F392" s="4"/>
      <c r="G392" s="4"/>
      <c r="H392" s="4"/>
      <c r="I392" s="4"/>
    </row>
    <row r="393" spans="1:9" ht="15" hidden="1">
      <c r="A393" s="8"/>
      <c r="C393" s="4" t="s">
        <v>1044</v>
      </c>
      <c r="F393" s="4"/>
      <c r="G393" s="4"/>
      <c r="H393" s="4"/>
      <c r="I393" s="4"/>
    </row>
    <row r="394" spans="1:9" ht="15" hidden="1">
      <c r="A394" s="8"/>
      <c r="C394" s="4" t="s">
        <v>1045</v>
      </c>
      <c r="F394" s="4"/>
      <c r="G394" s="4"/>
      <c r="H394" s="4"/>
      <c r="I394" s="4"/>
    </row>
    <row r="395" spans="1:9" ht="15" hidden="1">
      <c r="A395" s="8"/>
      <c r="C395" s="4" t="s">
        <v>165</v>
      </c>
      <c r="F395" s="4"/>
      <c r="G395" s="4"/>
      <c r="H395" s="4"/>
      <c r="I395" s="4"/>
    </row>
    <row r="396" spans="1:9" ht="15" hidden="1">
      <c r="A396" s="8"/>
      <c r="C396" s="4" t="s">
        <v>166</v>
      </c>
      <c r="F396" s="4"/>
      <c r="G396" s="4"/>
      <c r="H396" s="4"/>
      <c r="I396" s="4"/>
    </row>
    <row r="397" spans="1:9" ht="15" hidden="1">
      <c r="A397" s="8"/>
      <c r="C397" s="4" t="s">
        <v>1046</v>
      </c>
      <c r="F397" s="4"/>
      <c r="G397" s="4"/>
      <c r="H397" s="4"/>
      <c r="I397" s="4"/>
    </row>
    <row r="398" spans="1:9" ht="15" hidden="1">
      <c r="A398" s="8"/>
      <c r="C398" s="4" t="s">
        <v>1047</v>
      </c>
      <c r="F398" s="4"/>
      <c r="G398" s="4"/>
      <c r="H398" s="4"/>
      <c r="I398" s="4"/>
    </row>
    <row r="399" spans="1:9" ht="15" hidden="1">
      <c r="A399" s="8"/>
      <c r="C399" s="4" t="s">
        <v>1048</v>
      </c>
      <c r="F399" s="4"/>
      <c r="G399" s="4"/>
      <c r="H399" s="4"/>
      <c r="I399" s="4"/>
    </row>
    <row r="400" spans="1:9" ht="15" hidden="1">
      <c r="A400" s="8"/>
      <c r="C400" s="4" t="s">
        <v>1049</v>
      </c>
      <c r="F400" s="4"/>
      <c r="G400" s="4"/>
      <c r="H400" s="4"/>
      <c r="I400" s="4"/>
    </row>
    <row r="401" spans="1:9" ht="15" hidden="1">
      <c r="A401" s="8"/>
      <c r="C401" s="4" t="s">
        <v>1050</v>
      </c>
      <c r="F401" s="4"/>
      <c r="G401" s="4"/>
      <c r="H401" s="4"/>
      <c r="I401" s="4"/>
    </row>
    <row r="402" spans="1:9" ht="15" hidden="1">
      <c r="A402" s="8"/>
      <c r="C402" s="4" t="s">
        <v>1051</v>
      </c>
      <c r="F402" s="4"/>
      <c r="G402" s="4"/>
      <c r="H402" s="4"/>
      <c r="I402" s="4"/>
    </row>
    <row r="403" spans="1:9" ht="15" hidden="1">
      <c r="A403" s="8"/>
      <c r="C403" s="4" t="s">
        <v>1052</v>
      </c>
      <c r="F403" s="4"/>
      <c r="G403" s="4"/>
      <c r="H403" s="4"/>
      <c r="I403" s="4"/>
    </row>
    <row r="404" spans="1:9" ht="15" hidden="1">
      <c r="A404" s="8"/>
      <c r="C404" s="4" t="s">
        <v>1053</v>
      </c>
      <c r="F404" s="4"/>
      <c r="G404" s="4"/>
      <c r="H404" s="4"/>
      <c r="I404" s="4"/>
    </row>
    <row r="405" spans="1:9" ht="15" hidden="1">
      <c r="A405" s="8"/>
      <c r="C405" s="4" t="s">
        <v>1054</v>
      </c>
      <c r="F405" s="4"/>
      <c r="G405" s="4"/>
      <c r="H405" s="4"/>
      <c r="I405" s="4"/>
    </row>
    <row r="406" spans="1:9" ht="15" hidden="1">
      <c r="A406" s="8"/>
      <c r="C406" s="4" t="s">
        <v>1055</v>
      </c>
      <c r="F406" s="4"/>
      <c r="G406" s="4"/>
      <c r="H406" s="4"/>
      <c r="I406" s="4"/>
    </row>
    <row r="407" spans="1:9" ht="15" hidden="1">
      <c r="A407" s="8"/>
      <c r="C407" s="4" t="s">
        <v>1056</v>
      </c>
      <c r="F407" s="4"/>
      <c r="G407" s="4"/>
      <c r="H407" s="4"/>
      <c r="I407" s="4"/>
    </row>
    <row r="408" spans="1:9" ht="15" hidden="1">
      <c r="A408" s="8"/>
      <c r="C408" s="4" t="s">
        <v>167</v>
      </c>
      <c r="F408" s="4"/>
      <c r="G408" s="4"/>
      <c r="H408" s="4"/>
      <c r="I408" s="4"/>
    </row>
    <row r="409" spans="1:9" ht="15" hidden="1">
      <c r="A409" s="8"/>
      <c r="C409" s="4" t="s">
        <v>168</v>
      </c>
      <c r="F409" s="4"/>
      <c r="G409" s="4"/>
      <c r="H409" s="4"/>
      <c r="I409" s="4"/>
    </row>
    <row r="410" spans="1:9" ht="15" hidden="1">
      <c r="A410" s="8"/>
      <c r="C410" s="4" t="s">
        <v>1057</v>
      </c>
      <c r="F410" s="4"/>
      <c r="G410" s="4"/>
      <c r="H410" s="4"/>
      <c r="I410" s="4"/>
    </row>
    <row r="411" spans="1:9" ht="15" hidden="1">
      <c r="A411" s="8"/>
      <c r="C411" s="4" t="s">
        <v>170</v>
      </c>
      <c r="F411" s="4"/>
      <c r="G411" s="4"/>
      <c r="H411" s="4"/>
      <c r="I411" s="4"/>
    </row>
    <row r="412" spans="1:9" ht="15" hidden="1">
      <c r="A412" s="8"/>
      <c r="C412" s="4" t="s">
        <v>171</v>
      </c>
      <c r="F412" s="4"/>
      <c r="G412" s="4"/>
      <c r="H412" s="4"/>
      <c r="I412" s="4"/>
    </row>
    <row r="413" spans="1:9" ht="15" hidden="1">
      <c r="A413" s="8"/>
      <c r="C413" s="4" t="s">
        <v>172</v>
      </c>
      <c r="F413" s="4"/>
      <c r="G413" s="4"/>
      <c r="H413" s="4"/>
      <c r="I413" s="4"/>
    </row>
    <row r="414" spans="1:9" ht="15" hidden="1">
      <c r="A414" s="8"/>
      <c r="C414" s="4" t="s">
        <v>173</v>
      </c>
      <c r="F414" s="4"/>
      <c r="G414" s="4"/>
      <c r="H414" s="4"/>
      <c r="I414" s="4"/>
    </row>
    <row r="415" spans="1:9" ht="15" hidden="1">
      <c r="A415" s="8"/>
      <c r="C415" s="4" t="s">
        <v>174</v>
      </c>
      <c r="F415" s="4"/>
      <c r="G415" s="4"/>
      <c r="H415" s="4"/>
      <c r="I415" s="4"/>
    </row>
    <row r="416" spans="1:9" ht="15" hidden="1">
      <c r="A416" s="8"/>
      <c r="C416" s="4" t="s">
        <v>175</v>
      </c>
      <c r="F416" s="4"/>
      <c r="G416" s="4"/>
      <c r="H416" s="4"/>
      <c r="I416" s="4"/>
    </row>
    <row r="417" spans="1:9" ht="15" hidden="1">
      <c r="A417" s="8"/>
      <c r="C417" s="4" t="s">
        <v>176</v>
      </c>
      <c r="F417" s="4"/>
      <c r="G417" s="4"/>
      <c r="H417" s="4"/>
      <c r="I417" s="4"/>
    </row>
    <row r="418" spans="1:9" ht="15" hidden="1">
      <c r="A418" s="8"/>
      <c r="C418" s="4" t="s">
        <v>177</v>
      </c>
      <c r="F418" s="4"/>
      <c r="G418" s="4"/>
      <c r="H418" s="4"/>
      <c r="I418" s="4"/>
    </row>
    <row r="419" spans="1:9" ht="15" hidden="1">
      <c r="A419" s="8"/>
      <c r="C419" s="4" t="s">
        <v>178</v>
      </c>
      <c r="F419" s="4"/>
      <c r="G419" s="4"/>
      <c r="H419" s="4"/>
      <c r="I419" s="4"/>
    </row>
    <row r="420" spans="1:9" ht="15" hidden="1">
      <c r="A420" s="8"/>
      <c r="C420" s="4" t="s">
        <v>179</v>
      </c>
      <c r="F420" s="4"/>
      <c r="G420" s="4"/>
      <c r="H420" s="4"/>
      <c r="I420" s="4"/>
    </row>
    <row r="421" spans="1:9" ht="15" hidden="1">
      <c r="A421" s="8"/>
      <c r="C421" s="4" t="s">
        <v>180</v>
      </c>
      <c r="F421" s="4"/>
      <c r="G421" s="4"/>
      <c r="H421" s="4"/>
      <c r="I421" s="4"/>
    </row>
    <row r="422" spans="1:9" ht="15" hidden="1">
      <c r="A422" s="8"/>
      <c r="C422" s="4" t="s">
        <v>181</v>
      </c>
      <c r="F422" s="4"/>
      <c r="G422" s="4"/>
      <c r="H422" s="4"/>
      <c r="I422" s="4"/>
    </row>
    <row r="423" spans="1:9" ht="15" hidden="1">
      <c r="A423" s="8"/>
      <c r="C423" s="4" t="s">
        <v>182</v>
      </c>
      <c r="F423" s="4"/>
      <c r="G423" s="4"/>
      <c r="H423" s="4"/>
      <c r="I423" s="4"/>
    </row>
    <row r="424" spans="1:9" ht="15" hidden="1">
      <c r="A424" s="8"/>
      <c r="C424" s="4" t="s">
        <v>183</v>
      </c>
      <c r="F424" s="4"/>
      <c r="G424" s="4"/>
      <c r="H424" s="4"/>
      <c r="I424" s="4"/>
    </row>
    <row r="425" spans="1:9" ht="15" hidden="1">
      <c r="A425" s="8"/>
      <c r="C425" s="4" t="s">
        <v>184</v>
      </c>
      <c r="F425" s="4"/>
      <c r="G425" s="4"/>
      <c r="H425" s="4"/>
      <c r="I425" s="4"/>
    </row>
    <row r="426" spans="1:9" ht="15" hidden="1">
      <c r="A426" s="8"/>
      <c r="C426" s="4" t="s">
        <v>185</v>
      </c>
      <c r="F426" s="4"/>
      <c r="G426" s="4"/>
      <c r="H426" s="4"/>
      <c r="I426" s="4"/>
    </row>
    <row r="427" spans="1:9" ht="15" hidden="1">
      <c r="A427" s="8"/>
      <c r="C427" s="4" t="s">
        <v>186</v>
      </c>
      <c r="F427" s="4"/>
      <c r="G427" s="4"/>
      <c r="H427" s="4"/>
      <c r="I427" s="4"/>
    </row>
    <row r="428" spans="1:9" ht="15" hidden="1">
      <c r="A428" s="8"/>
      <c r="C428" s="4" t="s">
        <v>187</v>
      </c>
      <c r="F428" s="4"/>
      <c r="G428" s="4"/>
      <c r="H428" s="4"/>
      <c r="I428" s="4"/>
    </row>
    <row r="429" spans="1:9" ht="15" hidden="1">
      <c r="A429" s="8"/>
      <c r="C429" s="4" t="s">
        <v>1058</v>
      </c>
      <c r="F429" s="4"/>
      <c r="G429" s="4"/>
      <c r="H429" s="4"/>
      <c r="I429" s="4"/>
    </row>
    <row r="430" spans="1:9" ht="15" hidden="1">
      <c r="A430" s="8"/>
      <c r="C430" s="4" t="s">
        <v>1059</v>
      </c>
      <c r="F430" s="4"/>
      <c r="G430" s="4"/>
      <c r="H430" s="4"/>
      <c r="I430" s="4"/>
    </row>
    <row r="431" spans="1:9" ht="15" hidden="1">
      <c r="A431" s="8"/>
      <c r="C431" s="4" t="s">
        <v>1060</v>
      </c>
      <c r="F431" s="4"/>
      <c r="G431" s="4"/>
      <c r="H431" s="4"/>
      <c r="I431" s="4"/>
    </row>
    <row r="432" spans="1:9" ht="15" hidden="1">
      <c r="A432" s="8"/>
      <c r="C432" s="4" t="s">
        <v>1061</v>
      </c>
      <c r="F432" s="4"/>
      <c r="G432" s="4"/>
      <c r="H432" s="4"/>
      <c r="I432" s="4"/>
    </row>
    <row r="433" spans="1:9" ht="15" hidden="1">
      <c r="A433" s="8"/>
      <c r="C433" s="4" t="s">
        <v>1062</v>
      </c>
      <c r="F433" s="4"/>
      <c r="G433" s="4"/>
      <c r="H433" s="4"/>
      <c r="I433" s="4"/>
    </row>
    <row r="434" spans="1:9" ht="15" hidden="1">
      <c r="A434" s="8"/>
      <c r="C434" s="4" t="s">
        <v>1063</v>
      </c>
      <c r="F434" s="4"/>
      <c r="G434" s="4"/>
      <c r="H434" s="4"/>
      <c r="I434" s="4"/>
    </row>
    <row r="435" spans="1:9" ht="15" hidden="1">
      <c r="A435" s="8"/>
      <c r="C435" s="4" t="s">
        <v>1064</v>
      </c>
      <c r="F435" s="4"/>
      <c r="G435" s="4"/>
      <c r="H435" s="4"/>
      <c r="I435" s="4"/>
    </row>
    <row r="436" spans="1:9" ht="15" hidden="1">
      <c r="A436" s="8"/>
      <c r="C436" s="4" t="s">
        <v>1065</v>
      </c>
      <c r="F436" s="4"/>
      <c r="G436" s="4"/>
      <c r="H436" s="4"/>
      <c r="I436" s="4"/>
    </row>
    <row r="437" spans="1:9" ht="15" hidden="1">
      <c r="A437" s="8"/>
      <c r="C437" s="4" t="s">
        <v>1066</v>
      </c>
      <c r="F437" s="4"/>
      <c r="G437" s="4"/>
      <c r="H437" s="4"/>
      <c r="I437" s="4"/>
    </row>
    <row r="438" spans="1:9" ht="15" hidden="1">
      <c r="A438" s="8"/>
      <c r="C438" s="4" t="s">
        <v>1067</v>
      </c>
      <c r="F438" s="4"/>
      <c r="G438" s="4"/>
      <c r="H438" s="4"/>
      <c r="I438" s="4"/>
    </row>
    <row r="439" spans="1:9" ht="15" hidden="1">
      <c r="A439" s="8"/>
      <c r="C439" s="4" t="s">
        <v>1068</v>
      </c>
      <c r="F439" s="4"/>
      <c r="G439" s="4"/>
      <c r="H439" s="4"/>
      <c r="I439" s="4"/>
    </row>
    <row r="440" spans="1:9" ht="15" hidden="1">
      <c r="A440" s="8"/>
      <c r="C440" s="4" t="s">
        <v>1069</v>
      </c>
      <c r="F440" s="4"/>
      <c r="G440" s="4"/>
      <c r="H440" s="4"/>
      <c r="I440" s="4"/>
    </row>
    <row r="441" spans="1:9" ht="15" hidden="1">
      <c r="A441" s="8"/>
      <c r="C441" s="4" t="s">
        <v>1070</v>
      </c>
      <c r="F441" s="4"/>
      <c r="G441" s="4"/>
      <c r="H441" s="4"/>
      <c r="I441" s="4"/>
    </row>
    <row r="442" spans="1:9" ht="15" hidden="1">
      <c r="A442" s="8"/>
      <c r="C442" s="4" t="s">
        <v>1071</v>
      </c>
      <c r="F442" s="4"/>
      <c r="G442" s="4"/>
      <c r="H442" s="4"/>
      <c r="I442" s="4"/>
    </row>
    <row r="443" spans="1:9" ht="15" hidden="1">
      <c r="A443" s="8"/>
      <c r="C443" s="4" t="s">
        <v>1072</v>
      </c>
      <c r="F443" s="4"/>
      <c r="G443" s="4"/>
      <c r="H443" s="4"/>
      <c r="I443" s="4"/>
    </row>
    <row r="444" spans="1:9" ht="15" hidden="1">
      <c r="A444" s="8"/>
      <c r="C444" s="4" t="s">
        <v>1073</v>
      </c>
      <c r="F444" s="4"/>
      <c r="G444" s="4"/>
      <c r="H444" s="4"/>
      <c r="I444" s="4"/>
    </row>
    <row r="445" spans="1:9" ht="15" hidden="1">
      <c r="A445" s="8"/>
      <c r="C445" s="4" t="s">
        <v>1074</v>
      </c>
      <c r="F445" s="4"/>
      <c r="G445" s="4"/>
      <c r="H445" s="4"/>
      <c r="I445" s="4"/>
    </row>
    <row r="446" spans="1:9" ht="15" hidden="1">
      <c r="A446" s="8"/>
      <c r="C446" s="4" t="s">
        <v>1075</v>
      </c>
      <c r="F446" s="4"/>
      <c r="G446" s="4"/>
      <c r="H446" s="4"/>
      <c r="I446" s="4"/>
    </row>
    <row r="447" spans="1:9" ht="15" hidden="1">
      <c r="A447" s="8"/>
      <c r="C447" s="4" t="s">
        <v>1076</v>
      </c>
      <c r="F447" s="4"/>
      <c r="G447" s="4"/>
      <c r="H447" s="4"/>
      <c r="I447" s="4"/>
    </row>
    <row r="448" spans="1:9" ht="15" hidden="1">
      <c r="A448" s="8"/>
      <c r="C448" s="4" t="s">
        <v>1077</v>
      </c>
      <c r="F448" s="4"/>
      <c r="G448" s="4"/>
      <c r="H448" s="4"/>
      <c r="I448" s="4"/>
    </row>
    <row r="449" spans="1:9" ht="15" hidden="1">
      <c r="A449" s="8"/>
      <c r="C449" s="4" t="s">
        <v>1078</v>
      </c>
      <c r="F449" s="4"/>
      <c r="G449" s="4"/>
      <c r="H449" s="4"/>
      <c r="I449" s="4"/>
    </row>
    <row r="450" spans="1:9" ht="15" hidden="1">
      <c r="A450" s="8"/>
      <c r="C450" s="4" t="s">
        <v>1079</v>
      </c>
      <c r="F450" s="4"/>
      <c r="G450" s="4"/>
      <c r="H450" s="4"/>
      <c r="I450" s="4"/>
    </row>
    <row r="451" spans="1:9" ht="15" hidden="1">
      <c r="A451" s="8"/>
      <c r="C451" s="4" t="s">
        <v>1080</v>
      </c>
      <c r="F451" s="4"/>
      <c r="G451" s="4"/>
      <c r="H451" s="4"/>
      <c r="I451" s="4"/>
    </row>
    <row r="452" spans="1:9" ht="15" hidden="1">
      <c r="A452" s="8"/>
      <c r="C452" s="4" t="s">
        <v>1081</v>
      </c>
      <c r="F452" s="4"/>
      <c r="G452" s="4"/>
      <c r="H452" s="4"/>
      <c r="I452" s="4"/>
    </row>
    <row r="453" spans="1:9" ht="15" hidden="1">
      <c r="A453" s="8"/>
      <c r="C453" s="4" t="s">
        <v>1082</v>
      </c>
      <c r="F453" s="4"/>
      <c r="G453" s="4"/>
      <c r="H453" s="4"/>
      <c r="I453" s="4"/>
    </row>
    <row r="454" spans="1:9" ht="15" hidden="1">
      <c r="A454" s="8"/>
      <c r="C454" s="4" t="s">
        <v>1083</v>
      </c>
      <c r="F454" s="4"/>
      <c r="G454" s="4"/>
      <c r="H454" s="4"/>
      <c r="I454" s="4"/>
    </row>
    <row r="455" spans="1:9" ht="15" hidden="1">
      <c r="A455" s="8"/>
      <c r="C455" s="4" t="s">
        <v>1084</v>
      </c>
      <c r="F455" s="4"/>
      <c r="G455" s="4"/>
      <c r="H455" s="4"/>
      <c r="I455" s="4"/>
    </row>
    <row r="456" spans="1:9" ht="15" hidden="1">
      <c r="A456" s="8"/>
      <c r="C456" s="4" t="s">
        <v>1085</v>
      </c>
      <c r="F456" s="4"/>
      <c r="G456" s="4"/>
      <c r="H456" s="4"/>
      <c r="I456" s="4"/>
    </row>
    <row r="457" spans="1:9" ht="15" hidden="1">
      <c r="A457" s="8"/>
      <c r="C457" s="4" t="s">
        <v>1086</v>
      </c>
      <c r="F457" s="4"/>
      <c r="G457" s="4"/>
      <c r="H457" s="4"/>
      <c r="I457" s="4"/>
    </row>
    <row r="458" spans="1:9" ht="15" hidden="1">
      <c r="A458" s="8"/>
      <c r="C458" s="4" t="s">
        <v>1087</v>
      </c>
      <c r="F458" s="4"/>
      <c r="G458" s="4"/>
      <c r="H458" s="4"/>
      <c r="I458" s="4"/>
    </row>
    <row r="459" spans="1:9" ht="15" hidden="1">
      <c r="A459" s="8"/>
      <c r="C459" s="4" t="s">
        <v>1088</v>
      </c>
      <c r="F459" s="4"/>
      <c r="G459" s="4"/>
      <c r="H459" s="4"/>
      <c r="I459" s="4"/>
    </row>
    <row r="460" spans="1:9" ht="15" hidden="1">
      <c r="A460" s="8"/>
      <c r="C460" s="4" t="s">
        <v>1089</v>
      </c>
      <c r="F460" s="4"/>
      <c r="G460" s="4"/>
      <c r="H460" s="4"/>
      <c r="I460" s="4"/>
    </row>
    <row r="461" spans="1:9" ht="15" hidden="1">
      <c r="A461" s="8"/>
      <c r="C461" s="4" t="s">
        <v>1090</v>
      </c>
      <c r="F461" s="4"/>
      <c r="G461" s="4"/>
      <c r="H461" s="4"/>
      <c r="I461" s="4"/>
    </row>
    <row r="462" spans="1:9" ht="15" hidden="1">
      <c r="A462" s="8"/>
      <c r="C462" s="4" t="s">
        <v>1091</v>
      </c>
      <c r="F462" s="4"/>
      <c r="G462" s="4"/>
      <c r="H462" s="4"/>
      <c r="I462" s="4"/>
    </row>
    <row r="463" spans="1:9" ht="15" hidden="1">
      <c r="A463" s="8"/>
      <c r="C463" s="4" t="s">
        <v>1092</v>
      </c>
      <c r="F463" s="4"/>
      <c r="G463" s="4"/>
      <c r="H463" s="4"/>
      <c r="I463" s="4"/>
    </row>
    <row r="464" spans="1:9" ht="15" hidden="1">
      <c r="A464" s="8"/>
      <c r="C464" s="4" t="s">
        <v>1093</v>
      </c>
      <c r="F464" s="4"/>
      <c r="G464" s="4"/>
      <c r="H464" s="4"/>
      <c r="I464" s="4"/>
    </row>
    <row r="465" spans="1:9" ht="15" hidden="1">
      <c r="A465" s="8"/>
      <c r="C465" s="4" t="s">
        <v>1094</v>
      </c>
      <c r="F465" s="4"/>
      <c r="G465" s="4"/>
      <c r="H465" s="4"/>
      <c r="I465" s="4"/>
    </row>
    <row r="466" spans="1:9" ht="15" hidden="1">
      <c r="A466" s="8"/>
      <c r="C466" s="4" t="s">
        <v>1095</v>
      </c>
      <c r="F466" s="4"/>
      <c r="G466" s="4"/>
      <c r="H466" s="4"/>
      <c r="I466" s="4"/>
    </row>
    <row r="467" spans="1:9" ht="15" hidden="1">
      <c r="A467" s="8"/>
      <c r="C467" s="4" t="s">
        <v>1096</v>
      </c>
      <c r="F467" s="4"/>
      <c r="G467" s="4"/>
      <c r="H467" s="4"/>
      <c r="I467" s="4"/>
    </row>
    <row r="468" spans="1:9" ht="15" hidden="1">
      <c r="A468" s="8"/>
      <c r="C468" s="4" t="s">
        <v>1097</v>
      </c>
      <c r="F468" s="4"/>
      <c r="G468" s="4"/>
      <c r="H468" s="4"/>
      <c r="I468" s="4"/>
    </row>
    <row r="469" spans="1:9" ht="15" hidden="1">
      <c r="A469" s="8"/>
      <c r="C469" s="4" t="s">
        <v>1098</v>
      </c>
      <c r="F469" s="4"/>
      <c r="G469" s="4"/>
      <c r="H469" s="4"/>
      <c r="I469" s="4"/>
    </row>
    <row r="470" spans="1:9" ht="15" hidden="1">
      <c r="A470" s="8"/>
      <c r="C470" s="4" t="s">
        <v>1099</v>
      </c>
      <c r="F470" s="4"/>
      <c r="G470" s="4"/>
      <c r="H470" s="4"/>
      <c r="I470" s="4"/>
    </row>
    <row r="471" spans="1:9" ht="15" hidden="1">
      <c r="A471" s="8"/>
      <c r="C471" s="4" t="s">
        <v>1100</v>
      </c>
      <c r="F471" s="4"/>
      <c r="G471" s="4"/>
      <c r="H471" s="4"/>
      <c r="I471" s="4"/>
    </row>
    <row r="472" spans="1:9" ht="15" hidden="1">
      <c r="A472" s="8"/>
      <c r="C472" s="4" t="s">
        <v>1101</v>
      </c>
      <c r="F472" s="4"/>
      <c r="G472" s="4"/>
      <c r="H472" s="4"/>
      <c r="I472" s="4"/>
    </row>
    <row r="473" spans="1:9" ht="15" hidden="1">
      <c r="A473" s="8"/>
      <c r="C473" s="4" t="s">
        <v>1102</v>
      </c>
      <c r="F473" s="4"/>
      <c r="G473" s="4"/>
      <c r="H473" s="4"/>
      <c r="I473" s="4"/>
    </row>
    <row r="474" spans="1:9" ht="15" hidden="1">
      <c r="A474" s="8"/>
      <c r="C474" s="4" t="s">
        <v>1103</v>
      </c>
      <c r="F474" s="4"/>
      <c r="G474" s="4"/>
      <c r="H474" s="4"/>
      <c r="I474" s="4"/>
    </row>
    <row r="475" spans="1:9" ht="15" hidden="1">
      <c r="A475" s="8"/>
      <c r="C475" s="4" t="s">
        <v>1104</v>
      </c>
      <c r="F475" s="4"/>
      <c r="G475" s="4"/>
      <c r="H475" s="4"/>
      <c r="I475" s="4"/>
    </row>
    <row r="476" spans="1:9" ht="15" hidden="1">
      <c r="A476" s="8"/>
      <c r="C476" s="4" t="s">
        <v>1105</v>
      </c>
      <c r="F476" s="4"/>
      <c r="G476" s="4"/>
      <c r="H476" s="4"/>
      <c r="I476" s="4"/>
    </row>
    <row r="477" spans="1:9" ht="15" hidden="1">
      <c r="A477" s="8"/>
      <c r="C477" s="4" t="s">
        <v>1106</v>
      </c>
      <c r="F477" s="4"/>
      <c r="G477" s="4"/>
      <c r="H477" s="4"/>
      <c r="I477" s="4"/>
    </row>
    <row r="478" spans="1:9" ht="15" hidden="1">
      <c r="A478" s="8"/>
      <c r="C478" s="4" t="s">
        <v>1107</v>
      </c>
      <c r="F478" s="4"/>
      <c r="G478" s="4"/>
      <c r="H478" s="4"/>
      <c r="I478" s="4"/>
    </row>
    <row r="479" spans="1:9" ht="15" hidden="1">
      <c r="A479" s="8"/>
      <c r="C479" s="4" t="s">
        <v>1108</v>
      </c>
      <c r="F479" s="4"/>
      <c r="G479" s="4"/>
      <c r="H479" s="4"/>
      <c r="I479" s="4"/>
    </row>
    <row r="480" spans="1:9" ht="15" hidden="1">
      <c r="A480" s="8"/>
      <c r="C480" s="4" t="s">
        <v>1109</v>
      </c>
      <c r="F480" s="4"/>
      <c r="G480" s="4"/>
      <c r="H480" s="4"/>
      <c r="I480" s="4"/>
    </row>
    <row r="481" spans="1:9" ht="15" hidden="1">
      <c r="A481" s="8"/>
      <c r="C481" s="4" t="s">
        <v>1110</v>
      </c>
      <c r="F481" s="4"/>
      <c r="G481" s="4"/>
      <c r="H481" s="4"/>
      <c r="I481" s="4"/>
    </row>
    <row r="482" spans="1:9" ht="15" hidden="1">
      <c r="A482" s="8"/>
      <c r="C482" s="4" t="s">
        <v>1111</v>
      </c>
      <c r="F482" s="4"/>
      <c r="G482" s="4"/>
      <c r="H482" s="4"/>
      <c r="I482" s="4"/>
    </row>
    <row r="483" spans="1:9" ht="15" hidden="1">
      <c r="A483" s="8"/>
      <c r="C483" s="4" t="s">
        <v>1112</v>
      </c>
      <c r="F483" s="4"/>
      <c r="G483" s="4"/>
      <c r="H483" s="4"/>
      <c r="I483" s="4"/>
    </row>
    <row r="484" spans="1:9" ht="15" hidden="1">
      <c r="A484" s="8"/>
      <c r="C484" s="4" t="s">
        <v>1113</v>
      </c>
      <c r="F484" s="4"/>
      <c r="G484" s="4"/>
      <c r="H484" s="4"/>
      <c r="I484" s="4"/>
    </row>
    <row r="485" spans="1:9" ht="15" hidden="1">
      <c r="A485" s="8"/>
      <c r="C485" s="4" t="s">
        <v>1114</v>
      </c>
      <c r="F485" s="4"/>
      <c r="G485" s="4"/>
      <c r="H485" s="4"/>
      <c r="I485" s="4"/>
    </row>
    <row r="486" spans="1:9" ht="15" hidden="1">
      <c r="A486" s="8"/>
      <c r="C486" s="4" t="s">
        <v>1115</v>
      </c>
      <c r="F486" s="4"/>
      <c r="G486" s="4"/>
      <c r="H486" s="4"/>
      <c r="I486" s="4"/>
    </row>
    <row r="487" spans="1:9" ht="15" hidden="1">
      <c r="A487" s="8"/>
      <c r="C487" s="4" t="s">
        <v>1116</v>
      </c>
      <c r="F487" s="4"/>
      <c r="G487" s="4"/>
      <c r="H487" s="4"/>
      <c r="I487" s="4"/>
    </row>
    <row r="488" spans="1:9" ht="15" hidden="1">
      <c r="A488" s="8"/>
      <c r="C488" s="4" t="s">
        <v>1117</v>
      </c>
      <c r="F488" s="4"/>
      <c r="G488" s="4"/>
      <c r="H488" s="4"/>
      <c r="I488" s="4"/>
    </row>
    <row r="489" spans="1:9" ht="15" hidden="1">
      <c r="A489" s="8"/>
      <c r="C489" s="4" t="s">
        <v>1118</v>
      </c>
      <c r="F489" s="4"/>
      <c r="G489" s="4"/>
      <c r="H489" s="4"/>
      <c r="I489" s="4"/>
    </row>
    <row r="490" spans="1:9" ht="15" hidden="1">
      <c r="A490" s="8"/>
      <c r="C490" s="4" t="s">
        <v>1119</v>
      </c>
      <c r="F490" s="4"/>
      <c r="G490" s="4"/>
      <c r="H490" s="4"/>
      <c r="I490" s="4"/>
    </row>
    <row r="491" spans="1:9" ht="15" hidden="1">
      <c r="A491" s="8"/>
      <c r="C491" s="4" t="s">
        <v>1120</v>
      </c>
      <c r="F491" s="4"/>
      <c r="G491" s="4"/>
      <c r="H491" s="4"/>
      <c r="I491" s="4"/>
    </row>
    <row r="492" spans="1:9" ht="15" hidden="1">
      <c r="A492" s="8"/>
      <c r="C492" s="4" t="s">
        <v>1121</v>
      </c>
      <c r="F492" s="4"/>
      <c r="G492" s="4"/>
      <c r="H492" s="4"/>
      <c r="I492" s="4"/>
    </row>
    <row r="493" spans="1:9" ht="15" hidden="1">
      <c r="A493" s="8"/>
      <c r="C493" s="4" t="s">
        <v>1122</v>
      </c>
      <c r="F493" s="4"/>
      <c r="G493" s="4"/>
      <c r="H493" s="4"/>
      <c r="I493" s="4"/>
    </row>
    <row r="494" spans="1:9" ht="15" hidden="1">
      <c r="A494" s="8"/>
      <c r="C494" s="4" t="s">
        <v>1123</v>
      </c>
      <c r="F494" s="4"/>
      <c r="G494" s="4"/>
      <c r="H494" s="4"/>
      <c r="I494" s="4"/>
    </row>
    <row r="495" spans="1:9" ht="15" hidden="1">
      <c r="A495" s="8"/>
      <c r="C495" s="4" t="s">
        <v>1124</v>
      </c>
      <c r="F495" s="4"/>
      <c r="G495" s="4"/>
      <c r="H495" s="4"/>
      <c r="I495" s="4"/>
    </row>
    <row r="496" spans="1:9" ht="15" hidden="1">
      <c r="A496" s="8"/>
      <c r="C496" s="4" t="s">
        <v>1125</v>
      </c>
      <c r="F496" s="4"/>
      <c r="G496" s="4"/>
      <c r="H496" s="4"/>
      <c r="I496" s="4"/>
    </row>
    <row r="497" spans="1:9" ht="15" hidden="1">
      <c r="A497" s="8"/>
      <c r="C497" s="4" t="s">
        <v>1126</v>
      </c>
      <c r="F497" s="4"/>
      <c r="G497" s="4"/>
      <c r="H497" s="4"/>
      <c r="I497" s="4"/>
    </row>
    <row r="498" spans="1:9" ht="15" hidden="1">
      <c r="A498" s="8"/>
      <c r="C498" s="4" t="s">
        <v>1127</v>
      </c>
      <c r="F498" s="4"/>
      <c r="G498" s="4"/>
      <c r="H498" s="4"/>
      <c r="I498" s="4"/>
    </row>
    <row r="499" spans="1:9" ht="15" hidden="1">
      <c r="A499" s="8"/>
      <c r="C499" s="4" t="s">
        <v>1128</v>
      </c>
      <c r="F499" s="4"/>
      <c r="G499" s="4"/>
      <c r="H499" s="4"/>
      <c r="I499" s="4"/>
    </row>
    <row r="500" spans="1:9" ht="15" hidden="1">
      <c r="A500" s="8"/>
      <c r="C500" s="4" t="s">
        <v>1129</v>
      </c>
      <c r="F500" s="4"/>
      <c r="G500" s="4"/>
      <c r="H500" s="4"/>
      <c r="I500" s="4"/>
    </row>
    <row r="501" spans="1:9" ht="15" hidden="1">
      <c r="A501" s="8"/>
      <c r="C501" s="4" t="s">
        <v>1130</v>
      </c>
      <c r="F501" s="4"/>
      <c r="G501" s="4"/>
      <c r="H501" s="4"/>
      <c r="I501" s="4"/>
    </row>
    <row r="502" spans="1:9" ht="15" hidden="1">
      <c r="A502" s="8"/>
      <c r="C502" s="4" t="s">
        <v>1131</v>
      </c>
      <c r="F502" s="4"/>
      <c r="G502" s="4"/>
      <c r="H502" s="4"/>
      <c r="I502" s="4"/>
    </row>
    <row r="503" spans="1:9" ht="15" hidden="1">
      <c r="A503" s="8"/>
      <c r="C503" s="4" t="s">
        <v>1132</v>
      </c>
      <c r="F503" s="4"/>
      <c r="G503" s="4"/>
      <c r="H503" s="4"/>
      <c r="I503" s="4"/>
    </row>
    <row r="504" spans="1:9" ht="15" hidden="1">
      <c r="A504" s="8"/>
      <c r="C504" s="4" t="s">
        <v>1133</v>
      </c>
      <c r="F504" s="4"/>
      <c r="G504" s="4"/>
      <c r="H504" s="4"/>
      <c r="I504" s="4"/>
    </row>
    <row r="505" spans="1:9" ht="15" hidden="1">
      <c r="A505" s="8"/>
      <c r="C505" s="4" t="s">
        <v>1134</v>
      </c>
      <c r="F505" s="4"/>
      <c r="G505" s="4"/>
      <c r="H505" s="4"/>
      <c r="I505" s="4"/>
    </row>
    <row r="506" spans="1:9" ht="15" hidden="1">
      <c r="A506" s="8"/>
      <c r="C506" s="4" t="s">
        <v>1135</v>
      </c>
      <c r="F506" s="4"/>
      <c r="G506" s="4"/>
      <c r="H506" s="4"/>
      <c r="I506" s="4"/>
    </row>
    <row r="507" spans="1:9" ht="15" hidden="1">
      <c r="A507" s="8"/>
      <c r="C507" s="4" t="s">
        <v>1136</v>
      </c>
      <c r="F507" s="4"/>
      <c r="G507" s="4"/>
      <c r="H507" s="4"/>
      <c r="I507" s="4"/>
    </row>
    <row r="508" spans="1:9" ht="15" hidden="1">
      <c r="A508" s="8"/>
      <c r="C508" s="4" t="s">
        <v>1137</v>
      </c>
      <c r="F508" s="4"/>
      <c r="G508" s="4"/>
      <c r="H508" s="4"/>
      <c r="I508" s="4"/>
    </row>
    <row r="509" spans="1:9" ht="15" hidden="1">
      <c r="A509" s="8"/>
      <c r="C509" s="4" t="s">
        <v>1138</v>
      </c>
      <c r="F509" s="4"/>
      <c r="G509" s="4"/>
      <c r="H509" s="4"/>
      <c r="I509" s="4"/>
    </row>
    <row r="510" spans="1:9" ht="15" hidden="1">
      <c r="A510" s="8"/>
      <c r="C510" s="4" t="s">
        <v>1139</v>
      </c>
      <c r="F510" s="4"/>
      <c r="G510" s="4"/>
      <c r="H510" s="4"/>
      <c r="I510" s="4"/>
    </row>
    <row r="511" spans="1:9" ht="15" hidden="1">
      <c r="A511" s="8"/>
      <c r="C511" s="4" t="s">
        <v>1140</v>
      </c>
      <c r="F511" s="4"/>
      <c r="G511" s="4"/>
      <c r="H511" s="4"/>
      <c r="I511" s="4"/>
    </row>
    <row r="512" spans="1:9" ht="15" hidden="1">
      <c r="A512" s="8"/>
      <c r="C512" s="4" t="s">
        <v>1141</v>
      </c>
      <c r="F512" s="4"/>
      <c r="G512" s="4"/>
      <c r="H512" s="4"/>
      <c r="I512" s="4"/>
    </row>
    <row r="513" spans="1:9" ht="15" hidden="1">
      <c r="A513" s="8"/>
      <c r="C513" s="4" t="s">
        <v>1142</v>
      </c>
      <c r="F513" s="4"/>
      <c r="G513" s="4"/>
      <c r="H513" s="4"/>
      <c r="I513" s="4"/>
    </row>
    <row r="514" spans="1:9" ht="15" hidden="1">
      <c r="A514" s="8"/>
      <c r="C514" s="4" t="s">
        <v>1143</v>
      </c>
      <c r="F514" s="4"/>
      <c r="G514" s="4"/>
      <c r="H514" s="4"/>
      <c r="I514" s="4"/>
    </row>
    <row r="515" spans="1:9" ht="15" hidden="1">
      <c r="A515" s="8"/>
      <c r="C515" s="4" t="s">
        <v>1144</v>
      </c>
      <c r="F515" s="4"/>
      <c r="G515" s="4"/>
      <c r="H515" s="4"/>
      <c r="I515" s="4"/>
    </row>
    <row r="516" spans="1:9" ht="15" hidden="1">
      <c r="A516" s="8"/>
      <c r="C516" s="4" t="s">
        <v>1145</v>
      </c>
      <c r="F516" s="4"/>
      <c r="G516" s="4"/>
      <c r="H516" s="4"/>
      <c r="I516" s="4"/>
    </row>
    <row r="517" spans="1:9" ht="15" hidden="1">
      <c r="A517" s="8"/>
      <c r="C517" s="4" t="s">
        <v>1146</v>
      </c>
      <c r="F517" s="4"/>
      <c r="G517" s="4"/>
      <c r="H517" s="4"/>
      <c r="I517" s="4"/>
    </row>
    <row r="518" spans="1:9" ht="15" hidden="1">
      <c r="A518" s="8"/>
      <c r="C518" s="4" t="s">
        <v>1147</v>
      </c>
      <c r="F518" s="4"/>
      <c r="G518" s="4"/>
      <c r="H518" s="4"/>
      <c r="I518" s="4"/>
    </row>
    <row r="519" spans="1:9" ht="15" hidden="1">
      <c r="A519" s="8"/>
      <c r="C519" s="4" t="s">
        <v>1148</v>
      </c>
      <c r="F519" s="4"/>
      <c r="G519" s="4"/>
      <c r="H519" s="4"/>
      <c r="I519" s="4"/>
    </row>
    <row r="520" spans="1:9" ht="15" hidden="1">
      <c r="A520" s="8"/>
      <c r="C520" s="4" t="s">
        <v>1149</v>
      </c>
      <c r="F520" s="4"/>
      <c r="G520" s="4"/>
      <c r="H520" s="4"/>
      <c r="I520" s="4"/>
    </row>
    <row r="521" spans="1:9" ht="15" hidden="1">
      <c r="A521" s="8"/>
      <c r="C521" s="4" t="s">
        <v>1150</v>
      </c>
      <c r="F521" s="4"/>
      <c r="G521" s="4"/>
      <c r="H521" s="4"/>
      <c r="I521" s="4"/>
    </row>
    <row r="522" spans="1:9" ht="15" hidden="1">
      <c r="A522" s="8"/>
      <c r="C522" s="4" t="s">
        <v>1151</v>
      </c>
      <c r="F522" s="4"/>
      <c r="G522" s="4"/>
      <c r="H522" s="4"/>
      <c r="I522" s="4"/>
    </row>
    <row r="523" spans="1:9" ht="15" hidden="1">
      <c r="A523" s="8"/>
      <c r="C523" s="4" t="s">
        <v>1152</v>
      </c>
      <c r="F523" s="4"/>
      <c r="G523" s="4"/>
      <c r="H523" s="4"/>
      <c r="I523" s="4"/>
    </row>
    <row r="524" spans="1:9" ht="15" hidden="1">
      <c r="A524" s="8"/>
      <c r="C524" s="4" t="s">
        <v>1153</v>
      </c>
      <c r="F524" s="4"/>
      <c r="G524" s="4"/>
      <c r="H524" s="4"/>
      <c r="I524" s="4"/>
    </row>
    <row r="525" spans="1:9" ht="15" hidden="1">
      <c r="A525" s="8"/>
      <c r="C525" s="4" t="s">
        <v>1154</v>
      </c>
      <c r="F525" s="4"/>
      <c r="G525" s="4"/>
      <c r="H525" s="4"/>
      <c r="I525" s="4"/>
    </row>
    <row r="526" spans="1:9" ht="15" hidden="1">
      <c r="A526" s="8"/>
      <c r="C526" s="4" t="s">
        <v>1155</v>
      </c>
      <c r="F526" s="4"/>
      <c r="G526" s="4"/>
      <c r="H526" s="4"/>
      <c r="I526" s="4"/>
    </row>
    <row r="527" spans="1:9" ht="15" hidden="1">
      <c r="A527" s="8"/>
      <c r="C527" s="4" t="s">
        <v>1156</v>
      </c>
      <c r="F527" s="4"/>
      <c r="G527" s="4"/>
      <c r="H527" s="4"/>
      <c r="I527" s="4"/>
    </row>
    <row r="528" spans="1:9" ht="15" hidden="1">
      <c r="A528" s="8"/>
      <c r="C528" s="4" t="s">
        <v>1157</v>
      </c>
      <c r="F528" s="4"/>
      <c r="G528" s="4"/>
      <c r="H528" s="4"/>
      <c r="I528" s="4"/>
    </row>
    <row r="529" spans="1:9" ht="15" hidden="1">
      <c r="A529" s="8"/>
      <c r="C529" s="4" t="s">
        <v>1158</v>
      </c>
      <c r="F529" s="4"/>
      <c r="G529" s="4"/>
      <c r="H529" s="4"/>
      <c r="I529" s="4"/>
    </row>
    <row r="530" spans="1:9" ht="15" hidden="1">
      <c r="A530" s="8"/>
      <c r="C530" s="4" t="s">
        <v>1159</v>
      </c>
      <c r="F530" s="4"/>
      <c r="G530" s="4"/>
      <c r="H530" s="4"/>
      <c r="I530" s="4"/>
    </row>
    <row r="531" spans="1:9" ht="15" hidden="1">
      <c r="A531" s="8"/>
      <c r="C531" s="4" t="s">
        <v>1160</v>
      </c>
      <c r="F531" s="4"/>
      <c r="G531" s="4"/>
      <c r="H531" s="4"/>
      <c r="I531" s="4"/>
    </row>
    <row r="532" spans="1:9" ht="15" hidden="1">
      <c r="A532" s="8"/>
      <c r="C532" s="4" t="s">
        <v>1161</v>
      </c>
      <c r="F532" s="4"/>
      <c r="G532" s="4"/>
      <c r="H532" s="4"/>
      <c r="I532" s="4"/>
    </row>
    <row r="533" spans="1:9" ht="15" hidden="1">
      <c r="A533" s="8"/>
      <c r="C533" s="4" t="s">
        <v>1162</v>
      </c>
      <c r="F533" s="4"/>
      <c r="G533" s="4"/>
      <c r="H533" s="4"/>
      <c r="I533" s="4"/>
    </row>
    <row r="534" spans="1:9" ht="15" hidden="1">
      <c r="A534" s="8"/>
      <c r="C534" s="4" t="s">
        <v>1163</v>
      </c>
      <c r="F534" s="4"/>
      <c r="G534" s="4"/>
      <c r="H534" s="4"/>
      <c r="I534" s="4"/>
    </row>
    <row r="535" spans="1:9" ht="15" hidden="1">
      <c r="A535" s="8"/>
      <c r="C535" s="4" t="s">
        <v>1164</v>
      </c>
      <c r="F535" s="4"/>
      <c r="G535" s="4"/>
      <c r="H535" s="4"/>
      <c r="I535" s="4"/>
    </row>
    <row r="536" spans="1:9" ht="15" hidden="1">
      <c r="A536" s="8"/>
      <c r="C536" s="4" t="s">
        <v>1165</v>
      </c>
      <c r="F536" s="4"/>
      <c r="G536" s="4"/>
      <c r="H536" s="4"/>
      <c r="I536" s="4"/>
    </row>
    <row r="537" spans="1:9" ht="15" hidden="1">
      <c r="A537" s="8"/>
      <c r="C537" s="4" t="s">
        <v>1166</v>
      </c>
      <c r="F537" s="4"/>
      <c r="G537" s="4"/>
      <c r="H537" s="4"/>
      <c r="I537" s="4"/>
    </row>
    <row r="538" spans="1:9" ht="15" hidden="1">
      <c r="A538" s="8"/>
      <c r="C538" s="4" t="s">
        <v>1167</v>
      </c>
      <c r="F538" s="4"/>
      <c r="G538" s="4"/>
      <c r="H538" s="4"/>
      <c r="I538" s="4"/>
    </row>
    <row r="539" spans="1:9" ht="15" hidden="1">
      <c r="A539" s="8"/>
      <c r="C539" s="4" t="s">
        <v>1168</v>
      </c>
      <c r="F539" s="4"/>
      <c r="G539" s="4"/>
      <c r="H539" s="4"/>
      <c r="I539" s="4"/>
    </row>
    <row r="540" spans="1:9" ht="15" hidden="1">
      <c r="A540" s="8"/>
      <c r="C540" s="4" t="s">
        <v>1169</v>
      </c>
      <c r="F540" s="4"/>
      <c r="G540" s="4"/>
      <c r="H540" s="4"/>
      <c r="I540" s="4"/>
    </row>
    <row r="541" spans="1:9" ht="15" hidden="1">
      <c r="A541" s="8"/>
      <c r="C541" s="4" t="s">
        <v>1170</v>
      </c>
      <c r="F541" s="4"/>
      <c r="G541" s="4"/>
      <c r="H541" s="4"/>
      <c r="I541" s="4"/>
    </row>
    <row r="542" spans="1:9" ht="15" hidden="1">
      <c r="A542" s="8"/>
      <c r="C542" s="4" t="s">
        <v>1171</v>
      </c>
      <c r="F542" s="4"/>
      <c r="G542" s="4"/>
      <c r="H542" s="4"/>
      <c r="I542" s="4"/>
    </row>
    <row r="543" spans="1:9" ht="15" hidden="1">
      <c r="A543" s="8"/>
      <c r="C543" s="4" t="s">
        <v>1172</v>
      </c>
      <c r="F543" s="4"/>
      <c r="G543" s="4"/>
      <c r="H543" s="4"/>
      <c r="I543" s="4"/>
    </row>
    <row r="544" spans="1:9" ht="15" hidden="1">
      <c r="A544" s="8"/>
      <c r="C544" s="4" t="s">
        <v>1173</v>
      </c>
      <c r="F544" s="4"/>
      <c r="G544" s="4"/>
      <c r="H544" s="4"/>
      <c r="I544" s="4"/>
    </row>
    <row r="545" spans="1:9" ht="15" hidden="1">
      <c r="A545" s="8"/>
      <c r="C545" s="4" t="s">
        <v>1174</v>
      </c>
      <c r="F545" s="4"/>
      <c r="G545" s="4"/>
      <c r="H545" s="4"/>
      <c r="I545" s="4"/>
    </row>
    <row r="546" spans="1:9" ht="15" hidden="1">
      <c r="A546" s="8"/>
      <c r="C546" s="4" t="s">
        <v>1175</v>
      </c>
      <c r="F546" s="4"/>
      <c r="G546" s="4"/>
      <c r="H546" s="4"/>
      <c r="I546" s="4"/>
    </row>
    <row r="547" spans="1:9" ht="15" hidden="1">
      <c r="A547" s="8"/>
      <c r="C547" s="4" t="s">
        <v>1176</v>
      </c>
      <c r="F547" s="4"/>
      <c r="G547" s="4"/>
      <c r="H547" s="4"/>
      <c r="I547" s="4"/>
    </row>
    <row r="548" spans="1:9" ht="15" hidden="1">
      <c r="A548" s="8"/>
      <c r="C548" s="4" t="s">
        <v>1177</v>
      </c>
      <c r="F548" s="4"/>
      <c r="G548" s="4"/>
      <c r="H548" s="4"/>
      <c r="I548" s="4"/>
    </row>
    <row r="549" spans="1:9" ht="15" hidden="1">
      <c r="A549" s="8"/>
      <c r="C549" s="4" t="s">
        <v>1178</v>
      </c>
      <c r="F549" s="4"/>
      <c r="G549" s="4"/>
      <c r="H549" s="4"/>
      <c r="I549" s="4"/>
    </row>
    <row r="550" spans="1:9" ht="15" hidden="1">
      <c r="A550" s="8"/>
      <c r="C550" s="4" t="s">
        <v>1179</v>
      </c>
      <c r="F550" s="4"/>
      <c r="G550" s="4"/>
      <c r="H550" s="4"/>
      <c r="I550" s="4"/>
    </row>
    <row r="551" spans="1:9" ht="15" hidden="1">
      <c r="A551" s="8"/>
      <c r="C551" s="4" t="s">
        <v>1180</v>
      </c>
      <c r="F551" s="4"/>
      <c r="G551" s="4"/>
      <c r="H551" s="4"/>
      <c r="I551" s="4"/>
    </row>
    <row r="552" spans="1:9" ht="15" hidden="1">
      <c r="A552" s="8"/>
      <c r="C552" s="4" t="s">
        <v>1181</v>
      </c>
      <c r="F552" s="4"/>
      <c r="G552" s="4"/>
      <c r="H552" s="4"/>
      <c r="I552" s="4"/>
    </row>
    <row r="553" spans="1:9" ht="15" hidden="1">
      <c r="A553" s="8"/>
      <c r="C553" s="4" t="s">
        <v>1182</v>
      </c>
      <c r="F553" s="4"/>
      <c r="G553" s="4"/>
      <c r="H553" s="4"/>
      <c r="I553" s="4"/>
    </row>
    <row r="554" spans="1:9" ht="15" hidden="1">
      <c r="A554" s="8"/>
      <c r="C554" s="4" t="s">
        <v>1183</v>
      </c>
      <c r="F554" s="4"/>
      <c r="G554" s="4"/>
      <c r="H554" s="4"/>
      <c r="I554" s="4"/>
    </row>
    <row r="555" spans="1:9" ht="15" hidden="1">
      <c r="A555" s="8"/>
      <c r="C555" s="4" t="s">
        <v>1184</v>
      </c>
      <c r="F555" s="4"/>
      <c r="G555" s="4"/>
      <c r="H555" s="4"/>
      <c r="I555" s="4"/>
    </row>
    <row r="556" spans="1:9" ht="15" hidden="1">
      <c r="A556" s="8"/>
      <c r="C556" s="4" t="s">
        <v>1185</v>
      </c>
      <c r="F556" s="4"/>
      <c r="G556" s="4"/>
      <c r="H556" s="4"/>
      <c r="I556" s="4"/>
    </row>
    <row r="557" spans="1:9" ht="15" hidden="1">
      <c r="A557" s="8"/>
      <c r="C557" s="4" t="s">
        <v>1186</v>
      </c>
      <c r="F557" s="4"/>
      <c r="G557" s="4"/>
      <c r="H557" s="4"/>
      <c r="I557" s="4"/>
    </row>
    <row r="558" spans="1:9" ht="15" hidden="1">
      <c r="A558" s="8"/>
      <c r="C558" s="4" t="s">
        <v>1187</v>
      </c>
      <c r="F558" s="4"/>
      <c r="G558" s="4"/>
      <c r="H558" s="4"/>
      <c r="I558" s="4"/>
    </row>
    <row r="559" spans="1:9" ht="15" hidden="1">
      <c r="A559" s="8"/>
      <c r="C559" s="4" t="s">
        <v>1188</v>
      </c>
      <c r="F559" s="4"/>
      <c r="G559" s="4"/>
      <c r="H559" s="4"/>
      <c r="I559" s="4"/>
    </row>
    <row r="560" spans="1:9" ht="15" hidden="1">
      <c r="A560" s="8"/>
      <c r="C560" s="4" t="s">
        <v>1189</v>
      </c>
      <c r="F560" s="4"/>
      <c r="G560" s="4"/>
      <c r="H560" s="4"/>
      <c r="I560" s="4"/>
    </row>
    <row r="561" spans="1:9" ht="15" hidden="1">
      <c r="A561" s="8"/>
      <c r="C561" s="4" t="s">
        <v>1190</v>
      </c>
      <c r="F561" s="4"/>
      <c r="G561" s="4"/>
      <c r="H561" s="4"/>
      <c r="I561" s="4"/>
    </row>
    <row r="562" spans="1:9" ht="15" hidden="1">
      <c r="A562" s="8"/>
      <c r="C562" s="4" t="s">
        <v>1191</v>
      </c>
      <c r="F562" s="4"/>
      <c r="G562" s="4"/>
      <c r="H562" s="4"/>
      <c r="I562" s="4"/>
    </row>
    <row r="563" spans="1:9" ht="15" hidden="1">
      <c r="A563" s="8"/>
      <c r="C563" s="4" t="s">
        <v>1192</v>
      </c>
      <c r="F563" s="4"/>
      <c r="G563" s="4"/>
      <c r="H563" s="4"/>
      <c r="I563" s="4"/>
    </row>
    <row r="564" spans="1:9" ht="15" hidden="1">
      <c r="A564" s="8"/>
      <c r="C564" s="4" t="s">
        <v>1193</v>
      </c>
      <c r="F564" s="4"/>
      <c r="G564" s="4"/>
      <c r="H564" s="4"/>
      <c r="I564" s="4"/>
    </row>
    <row r="565" spans="1:9" ht="15" hidden="1">
      <c r="A565" s="8"/>
      <c r="C565" s="4" t="s">
        <v>1194</v>
      </c>
      <c r="F565" s="4"/>
      <c r="G565" s="4"/>
      <c r="H565" s="4"/>
      <c r="I565" s="4"/>
    </row>
    <row r="566" spans="1:9" ht="15" hidden="1">
      <c r="A566" s="8"/>
      <c r="C566" s="4" t="s">
        <v>1195</v>
      </c>
      <c r="F566" s="4"/>
      <c r="G566" s="4"/>
      <c r="H566" s="4"/>
      <c r="I566" s="4"/>
    </row>
    <row r="567" spans="1:9" ht="15" hidden="1">
      <c r="A567" s="8"/>
      <c r="C567" s="4" t="s">
        <v>1196</v>
      </c>
      <c r="F567" s="4"/>
      <c r="G567" s="4"/>
      <c r="H567" s="4"/>
      <c r="I567" s="4"/>
    </row>
    <row r="568" spans="1:9" ht="15" hidden="1">
      <c r="A568" s="8"/>
      <c r="C568" s="4" t="s">
        <v>1197</v>
      </c>
      <c r="F568" s="4"/>
      <c r="G568" s="4"/>
      <c r="H568" s="4"/>
      <c r="I568" s="4"/>
    </row>
    <row r="569" spans="1:9" ht="15" hidden="1">
      <c r="A569" s="8"/>
      <c r="C569" s="4" t="s">
        <v>1198</v>
      </c>
      <c r="F569" s="4"/>
      <c r="G569" s="4"/>
      <c r="H569" s="4"/>
      <c r="I569" s="4"/>
    </row>
    <row r="570" spans="1:9" ht="15" hidden="1">
      <c r="A570" s="8"/>
      <c r="C570" s="4" t="s">
        <v>1199</v>
      </c>
      <c r="F570" s="4"/>
      <c r="G570" s="4"/>
      <c r="H570" s="4"/>
      <c r="I570" s="4"/>
    </row>
    <row r="571" spans="1:9" ht="15" hidden="1">
      <c r="A571" s="8"/>
      <c r="C571" s="4" t="s">
        <v>1200</v>
      </c>
      <c r="F571" s="4"/>
      <c r="G571" s="4"/>
      <c r="H571" s="4"/>
      <c r="I571" s="4"/>
    </row>
    <row r="572" spans="1:9" ht="15" hidden="1">
      <c r="A572" s="8"/>
      <c r="C572" s="4" t="s">
        <v>1201</v>
      </c>
      <c r="F572" s="4"/>
      <c r="G572" s="4"/>
      <c r="H572" s="4"/>
      <c r="I572" s="4"/>
    </row>
    <row r="573" spans="1:9" ht="15" hidden="1">
      <c r="A573" s="8"/>
      <c r="C573" s="4" t="s">
        <v>1202</v>
      </c>
      <c r="F573" s="4"/>
      <c r="G573" s="4"/>
      <c r="H573" s="4"/>
      <c r="I573" s="4"/>
    </row>
    <row r="574" spans="1:9" ht="15" hidden="1">
      <c r="A574" s="8"/>
      <c r="C574" s="4" t="s">
        <v>1203</v>
      </c>
      <c r="F574" s="4"/>
      <c r="G574" s="4"/>
      <c r="H574" s="4"/>
      <c r="I574" s="4"/>
    </row>
    <row r="575" spans="1:9" ht="15" hidden="1">
      <c r="A575" s="8"/>
      <c r="C575" s="4" t="s">
        <v>1204</v>
      </c>
      <c r="F575" s="4"/>
      <c r="G575" s="4"/>
      <c r="H575" s="4"/>
      <c r="I575" s="4"/>
    </row>
    <row r="576" spans="1:9" ht="15" hidden="1">
      <c r="A576" s="8"/>
      <c r="C576" s="4" t="s">
        <v>1205</v>
      </c>
      <c r="F576" s="4"/>
      <c r="G576" s="4"/>
      <c r="H576" s="4"/>
      <c r="I576" s="4"/>
    </row>
    <row r="577" spans="1:9" ht="15" hidden="1">
      <c r="A577" s="8"/>
      <c r="C577" s="4" t="s">
        <v>1206</v>
      </c>
      <c r="F577" s="4"/>
      <c r="G577" s="4"/>
      <c r="H577" s="4"/>
      <c r="I577" s="4"/>
    </row>
    <row r="578" spans="1:9" ht="15" hidden="1">
      <c r="A578" s="8"/>
      <c r="C578" s="4" t="s">
        <v>1207</v>
      </c>
      <c r="F578" s="4"/>
      <c r="G578" s="4"/>
      <c r="H578" s="4"/>
      <c r="I578" s="4"/>
    </row>
    <row r="579" spans="1:9" ht="15" hidden="1">
      <c r="A579" s="8"/>
      <c r="C579" s="4" t="s">
        <v>1208</v>
      </c>
      <c r="F579" s="4"/>
      <c r="G579" s="4"/>
      <c r="H579" s="4"/>
      <c r="I579" s="4"/>
    </row>
    <row r="580" spans="1:9" ht="15" hidden="1">
      <c r="A580" s="8"/>
      <c r="C580" s="4" t="s">
        <v>1209</v>
      </c>
      <c r="F580" s="4"/>
      <c r="G580" s="4"/>
      <c r="H580" s="4"/>
      <c r="I580" s="4"/>
    </row>
    <row r="581" spans="1:9" ht="15" hidden="1">
      <c r="A581" s="8"/>
      <c r="C581" s="4" t="s">
        <v>1210</v>
      </c>
      <c r="F581" s="4"/>
      <c r="G581" s="4"/>
      <c r="H581" s="4"/>
      <c r="I581" s="4"/>
    </row>
    <row r="582" spans="1:9" ht="15" hidden="1">
      <c r="A582" s="8"/>
      <c r="C582" s="4" t="s">
        <v>1211</v>
      </c>
      <c r="F582" s="4"/>
      <c r="G582" s="4"/>
      <c r="H582" s="4"/>
      <c r="I582" s="4"/>
    </row>
    <row r="583" spans="1:9" ht="15" hidden="1">
      <c r="A583" s="8"/>
      <c r="C583" s="4" t="s">
        <v>1212</v>
      </c>
      <c r="F583" s="4"/>
      <c r="G583" s="4"/>
      <c r="H583" s="4"/>
      <c r="I583" s="4"/>
    </row>
    <row r="584" spans="1:9" ht="15" hidden="1">
      <c r="A584" s="8"/>
      <c r="C584" s="4" t="s">
        <v>1213</v>
      </c>
      <c r="F584" s="4"/>
      <c r="G584" s="4"/>
      <c r="H584" s="4"/>
      <c r="I584" s="4"/>
    </row>
    <row r="585" spans="1:9" ht="15" hidden="1">
      <c r="A585" s="8"/>
      <c r="C585" s="4" t="s">
        <v>1214</v>
      </c>
      <c r="F585" s="4"/>
      <c r="G585" s="4"/>
      <c r="H585" s="4"/>
      <c r="I585" s="4"/>
    </row>
    <row r="586" spans="1:9" ht="15" hidden="1">
      <c r="A586" s="8"/>
      <c r="C586" s="4" t="s">
        <v>1215</v>
      </c>
      <c r="F586" s="4"/>
      <c r="G586" s="4"/>
      <c r="H586" s="4"/>
      <c r="I586" s="4"/>
    </row>
    <row r="587" spans="1:9" ht="15" hidden="1">
      <c r="A587" s="8"/>
      <c r="C587" s="4" t="s">
        <v>1216</v>
      </c>
      <c r="F587" s="4"/>
      <c r="G587" s="4"/>
      <c r="H587" s="4"/>
      <c r="I587" s="4"/>
    </row>
    <row r="588" spans="1:9" ht="15" hidden="1">
      <c r="A588" s="8"/>
      <c r="C588" s="4" t="s">
        <v>1217</v>
      </c>
      <c r="F588" s="4"/>
      <c r="G588" s="4"/>
      <c r="H588" s="4"/>
      <c r="I588" s="4"/>
    </row>
    <row r="589" spans="1:9" ht="15" hidden="1">
      <c r="A589" s="8"/>
      <c r="C589" s="4" t="s">
        <v>1218</v>
      </c>
      <c r="F589" s="4"/>
      <c r="G589" s="4"/>
      <c r="H589" s="4"/>
      <c r="I589" s="4"/>
    </row>
    <row r="590" spans="1:9" ht="15" hidden="1">
      <c r="A590" s="8"/>
      <c r="C590" s="4" t="s">
        <v>1219</v>
      </c>
      <c r="F590" s="4"/>
      <c r="G590" s="4"/>
      <c r="H590" s="4"/>
      <c r="I590" s="4"/>
    </row>
    <row r="591" spans="1:9" ht="15" hidden="1">
      <c r="A591" s="8"/>
      <c r="C591" s="4" t="s">
        <v>1220</v>
      </c>
      <c r="F591" s="4"/>
      <c r="G591" s="4"/>
      <c r="H591" s="4"/>
      <c r="I591" s="4"/>
    </row>
    <row r="592" spans="1:9" ht="15" hidden="1">
      <c r="A592" s="8"/>
      <c r="C592" s="4" t="s">
        <v>1221</v>
      </c>
      <c r="F592" s="4"/>
      <c r="G592" s="4"/>
      <c r="H592" s="4"/>
      <c r="I592" s="4"/>
    </row>
    <row r="593" spans="1:9" ht="15" hidden="1">
      <c r="A593" s="8"/>
      <c r="C593" s="4" t="s">
        <v>1222</v>
      </c>
      <c r="F593" s="4"/>
      <c r="G593" s="4"/>
      <c r="H593" s="4"/>
      <c r="I593" s="4"/>
    </row>
    <row r="594" spans="1:9" ht="15" hidden="1">
      <c r="A594" s="8"/>
      <c r="C594" s="4" t="s">
        <v>1223</v>
      </c>
      <c r="F594" s="4"/>
      <c r="G594" s="4"/>
      <c r="H594" s="4"/>
      <c r="I594" s="4"/>
    </row>
    <row r="595" spans="1:9" ht="15" hidden="1">
      <c r="A595" s="8"/>
      <c r="C595" s="4" t="s">
        <v>1224</v>
      </c>
      <c r="F595" s="4"/>
      <c r="G595" s="4"/>
      <c r="H595" s="4"/>
      <c r="I595" s="4"/>
    </row>
    <row r="596" spans="1:9" ht="15" hidden="1">
      <c r="A596" s="8"/>
      <c r="C596" s="4" t="s">
        <v>1225</v>
      </c>
      <c r="F596" s="4"/>
      <c r="G596" s="4"/>
      <c r="H596" s="4"/>
      <c r="I596" s="4"/>
    </row>
    <row r="597" spans="1:9" ht="15" hidden="1">
      <c r="A597" s="8"/>
      <c r="C597" s="4" t="s">
        <v>1226</v>
      </c>
      <c r="F597" s="4"/>
      <c r="G597" s="4"/>
      <c r="H597" s="4"/>
      <c r="I597" s="4"/>
    </row>
    <row r="598" spans="1:9" ht="15" hidden="1">
      <c r="A598" s="8"/>
      <c r="C598" s="4" t="s">
        <v>1227</v>
      </c>
      <c r="F598" s="4"/>
      <c r="G598" s="4"/>
      <c r="H598" s="4"/>
      <c r="I598" s="4"/>
    </row>
    <row r="599" spans="1:9" ht="15" hidden="1">
      <c r="A599" s="8"/>
      <c r="C599" s="4" t="s">
        <v>1228</v>
      </c>
      <c r="F599" s="4"/>
      <c r="G599" s="4"/>
      <c r="H599" s="4"/>
      <c r="I599" s="4"/>
    </row>
    <row r="600" spans="1:9" ht="15">
      <c r="A600" s="8"/>
      <c r="C600" s="4" t="s">
        <v>188</v>
      </c>
      <c r="D600" t="s">
        <v>4</v>
      </c>
      <c r="E600" t="s">
        <v>4</v>
      </c>
      <c r="F600" s="4" t="s">
        <v>15</v>
      </c>
      <c r="G600" s="4"/>
      <c r="H600" s="4"/>
      <c r="I600" s="4"/>
    </row>
    <row r="601" spans="1:9" ht="15">
      <c r="A601" s="8"/>
      <c r="C601" s="4" t="s">
        <v>189</v>
      </c>
      <c r="D601" t="s">
        <v>4</v>
      </c>
      <c r="E601" t="s">
        <v>4</v>
      </c>
      <c r="F601" s="4" t="s">
        <v>15</v>
      </c>
      <c r="G601" s="4"/>
      <c r="H601" s="4"/>
      <c r="I601" s="4"/>
    </row>
    <row r="602" spans="1:9" ht="15">
      <c r="A602" s="8"/>
      <c r="C602" s="4" t="s">
        <v>1229</v>
      </c>
      <c r="D602" t="s">
        <v>4</v>
      </c>
      <c r="E602" t="s">
        <v>4</v>
      </c>
      <c r="F602" s="4" t="s">
        <v>19</v>
      </c>
      <c r="G602" s="4" t="s">
        <v>24</v>
      </c>
      <c r="H602" s="4" t="s">
        <v>7</v>
      </c>
      <c r="I602" s="4"/>
    </row>
    <row r="603" spans="1:9" ht="15" hidden="1">
      <c r="A603" s="8"/>
      <c r="C603" s="4" t="s">
        <v>1230</v>
      </c>
      <c r="F603" s="4"/>
      <c r="G603" s="4"/>
      <c r="H603" s="4"/>
      <c r="I603" s="4"/>
    </row>
    <row r="604" spans="1:9" ht="15" hidden="1">
      <c r="A604" s="8"/>
      <c r="C604" s="4" t="s">
        <v>1231</v>
      </c>
      <c r="F604" s="4"/>
      <c r="G604" s="4"/>
      <c r="H604" s="4"/>
      <c r="I604" s="4"/>
    </row>
    <row r="605" spans="1:9" ht="15" hidden="1">
      <c r="A605" s="8"/>
      <c r="C605" s="4" t="s">
        <v>1232</v>
      </c>
      <c r="F605" s="4"/>
      <c r="G605" s="4"/>
      <c r="H605" s="4"/>
      <c r="I605" s="4"/>
    </row>
    <row r="606" spans="1:9" ht="15" hidden="1">
      <c r="A606" s="8"/>
      <c r="C606" s="4" t="s">
        <v>1233</v>
      </c>
      <c r="F606" s="4"/>
      <c r="G606" s="4"/>
      <c r="H606" s="4"/>
      <c r="I606" s="4"/>
    </row>
    <row r="607" spans="1:9" ht="15" hidden="1">
      <c r="A607" s="8"/>
      <c r="C607" s="4" t="s">
        <v>1234</v>
      </c>
      <c r="F607" s="4"/>
      <c r="G607" s="4"/>
      <c r="H607" s="4"/>
      <c r="I607" s="4"/>
    </row>
    <row r="608" spans="1:9" ht="15" hidden="1">
      <c r="A608" s="8"/>
      <c r="C608" s="4" t="s">
        <v>1235</v>
      </c>
      <c r="F608" s="4"/>
      <c r="G608" s="4"/>
      <c r="H608" s="4"/>
      <c r="I608" s="4"/>
    </row>
    <row r="609" spans="1:9" ht="15" hidden="1">
      <c r="A609" s="8"/>
      <c r="C609" s="4" t="s">
        <v>1236</v>
      </c>
      <c r="F609" s="4"/>
      <c r="G609" s="4"/>
      <c r="H609" s="4"/>
      <c r="I609" s="4"/>
    </row>
    <row r="610" spans="1:9" ht="15" hidden="1">
      <c r="A610" s="8"/>
      <c r="C610" s="4" t="s">
        <v>1237</v>
      </c>
      <c r="F610" s="4"/>
      <c r="G610" s="4"/>
      <c r="H610" s="4"/>
      <c r="I610" s="4"/>
    </row>
    <row r="611" spans="1:9" ht="15" hidden="1">
      <c r="A611" s="8"/>
      <c r="C611" s="4" t="s">
        <v>1238</v>
      </c>
      <c r="F611" s="4"/>
      <c r="G611" s="4"/>
      <c r="H611" s="4"/>
      <c r="I611" s="4"/>
    </row>
    <row r="612" spans="1:9" ht="15" hidden="1">
      <c r="A612" s="8"/>
      <c r="C612" s="4" t="s">
        <v>1239</v>
      </c>
      <c r="F612" s="4"/>
      <c r="G612" s="4"/>
      <c r="H612" s="4"/>
      <c r="I612" s="4"/>
    </row>
    <row r="613" spans="1:9" ht="15" hidden="1">
      <c r="A613" s="8"/>
      <c r="C613" s="4" t="s">
        <v>1240</v>
      </c>
      <c r="F613" s="4"/>
      <c r="G613" s="4"/>
      <c r="H613" s="4"/>
      <c r="I613" s="4"/>
    </row>
    <row r="614" spans="1:9" ht="15" hidden="1">
      <c r="A614" s="8"/>
      <c r="C614" s="4" t="s">
        <v>1241</v>
      </c>
      <c r="F614" s="4"/>
      <c r="G614" s="4"/>
      <c r="H614" s="4"/>
      <c r="I614" s="4"/>
    </row>
    <row r="615" spans="1:9" ht="15" hidden="1">
      <c r="A615" s="8"/>
      <c r="C615" s="4" t="s">
        <v>1242</v>
      </c>
      <c r="F615" s="4"/>
      <c r="G615" s="4"/>
      <c r="H615" s="4"/>
      <c r="I615" s="4"/>
    </row>
    <row r="616" spans="1:9" ht="15" hidden="1">
      <c r="A616" s="8"/>
      <c r="C616" s="4" t="s">
        <v>1243</v>
      </c>
      <c r="F616" s="4"/>
      <c r="G616" s="4"/>
      <c r="H616" s="4"/>
      <c r="I616" s="4"/>
    </row>
    <row r="617" spans="1:9" ht="15" hidden="1">
      <c r="A617" s="8"/>
      <c r="C617" s="4" t="s">
        <v>1244</v>
      </c>
      <c r="F617" s="4"/>
      <c r="G617" s="4"/>
      <c r="H617" s="4"/>
      <c r="I617" s="4"/>
    </row>
    <row r="618" spans="1:9" ht="15" hidden="1">
      <c r="A618" s="8"/>
      <c r="C618" s="4" t="s">
        <v>1245</v>
      </c>
      <c r="F618" s="4"/>
      <c r="G618" s="4"/>
      <c r="H618" s="4"/>
      <c r="I618" s="4"/>
    </row>
    <row r="619" spans="1:9" ht="15" hidden="1">
      <c r="A619" s="8"/>
      <c r="C619" s="4" t="s">
        <v>1246</v>
      </c>
      <c r="F619" s="4"/>
      <c r="G619" s="4"/>
      <c r="H619" s="4"/>
      <c r="I619" s="4"/>
    </row>
    <row r="620" spans="1:9" ht="15" hidden="1">
      <c r="A620" s="8"/>
      <c r="C620" s="4" t="s">
        <v>1247</v>
      </c>
      <c r="F620" s="4"/>
      <c r="G620" s="4"/>
      <c r="H620" s="4"/>
      <c r="I620" s="4"/>
    </row>
    <row r="621" spans="1:9" ht="15" hidden="1">
      <c r="A621" s="8"/>
      <c r="C621" s="4" t="s">
        <v>1248</v>
      </c>
      <c r="F621" s="4"/>
      <c r="G621" s="4"/>
      <c r="H621" s="4"/>
      <c r="I621" s="4"/>
    </row>
    <row r="622" spans="1:9" ht="15" hidden="1">
      <c r="A622" s="8"/>
      <c r="C622" s="4" t="s">
        <v>1249</v>
      </c>
      <c r="F622" s="4"/>
      <c r="G622" s="4"/>
      <c r="H622" s="4"/>
      <c r="I622" s="4"/>
    </row>
    <row r="623" spans="1:9" ht="15" hidden="1">
      <c r="A623" s="8"/>
      <c r="C623" s="4" t="s">
        <v>1250</v>
      </c>
      <c r="F623" s="4"/>
      <c r="G623" s="4"/>
      <c r="H623" s="4"/>
      <c r="I623" s="4"/>
    </row>
    <row r="624" spans="1:9" ht="15" hidden="1">
      <c r="A624" s="8"/>
      <c r="C624" s="4" t="s">
        <v>1251</v>
      </c>
      <c r="F624" s="4"/>
      <c r="G624" s="4"/>
      <c r="H624" s="4"/>
      <c r="I624" s="4"/>
    </row>
    <row r="625" spans="1:9" ht="15" hidden="1">
      <c r="A625" s="8"/>
      <c r="C625" s="4" t="s">
        <v>1252</v>
      </c>
      <c r="F625" s="4"/>
      <c r="G625" s="4"/>
      <c r="H625" s="4"/>
      <c r="I625" s="4"/>
    </row>
    <row r="626" spans="1:9" ht="15" hidden="1">
      <c r="A626" s="8"/>
      <c r="C626" s="4" t="s">
        <v>1253</v>
      </c>
      <c r="F626" s="4"/>
      <c r="G626" s="4"/>
      <c r="H626" s="4"/>
      <c r="I626" s="4"/>
    </row>
    <row r="627" spans="1:9" ht="15" hidden="1">
      <c r="A627" s="8"/>
      <c r="C627" s="4" t="s">
        <v>1254</v>
      </c>
      <c r="F627" s="4"/>
      <c r="G627" s="4"/>
      <c r="H627" s="4"/>
      <c r="I627" s="4"/>
    </row>
    <row r="628" spans="1:9" ht="15" hidden="1">
      <c r="A628" s="8"/>
      <c r="C628" s="4" t="s">
        <v>1255</v>
      </c>
      <c r="F628" s="4"/>
      <c r="G628" s="4"/>
      <c r="H628" s="4"/>
      <c r="I628" s="4"/>
    </row>
    <row r="629" spans="1:9" ht="15" hidden="1">
      <c r="A629" s="8"/>
      <c r="C629" s="4" t="s">
        <v>1256</v>
      </c>
      <c r="F629" s="4"/>
      <c r="G629" s="4"/>
      <c r="H629" s="4"/>
      <c r="I629" s="4"/>
    </row>
    <row r="630" spans="1:9" ht="15" hidden="1">
      <c r="A630" s="8"/>
      <c r="C630" s="4" t="s">
        <v>1257</v>
      </c>
      <c r="F630" s="4"/>
      <c r="G630" s="4"/>
      <c r="H630" s="4"/>
      <c r="I630" s="4"/>
    </row>
    <row r="631" spans="1:9" ht="15" hidden="1">
      <c r="A631" s="8"/>
      <c r="C631" s="4" t="s">
        <v>1258</v>
      </c>
      <c r="F631" s="4"/>
      <c r="G631" s="4"/>
      <c r="H631" s="4"/>
      <c r="I631" s="4"/>
    </row>
    <row r="632" spans="1:9" ht="15" hidden="1">
      <c r="A632" s="8"/>
      <c r="C632" s="4" t="s">
        <v>1259</v>
      </c>
      <c r="F632" s="4"/>
      <c r="G632" s="4"/>
      <c r="H632" s="4"/>
      <c r="I632" s="4"/>
    </row>
    <row r="633" spans="1:9" ht="15" hidden="1">
      <c r="A633" s="8"/>
      <c r="C633" s="4" t="s">
        <v>1260</v>
      </c>
      <c r="F633" s="4"/>
      <c r="G633" s="4"/>
      <c r="H633" s="4"/>
      <c r="I633" s="4"/>
    </row>
    <row r="634" spans="1:9" ht="15" hidden="1">
      <c r="A634" s="8"/>
      <c r="C634" s="4" t="s">
        <v>1261</v>
      </c>
      <c r="F634" s="4"/>
      <c r="G634" s="4"/>
      <c r="H634" s="4"/>
      <c r="I634" s="4"/>
    </row>
    <row r="635" spans="1:9" ht="15" hidden="1">
      <c r="A635" s="8"/>
      <c r="C635" s="4" t="s">
        <v>1262</v>
      </c>
      <c r="F635" s="4"/>
      <c r="G635" s="4"/>
      <c r="H635" s="4"/>
      <c r="I635" s="4"/>
    </row>
    <row r="636" spans="1:9" ht="15" hidden="1">
      <c r="A636" s="8"/>
      <c r="C636" s="4" t="s">
        <v>1263</v>
      </c>
      <c r="F636" s="4"/>
      <c r="G636" s="4"/>
      <c r="H636" s="4"/>
      <c r="I636" s="4"/>
    </row>
    <row r="637" spans="1:9" ht="15" hidden="1">
      <c r="A637" s="8"/>
      <c r="C637" s="4" t="s">
        <v>1264</v>
      </c>
      <c r="F637" s="4"/>
      <c r="G637" s="4"/>
      <c r="H637" s="4"/>
      <c r="I637" s="4"/>
    </row>
    <row r="638" spans="1:9" ht="15" hidden="1">
      <c r="A638" s="8"/>
      <c r="C638" s="4" t="s">
        <v>1265</v>
      </c>
      <c r="F638" s="4"/>
      <c r="G638" s="4"/>
      <c r="H638" s="4"/>
      <c r="I638" s="4"/>
    </row>
    <row r="639" spans="1:9" ht="15" hidden="1">
      <c r="A639" s="8"/>
      <c r="C639" s="4" t="s">
        <v>1266</v>
      </c>
      <c r="F639" s="4"/>
      <c r="G639" s="4"/>
      <c r="H639" s="4"/>
      <c r="I639" s="4"/>
    </row>
    <row r="640" spans="1:9" ht="15" hidden="1">
      <c r="A640" s="8"/>
      <c r="C640" s="4" t="s">
        <v>1267</v>
      </c>
      <c r="F640" s="4"/>
      <c r="G640" s="4"/>
      <c r="H640" s="4"/>
      <c r="I640" s="4"/>
    </row>
    <row r="641" spans="1:9" ht="15" hidden="1">
      <c r="A641" s="8"/>
      <c r="C641" s="4" t="s">
        <v>1268</v>
      </c>
      <c r="F641" s="4"/>
      <c r="G641" s="4"/>
      <c r="H641" s="4"/>
      <c r="I641" s="4"/>
    </row>
    <row r="642" spans="1:9" ht="15" hidden="1">
      <c r="A642" s="8"/>
      <c r="C642" s="4" t="s">
        <v>1269</v>
      </c>
      <c r="F642" s="4"/>
      <c r="G642" s="4"/>
      <c r="H642" s="4"/>
      <c r="I642" s="4"/>
    </row>
    <row r="643" spans="1:9" ht="15" hidden="1">
      <c r="A643" s="8"/>
      <c r="C643" s="4" t="s">
        <v>1270</v>
      </c>
      <c r="F643" s="4"/>
      <c r="G643" s="4"/>
      <c r="H643" s="4"/>
      <c r="I643" s="4"/>
    </row>
    <row r="644" spans="1:9" ht="15" hidden="1">
      <c r="A644" s="8"/>
      <c r="C644" s="4" t="s">
        <v>1271</v>
      </c>
      <c r="F644" s="4"/>
      <c r="G644" s="4"/>
      <c r="H644" s="4"/>
      <c r="I644" s="4"/>
    </row>
    <row r="645" spans="1:9" ht="15" hidden="1">
      <c r="A645" s="8"/>
      <c r="C645" s="4" t="s">
        <v>1272</v>
      </c>
      <c r="F645" s="4"/>
      <c r="G645" s="4"/>
      <c r="H645" s="4"/>
      <c r="I645" s="4"/>
    </row>
    <row r="646" spans="1:9" ht="15" hidden="1">
      <c r="A646" s="8"/>
      <c r="C646" s="4" t="s">
        <v>1273</v>
      </c>
      <c r="F646" s="4"/>
      <c r="G646" s="4"/>
      <c r="H646" s="4"/>
      <c r="I646" s="4"/>
    </row>
    <row r="647" spans="1:9" ht="15" hidden="1">
      <c r="A647" s="8"/>
      <c r="C647" s="4" t="s">
        <v>1274</v>
      </c>
      <c r="F647" s="4"/>
      <c r="G647" s="4"/>
      <c r="H647" s="4"/>
      <c r="I647" s="4"/>
    </row>
    <row r="648" spans="1:9" ht="15" hidden="1">
      <c r="A648" s="8"/>
      <c r="C648" s="4" t="s">
        <v>1275</v>
      </c>
      <c r="F648" s="4"/>
      <c r="G648" s="4"/>
      <c r="H648" s="4"/>
      <c r="I648" s="4"/>
    </row>
    <row r="649" spans="1:9" ht="15" hidden="1">
      <c r="A649" s="8"/>
      <c r="C649" s="4" t="s">
        <v>1276</v>
      </c>
      <c r="F649" s="4"/>
      <c r="G649" s="4"/>
      <c r="H649" s="4"/>
      <c r="I649" s="4"/>
    </row>
    <row r="650" spans="1:9" ht="15" hidden="1">
      <c r="A650" s="8"/>
      <c r="C650" s="4" t="s">
        <v>1277</v>
      </c>
      <c r="F650" s="4"/>
      <c r="G650" s="4"/>
      <c r="H650" s="4"/>
      <c r="I650" s="4"/>
    </row>
    <row r="651" spans="1:9" ht="15" hidden="1">
      <c r="A651" s="8"/>
      <c r="C651" s="4" t="s">
        <v>1278</v>
      </c>
      <c r="F651" s="4"/>
      <c r="G651" s="4"/>
      <c r="H651" s="4"/>
      <c r="I651" s="4"/>
    </row>
    <row r="652" spans="1:9" ht="15" hidden="1">
      <c r="A652" s="8"/>
      <c r="C652" s="4" t="s">
        <v>1279</v>
      </c>
      <c r="F652" s="4"/>
      <c r="G652" s="4"/>
      <c r="H652" s="4"/>
      <c r="I652" s="4"/>
    </row>
    <row r="653" spans="1:9" ht="15" hidden="1">
      <c r="A653" s="8"/>
      <c r="C653" s="4" t="s">
        <v>1280</v>
      </c>
      <c r="F653" s="4"/>
      <c r="G653" s="4"/>
      <c r="H653" s="4"/>
      <c r="I653" s="4"/>
    </row>
    <row r="654" spans="1:9" ht="15">
      <c r="A654" s="8"/>
      <c r="C654" s="4" t="s">
        <v>191</v>
      </c>
      <c r="D654" t="s">
        <v>4</v>
      </c>
      <c r="E654" t="s">
        <v>4</v>
      </c>
      <c r="F654" s="4" t="s">
        <v>15</v>
      </c>
      <c r="G654" s="4"/>
      <c r="H654" s="4"/>
      <c r="I654" s="4"/>
    </row>
    <row r="655" spans="1:9" ht="15">
      <c r="A655" s="8"/>
      <c r="C655" s="4" t="s">
        <v>192</v>
      </c>
      <c r="D655" t="s">
        <v>4</v>
      </c>
      <c r="E655" t="s">
        <v>4</v>
      </c>
      <c r="F655" s="4" t="s">
        <v>19</v>
      </c>
      <c r="G655" s="4" t="s">
        <v>24</v>
      </c>
      <c r="H655" s="4" t="s">
        <v>9</v>
      </c>
      <c r="I655" s="4"/>
    </row>
    <row r="656" spans="1:9" ht="15">
      <c r="A656" s="8"/>
      <c r="C656" s="4" t="s">
        <v>193</v>
      </c>
      <c r="D656" t="s">
        <v>4</v>
      </c>
      <c r="E656" t="s">
        <v>4</v>
      </c>
      <c r="F656" s="4" t="s">
        <v>15</v>
      </c>
      <c r="G656" s="4"/>
      <c r="H656" s="4"/>
      <c r="I656" s="4"/>
    </row>
    <row r="657" spans="1:9" ht="15" hidden="1">
      <c r="A657" s="8"/>
      <c r="C657" s="4" t="s">
        <v>1281</v>
      </c>
      <c r="F657" s="4"/>
      <c r="G657" s="4"/>
      <c r="H657" s="4"/>
      <c r="I657" s="4"/>
    </row>
    <row r="658" spans="1:9" ht="15" hidden="1">
      <c r="A658" s="8"/>
      <c r="C658" s="4" t="s">
        <v>1282</v>
      </c>
      <c r="F658" s="4"/>
      <c r="G658" s="4"/>
      <c r="H658" s="4"/>
      <c r="I658" s="4"/>
    </row>
    <row r="659" spans="1:9" ht="15" hidden="1">
      <c r="A659" s="8"/>
      <c r="C659" s="4" t="s">
        <v>1283</v>
      </c>
      <c r="F659" s="4"/>
      <c r="G659" s="4"/>
      <c r="H659" s="4"/>
      <c r="I659" s="4"/>
    </row>
    <row r="660" spans="1:9" ht="15" hidden="1">
      <c r="A660" s="8"/>
      <c r="C660" s="4" t="s">
        <v>1284</v>
      </c>
      <c r="F660" s="4"/>
      <c r="G660" s="4"/>
      <c r="H660" s="4"/>
      <c r="I660" s="4"/>
    </row>
    <row r="661" spans="1:9" ht="15" hidden="1">
      <c r="A661" s="8"/>
      <c r="C661" s="4" t="s">
        <v>1285</v>
      </c>
      <c r="F661" s="4"/>
      <c r="G661" s="4"/>
      <c r="H661" s="4"/>
      <c r="I661" s="4"/>
    </row>
    <row r="662" spans="1:9" ht="15" hidden="1">
      <c r="A662" s="8"/>
      <c r="C662" s="4" t="s">
        <v>1286</v>
      </c>
      <c r="F662" s="4"/>
      <c r="G662" s="4"/>
      <c r="H662" s="4"/>
      <c r="I662" s="4"/>
    </row>
    <row r="663" spans="1:9" ht="15" hidden="1">
      <c r="A663" s="8"/>
      <c r="C663" s="4" t="s">
        <v>1287</v>
      </c>
      <c r="F663" s="4"/>
      <c r="G663" s="4"/>
      <c r="H663" s="4"/>
      <c r="I663" s="4"/>
    </row>
    <row r="664" spans="1:9" ht="15" hidden="1">
      <c r="A664" s="8"/>
      <c r="C664" s="4" t="s">
        <v>1288</v>
      </c>
      <c r="F664" s="4"/>
      <c r="G664" s="4"/>
      <c r="H664" s="4"/>
      <c r="I664" s="4"/>
    </row>
    <row r="665" spans="1:9" ht="15">
      <c r="A665" s="8"/>
      <c r="C665" s="4" t="s">
        <v>194</v>
      </c>
      <c r="D665" t="s">
        <v>4</v>
      </c>
      <c r="E665" t="s">
        <v>4</v>
      </c>
      <c r="F665" s="4" t="s">
        <v>19</v>
      </c>
      <c r="G665" s="4" t="s">
        <v>24</v>
      </c>
      <c r="H665" s="4" t="s">
        <v>10</v>
      </c>
      <c r="I665" s="4"/>
    </row>
    <row r="666" spans="1:9" ht="15">
      <c r="A666" s="8"/>
      <c r="C666" s="4" t="s">
        <v>195</v>
      </c>
      <c r="D666" t="s">
        <v>4</v>
      </c>
      <c r="E666" t="s">
        <v>4</v>
      </c>
      <c r="F666" s="4" t="s">
        <v>19</v>
      </c>
      <c r="G666" s="4" t="s">
        <v>24</v>
      </c>
      <c r="H666" s="4" t="s">
        <v>11</v>
      </c>
      <c r="I666" s="4"/>
    </row>
    <row r="667" spans="1:9" ht="15">
      <c r="A667" s="8"/>
      <c r="C667" s="4" t="s">
        <v>195</v>
      </c>
      <c r="D667" t="s">
        <v>4</v>
      </c>
      <c r="E667" t="s">
        <v>4</v>
      </c>
      <c r="F667" s="4" t="s">
        <v>19</v>
      </c>
      <c r="G667" s="4" t="s">
        <v>24</v>
      </c>
      <c r="H667" s="4" t="s">
        <v>12</v>
      </c>
      <c r="I667" s="4"/>
    </row>
    <row r="668" spans="1:9" ht="15" hidden="1">
      <c r="A668" s="8"/>
      <c r="C668" s="4" t="s">
        <v>196</v>
      </c>
      <c r="F668" s="4"/>
      <c r="G668" s="4"/>
      <c r="H668" s="4"/>
      <c r="I668" s="4"/>
    </row>
    <row r="669" spans="1:9" ht="15" hidden="1">
      <c r="A669" s="8"/>
      <c r="C669" s="4" t="s">
        <v>197</v>
      </c>
      <c r="F669" s="4"/>
      <c r="G669" s="4"/>
      <c r="H669" s="4"/>
      <c r="I669" s="4"/>
    </row>
    <row r="670" spans="1:9" ht="15" hidden="1">
      <c r="A670" s="8"/>
      <c r="C670" s="4" t="s">
        <v>1289</v>
      </c>
      <c r="F670" s="4"/>
      <c r="G670" s="4"/>
      <c r="H670" s="4"/>
      <c r="I670" s="4"/>
    </row>
    <row r="671" spans="1:9" ht="15" hidden="1">
      <c r="A671" s="8"/>
      <c r="C671" s="4" t="s">
        <v>199</v>
      </c>
      <c r="F671" s="4"/>
      <c r="G671" s="4"/>
      <c r="H671" s="4"/>
      <c r="I671" s="4"/>
    </row>
    <row r="672" spans="1:9" ht="15" hidden="1">
      <c r="A672" s="8"/>
      <c r="C672" s="4" t="s">
        <v>200</v>
      </c>
      <c r="F672" s="4"/>
      <c r="G672" s="4"/>
      <c r="H672" s="4"/>
      <c r="I672" s="4"/>
    </row>
    <row r="673" spans="1:9" ht="15" hidden="1">
      <c r="A673" s="8"/>
      <c r="C673" s="4" t="s">
        <v>201</v>
      </c>
      <c r="F673" s="4"/>
      <c r="G673" s="4"/>
      <c r="H673" s="4"/>
      <c r="I673" s="4"/>
    </row>
    <row r="674" spans="1:9" ht="15" hidden="1">
      <c r="A674" s="8"/>
      <c r="C674" s="4" t="s">
        <v>202</v>
      </c>
      <c r="F674" s="4"/>
      <c r="G674" s="4"/>
      <c r="H674" s="4"/>
      <c r="I674" s="4"/>
    </row>
    <row r="675" spans="1:9" ht="15" hidden="1">
      <c r="A675" s="8"/>
      <c r="C675" s="4" t="s">
        <v>203</v>
      </c>
      <c r="F675" s="4"/>
      <c r="G675" s="4"/>
      <c r="H675" s="4"/>
      <c r="I675" s="4"/>
    </row>
    <row r="676" spans="1:9" ht="15" hidden="1">
      <c r="A676" s="8"/>
      <c r="C676" s="4" t="s">
        <v>204</v>
      </c>
      <c r="F676" s="4"/>
      <c r="G676" s="4"/>
      <c r="H676" s="4"/>
      <c r="I676" s="4"/>
    </row>
    <row r="677" spans="1:9" ht="15" hidden="1">
      <c r="A677" s="8"/>
      <c r="C677" s="4" t="s">
        <v>205</v>
      </c>
      <c r="F677" s="4"/>
      <c r="G677" s="4"/>
      <c r="H677" s="4"/>
      <c r="I677" s="4"/>
    </row>
    <row r="678" spans="1:9" ht="15" hidden="1">
      <c r="A678" s="8"/>
      <c r="C678" s="4" t="s">
        <v>206</v>
      </c>
      <c r="F678" s="4"/>
      <c r="G678" s="4"/>
      <c r="H678" s="4"/>
      <c r="I678" s="4"/>
    </row>
    <row r="679" spans="1:9" ht="15" hidden="1">
      <c r="A679" s="8"/>
      <c r="C679" s="4" t="s">
        <v>207</v>
      </c>
      <c r="F679" s="4"/>
      <c r="G679" s="4"/>
      <c r="H679" s="4"/>
      <c r="I679" s="4"/>
    </row>
    <row r="680" spans="1:9" ht="15" hidden="1">
      <c r="A680" s="8"/>
      <c r="C680" s="4" t="s">
        <v>208</v>
      </c>
      <c r="F680" s="4"/>
      <c r="G680" s="4"/>
      <c r="H680" s="4"/>
      <c r="I680" s="4"/>
    </row>
    <row r="681" spans="1:9" ht="15" hidden="1">
      <c r="A681" s="8"/>
      <c r="C681" s="4" t="s">
        <v>209</v>
      </c>
      <c r="F681" s="4"/>
      <c r="G681" s="4"/>
      <c r="H681" s="4"/>
      <c r="I681" s="4"/>
    </row>
    <row r="682" spans="1:9" ht="15" hidden="1">
      <c r="A682" s="8"/>
      <c r="C682" s="4" t="s">
        <v>210</v>
      </c>
      <c r="F682" s="4"/>
      <c r="G682" s="4"/>
      <c r="H682" s="4"/>
      <c r="I682" s="4"/>
    </row>
    <row r="683" spans="1:9" ht="15" hidden="1">
      <c r="A683" s="8"/>
      <c r="C683" s="4" t="s">
        <v>211</v>
      </c>
      <c r="F683" s="4"/>
      <c r="G683" s="4"/>
      <c r="H683" s="4"/>
      <c r="I683" s="4"/>
    </row>
    <row r="684" spans="1:9" ht="15" hidden="1">
      <c r="A684" s="8"/>
      <c r="C684" s="4" t="s">
        <v>212</v>
      </c>
      <c r="F684" s="4"/>
      <c r="G684" s="4"/>
      <c r="H684" s="4"/>
      <c r="I684" s="4"/>
    </row>
    <row r="685" spans="1:9" ht="15" hidden="1">
      <c r="A685" s="8"/>
      <c r="C685" s="4" t="s">
        <v>213</v>
      </c>
      <c r="F685" s="4"/>
      <c r="G685" s="4"/>
      <c r="H685" s="4"/>
      <c r="I685" s="4"/>
    </row>
    <row r="686" spans="1:9" ht="15" hidden="1">
      <c r="A686" s="8"/>
      <c r="C686" s="4" t="s">
        <v>214</v>
      </c>
      <c r="F686" s="4"/>
      <c r="G686" s="4"/>
      <c r="H686" s="4"/>
      <c r="I686" s="4"/>
    </row>
    <row r="687" spans="1:9" ht="15" hidden="1">
      <c r="A687" s="8"/>
      <c r="C687" s="4" t="s">
        <v>215</v>
      </c>
      <c r="F687" s="4"/>
      <c r="G687" s="4"/>
      <c r="H687" s="4"/>
      <c r="I687" s="4"/>
    </row>
    <row r="688" spans="1:9" ht="15" hidden="1">
      <c r="A688" s="8"/>
      <c r="C688" s="4" t="s">
        <v>216</v>
      </c>
      <c r="F688" s="4"/>
      <c r="G688" s="4"/>
      <c r="H688" s="4"/>
      <c r="I688" s="4"/>
    </row>
    <row r="689" spans="1:9" ht="15" hidden="1">
      <c r="A689" s="8"/>
      <c r="C689" s="4" t="s">
        <v>1290</v>
      </c>
      <c r="F689" s="4"/>
      <c r="G689" s="4"/>
      <c r="H689" s="4"/>
      <c r="I689" s="4"/>
    </row>
    <row r="690" spans="1:9" ht="15" hidden="1">
      <c r="A690" s="8"/>
      <c r="C690" s="4" t="s">
        <v>1291</v>
      </c>
      <c r="F690" s="4"/>
      <c r="G690" s="4"/>
      <c r="H690" s="4"/>
      <c r="I690" s="4"/>
    </row>
    <row r="691" spans="1:9" ht="15" hidden="1">
      <c r="A691" s="8"/>
      <c r="C691" s="4" t="s">
        <v>1292</v>
      </c>
      <c r="F691" s="4"/>
      <c r="G691" s="4"/>
      <c r="H691" s="4"/>
      <c r="I691" s="4"/>
    </row>
    <row r="692" spans="1:9" ht="15" hidden="1">
      <c r="A692" s="8"/>
      <c r="C692" s="4" t="s">
        <v>1293</v>
      </c>
      <c r="F692" s="4"/>
      <c r="G692" s="4"/>
      <c r="H692" s="4"/>
      <c r="I692" s="4"/>
    </row>
    <row r="693" spans="1:9" ht="15" hidden="1">
      <c r="A693" s="8"/>
      <c r="C693" s="4" t="s">
        <v>1294</v>
      </c>
      <c r="F693" s="4"/>
      <c r="G693" s="4"/>
      <c r="H693" s="4"/>
      <c r="I693" s="4"/>
    </row>
    <row r="694" spans="1:9" ht="15" hidden="1">
      <c r="A694" s="8"/>
      <c r="C694" s="4" t="s">
        <v>1295</v>
      </c>
      <c r="F694" s="4"/>
      <c r="G694" s="4"/>
      <c r="H694" s="4"/>
      <c r="I694" s="4"/>
    </row>
    <row r="695" spans="1:9" ht="15" hidden="1">
      <c r="A695" s="8"/>
      <c r="C695" s="4" t="s">
        <v>1296</v>
      </c>
      <c r="F695" s="4"/>
      <c r="G695" s="4"/>
      <c r="H695" s="4"/>
      <c r="I695" s="4"/>
    </row>
    <row r="696" spans="1:9" ht="15" hidden="1">
      <c r="A696" s="8"/>
      <c r="C696" s="4" t="s">
        <v>1297</v>
      </c>
      <c r="F696" s="4"/>
      <c r="G696" s="4"/>
      <c r="H696" s="4"/>
      <c r="I696" s="4"/>
    </row>
    <row r="697" spans="1:9" ht="15" hidden="1">
      <c r="A697" s="8"/>
      <c r="C697" s="4" t="s">
        <v>1298</v>
      </c>
      <c r="F697" s="4"/>
      <c r="G697" s="4"/>
      <c r="H697" s="4"/>
      <c r="I697" s="4"/>
    </row>
    <row r="698" spans="1:9" ht="15">
      <c r="A698" s="8"/>
      <c r="C698" s="4" t="s">
        <v>217</v>
      </c>
      <c r="D698" t="s">
        <v>4</v>
      </c>
      <c r="E698" t="s">
        <v>4</v>
      </c>
      <c r="F698" s="4" t="s">
        <v>15</v>
      </c>
      <c r="G698" s="4"/>
      <c r="H698" s="4"/>
      <c r="I698" s="4"/>
    </row>
    <row r="699" spans="1:9" ht="15">
      <c r="A699" s="8"/>
      <c r="C699" s="4" t="s">
        <v>218</v>
      </c>
      <c r="D699" t="s">
        <v>4</v>
      </c>
      <c r="E699" t="s">
        <v>4</v>
      </c>
      <c r="F699" s="4" t="s">
        <v>15</v>
      </c>
      <c r="G699" s="4"/>
      <c r="H699" s="4"/>
      <c r="I699" s="4"/>
    </row>
    <row r="700" spans="1:9" ht="15">
      <c r="A700" s="8"/>
      <c r="C700" s="4" t="s">
        <v>219</v>
      </c>
      <c r="D700" t="s">
        <v>4</v>
      </c>
      <c r="E700" t="s">
        <v>4</v>
      </c>
      <c r="F700" s="4" t="s">
        <v>19</v>
      </c>
      <c r="G700" s="4" t="s">
        <v>24</v>
      </c>
      <c r="H700" s="4" t="s">
        <v>6</v>
      </c>
      <c r="I700" s="4"/>
    </row>
    <row r="701" spans="1:9" ht="15" hidden="1">
      <c r="A701" s="8"/>
      <c r="C701" s="4" t="s">
        <v>1299</v>
      </c>
      <c r="F701" s="4"/>
      <c r="G701" s="4"/>
      <c r="H701" s="4"/>
      <c r="I701" s="4"/>
    </row>
    <row r="702" spans="1:9" ht="15" hidden="1">
      <c r="A702" s="8"/>
      <c r="C702" s="4" t="s">
        <v>1300</v>
      </c>
      <c r="F702" s="4"/>
      <c r="G702" s="4"/>
      <c r="H702" s="4"/>
      <c r="I702" s="4"/>
    </row>
    <row r="703" spans="1:9" ht="15" hidden="1">
      <c r="A703" s="8"/>
      <c r="C703" s="4" t="s">
        <v>1301</v>
      </c>
      <c r="F703" s="4"/>
      <c r="G703" s="4"/>
      <c r="H703" s="4"/>
      <c r="I703" s="4"/>
    </row>
    <row r="704" spans="1:9" ht="15" hidden="1">
      <c r="A704" s="8"/>
      <c r="C704" s="4" t="s">
        <v>1302</v>
      </c>
      <c r="F704" s="4"/>
      <c r="G704" s="4"/>
      <c r="H704" s="4"/>
      <c r="I704" s="4"/>
    </row>
    <row r="705" spans="1:9" ht="15" hidden="1">
      <c r="A705" s="8"/>
      <c r="C705" s="4" t="s">
        <v>1303</v>
      </c>
      <c r="F705" s="4"/>
      <c r="G705" s="4"/>
      <c r="H705" s="4"/>
      <c r="I705" s="4"/>
    </row>
    <row r="706" spans="1:9" ht="15" hidden="1">
      <c r="A706" s="8"/>
      <c r="C706" s="4" t="s">
        <v>1304</v>
      </c>
      <c r="F706" s="4"/>
      <c r="G706" s="4"/>
      <c r="H706" s="4"/>
      <c r="I706" s="4"/>
    </row>
    <row r="707" spans="1:9" ht="15" hidden="1">
      <c r="A707" s="8"/>
      <c r="C707" s="4" t="s">
        <v>1305</v>
      </c>
      <c r="F707" s="4"/>
      <c r="G707" s="4"/>
      <c r="H707" s="4"/>
      <c r="I707" s="4"/>
    </row>
    <row r="708" spans="1:9" ht="15" hidden="1">
      <c r="A708" s="8"/>
      <c r="C708" s="4" t="s">
        <v>1306</v>
      </c>
      <c r="F708" s="4"/>
      <c r="G708" s="4"/>
      <c r="H708" s="4"/>
      <c r="I708" s="4"/>
    </row>
    <row r="709" spans="1:9" ht="15" hidden="1">
      <c r="A709" s="8"/>
      <c r="C709" s="4" t="s">
        <v>1307</v>
      </c>
      <c r="F709" s="4"/>
      <c r="G709" s="4"/>
      <c r="H709" s="4"/>
      <c r="I709" s="4"/>
    </row>
    <row r="710" spans="1:9" ht="15" hidden="1">
      <c r="A710" s="8"/>
      <c r="C710" s="4" t="s">
        <v>1308</v>
      </c>
      <c r="F710" s="4"/>
      <c r="G710" s="4"/>
      <c r="H710" s="4"/>
      <c r="I710" s="4"/>
    </row>
    <row r="711" spans="1:9" ht="15" hidden="1">
      <c r="A711" s="8"/>
      <c r="C711" s="4" t="s">
        <v>1309</v>
      </c>
      <c r="F711" s="4"/>
      <c r="G711" s="4"/>
      <c r="H711" s="4"/>
      <c r="I711" s="4"/>
    </row>
    <row r="712" spans="1:9" ht="15" hidden="1">
      <c r="A712" s="8"/>
      <c r="C712" s="4" t="s">
        <v>220</v>
      </c>
      <c r="F712" s="4"/>
      <c r="G712" s="4"/>
      <c r="H712" s="4"/>
      <c r="I712" s="4"/>
    </row>
    <row r="713" spans="1:9" ht="15" hidden="1">
      <c r="A713" s="8"/>
      <c r="C713" s="4" t="s">
        <v>221</v>
      </c>
      <c r="F713" s="4"/>
      <c r="G713" s="4"/>
      <c r="H713" s="4"/>
      <c r="I713" s="4"/>
    </row>
    <row r="714" spans="1:9" ht="15" hidden="1">
      <c r="A714" s="8"/>
      <c r="C714" s="4" t="s">
        <v>1310</v>
      </c>
      <c r="F714" s="4"/>
      <c r="G714" s="4"/>
      <c r="H714" s="4"/>
      <c r="I714" s="4"/>
    </row>
    <row r="715" spans="1:9" ht="15" hidden="1">
      <c r="A715" s="8"/>
      <c r="C715" s="4" t="s">
        <v>1311</v>
      </c>
      <c r="F715" s="4"/>
      <c r="G715" s="4"/>
      <c r="H715" s="4"/>
      <c r="I715" s="4"/>
    </row>
    <row r="716" spans="1:9" ht="15" hidden="1">
      <c r="A716" s="8"/>
      <c r="C716" s="4" t="s">
        <v>1312</v>
      </c>
      <c r="F716" s="4"/>
      <c r="G716" s="4"/>
      <c r="H716" s="4"/>
      <c r="I716" s="4"/>
    </row>
    <row r="717" spans="1:9" ht="15" hidden="1">
      <c r="A717" s="8"/>
      <c r="C717" s="4" t="s">
        <v>1313</v>
      </c>
      <c r="F717" s="4"/>
      <c r="G717" s="4"/>
      <c r="H717" s="4"/>
      <c r="I717" s="4"/>
    </row>
    <row r="718" spans="1:9" ht="15" hidden="1">
      <c r="A718" s="8"/>
      <c r="C718" s="4" t="s">
        <v>1314</v>
      </c>
      <c r="F718" s="4"/>
      <c r="G718" s="4"/>
      <c r="H718" s="4"/>
      <c r="I718" s="4"/>
    </row>
    <row r="719" spans="1:9" ht="15" hidden="1">
      <c r="A719" s="8"/>
      <c r="C719" s="4" t="s">
        <v>1315</v>
      </c>
      <c r="F719" s="4"/>
      <c r="G719" s="4"/>
      <c r="H719" s="4"/>
      <c r="I719" s="4"/>
    </row>
    <row r="720" spans="1:9" ht="15" hidden="1">
      <c r="A720" s="8"/>
      <c r="C720" s="4" t="s">
        <v>1316</v>
      </c>
      <c r="F720" s="4"/>
      <c r="G720" s="4"/>
      <c r="H720" s="4"/>
      <c r="I720" s="4"/>
    </row>
    <row r="721" spans="1:9" ht="15" hidden="1">
      <c r="A721" s="8"/>
      <c r="C721" s="4" t="s">
        <v>1317</v>
      </c>
      <c r="F721" s="4"/>
      <c r="G721" s="4"/>
      <c r="H721" s="4"/>
      <c r="I721" s="4"/>
    </row>
    <row r="722" spans="1:9" ht="15" hidden="1">
      <c r="A722" s="8"/>
      <c r="C722" s="4" t="s">
        <v>1318</v>
      </c>
      <c r="F722" s="4"/>
      <c r="G722" s="4"/>
      <c r="H722" s="4"/>
      <c r="I722" s="4"/>
    </row>
    <row r="723" spans="1:9" ht="15" hidden="1">
      <c r="A723" s="8"/>
      <c r="C723" s="4" t="s">
        <v>1319</v>
      </c>
      <c r="F723" s="4"/>
      <c r="G723" s="4"/>
      <c r="H723" s="4"/>
      <c r="I723" s="4"/>
    </row>
    <row r="724" spans="1:9" ht="15" hidden="1">
      <c r="A724" s="8"/>
      <c r="C724" s="4" t="s">
        <v>1320</v>
      </c>
      <c r="F724" s="4"/>
      <c r="G724" s="4"/>
      <c r="H724" s="4"/>
      <c r="I724" s="4"/>
    </row>
    <row r="725" spans="1:9" ht="15" hidden="1">
      <c r="A725" s="8"/>
      <c r="C725" s="4" t="s">
        <v>222</v>
      </c>
      <c r="F725" s="4"/>
      <c r="G725" s="4"/>
      <c r="H725" s="4"/>
      <c r="I725" s="4"/>
    </row>
    <row r="726" spans="1:9" ht="15" hidden="1">
      <c r="A726" s="8"/>
      <c r="C726" s="4" t="s">
        <v>223</v>
      </c>
      <c r="F726" s="4"/>
      <c r="G726" s="4"/>
      <c r="H726" s="4"/>
      <c r="I726" s="4"/>
    </row>
    <row r="727" spans="1:9" ht="15" hidden="1">
      <c r="A727" s="8"/>
      <c r="C727" s="4" t="s">
        <v>1321</v>
      </c>
      <c r="F727" s="4"/>
      <c r="G727" s="4"/>
      <c r="H727" s="4"/>
      <c r="I727" s="4"/>
    </row>
    <row r="728" spans="1:9" ht="15" hidden="1">
      <c r="A728" s="8"/>
      <c r="C728" s="4" t="s">
        <v>225</v>
      </c>
      <c r="F728" s="4"/>
      <c r="G728" s="4"/>
      <c r="H728" s="4"/>
      <c r="I728" s="4"/>
    </row>
    <row r="729" spans="1:9" ht="15" hidden="1">
      <c r="A729" s="8"/>
      <c r="C729" s="4" t="s">
        <v>226</v>
      </c>
      <c r="F729" s="4"/>
      <c r="G729" s="4"/>
      <c r="H729" s="4"/>
      <c r="I729" s="4"/>
    </row>
    <row r="730" spans="1:9" ht="15" hidden="1">
      <c r="A730" s="8"/>
      <c r="C730" s="4" t="s">
        <v>227</v>
      </c>
      <c r="F730" s="4"/>
      <c r="G730" s="4"/>
      <c r="H730" s="4"/>
      <c r="I730" s="4"/>
    </row>
    <row r="731" spans="1:9" ht="15" hidden="1">
      <c r="A731" s="8"/>
      <c r="C731" s="4" t="s">
        <v>228</v>
      </c>
      <c r="F731" s="4"/>
      <c r="G731" s="4"/>
      <c r="H731" s="4"/>
      <c r="I731" s="4"/>
    </row>
    <row r="732" spans="1:9" ht="15" hidden="1">
      <c r="A732" s="8"/>
      <c r="C732" s="4" t="s">
        <v>229</v>
      </c>
      <c r="F732" s="4"/>
      <c r="G732" s="4"/>
      <c r="H732" s="4"/>
      <c r="I732" s="4"/>
    </row>
    <row r="733" spans="1:9" ht="15" hidden="1">
      <c r="A733" s="8"/>
      <c r="C733" s="4" t="s">
        <v>230</v>
      </c>
      <c r="F733" s="4"/>
      <c r="G733" s="4"/>
      <c r="H733" s="4"/>
      <c r="I733" s="4"/>
    </row>
    <row r="734" spans="1:9" ht="15" hidden="1">
      <c r="A734" s="8"/>
      <c r="C734" s="4" t="s">
        <v>231</v>
      </c>
      <c r="F734" s="4"/>
      <c r="G734" s="4"/>
      <c r="H734" s="4"/>
      <c r="I734" s="4"/>
    </row>
    <row r="735" spans="1:9" ht="15" hidden="1">
      <c r="A735" s="8"/>
      <c r="C735" s="4" t="s">
        <v>232</v>
      </c>
      <c r="F735" s="4"/>
      <c r="G735" s="4"/>
      <c r="H735" s="4"/>
      <c r="I735" s="4"/>
    </row>
    <row r="736" spans="1:9" ht="15" hidden="1">
      <c r="A736" s="8"/>
      <c r="C736" s="4" t="s">
        <v>233</v>
      </c>
      <c r="F736" s="4"/>
      <c r="G736" s="4"/>
      <c r="H736" s="4"/>
      <c r="I736" s="4"/>
    </row>
    <row r="737" spans="1:9" ht="15" hidden="1">
      <c r="A737" s="8"/>
      <c r="C737" s="4" t="s">
        <v>234</v>
      </c>
      <c r="F737" s="4"/>
      <c r="G737" s="4"/>
      <c r="H737" s="4"/>
      <c r="I737" s="4"/>
    </row>
    <row r="738" spans="1:9" ht="15" hidden="1">
      <c r="A738" s="8"/>
      <c r="C738" s="4" t="s">
        <v>235</v>
      </c>
      <c r="F738" s="4"/>
      <c r="G738" s="4"/>
      <c r="H738" s="4"/>
      <c r="I738" s="4"/>
    </row>
    <row r="739" spans="1:9" ht="15" hidden="1">
      <c r="A739" s="8"/>
      <c r="C739" s="4" t="s">
        <v>236</v>
      </c>
      <c r="F739" s="4"/>
      <c r="G739" s="4"/>
      <c r="H739" s="4"/>
      <c r="I739" s="4"/>
    </row>
    <row r="740" spans="1:9" ht="15" hidden="1">
      <c r="A740" s="8"/>
      <c r="C740" s="4" t="s">
        <v>237</v>
      </c>
      <c r="F740" s="4"/>
      <c r="G740" s="4"/>
      <c r="H740" s="4"/>
      <c r="I740" s="4"/>
    </row>
    <row r="741" spans="1:9" ht="15" hidden="1">
      <c r="A741" s="8"/>
      <c r="C741" s="4" t="s">
        <v>238</v>
      </c>
      <c r="F741" s="4"/>
      <c r="G741" s="4"/>
      <c r="H741" s="4"/>
      <c r="I741" s="4"/>
    </row>
    <row r="742" spans="1:9" ht="15" hidden="1">
      <c r="A742" s="8"/>
      <c r="C742" s="4" t="s">
        <v>239</v>
      </c>
      <c r="F742" s="4"/>
      <c r="G742" s="4"/>
      <c r="H742" s="4"/>
      <c r="I742" s="4"/>
    </row>
    <row r="743" spans="1:9" ht="15" hidden="1">
      <c r="A743" s="8"/>
      <c r="C743" s="4" t="s">
        <v>240</v>
      </c>
      <c r="F743" s="4"/>
      <c r="G743" s="4"/>
      <c r="H743" s="4"/>
      <c r="I743" s="4"/>
    </row>
    <row r="744" spans="1:9" ht="15" hidden="1">
      <c r="A744" s="8"/>
      <c r="C744" s="4" t="s">
        <v>241</v>
      </c>
      <c r="F744" s="4"/>
      <c r="G744" s="4"/>
      <c r="H744" s="4"/>
      <c r="I744" s="4"/>
    </row>
    <row r="745" spans="1:9" ht="15" hidden="1">
      <c r="A745" s="8"/>
      <c r="C745" s="4" t="s">
        <v>242</v>
      </c>
      <c r="F745" s="4"/>
      <c r="G745" s="4"/>
      <c r="H745" s="4"/>
      <c r="I745" s="4"/>
    </row>
    <row r="746" spans="1:9" ht="15" hidden="1">
      <c r="A746" s="8"/>
      <c r="C746" s="4" t="s">
        <v>1322</v>
      </c>
      <c r="F746" s="4"/>
      <c r="G746" s="4"/>
      <c r="H746" s="4"/>
      <c r="I746" s="4"/>
    </row>
    <row r="747" spans="1:9" ht="15" hidden="1">
      <c r="A747" s="8"/>
      <c r="C747" s="4" t="s">
        <v>1323</v>
      </c>
      <c r="F747" s="4"/>
      <c r="G747" s="4"/>
      <c r="H747" s="4"/>
      <c r="I747" s="4"/>
    </row>
    <row r="748" spans="1:9" ht="15" hidden="1">
      <c r="A748" s="8"/>
      <c r="C748" s="4" t="s">
        <v>1324</v>
      </c>
      <c r="F748" s="4"/>
      <c r="G748" s="4"/>
      <c r="H748" s="4"/>
      <c r="I748" s="4"/>
    </row>
    <row r="749" spans="1:9" ht="15" hidden="1">
      <c r="A749" s="8"/>
      <c r="C749" s="4" t="s">
        <v>1325</v>
      </c>
      <c r="F749" s="4"/>
      <c r="G749" s="4"/>
      <c r="H749" s="4"/>
      <c r="I749" s="4"/>
    </row>
    <row r="750" spans="1:9" ht="15" hidden="1">
      <c r="A750" s="8"/>
      <c r="C750" s="4" t="s">
        <v>1326</v>
      </c>
      <c r="F750" s="4"/>
      <c r="G750" s="4"/>
      <c r="H750" s="4"/>
      <c r="I750" s="4"/>
    </row>
    <row r="751" spans="1:9" ht="15" hidden="1">
      <c r="A751" s="8"/>
      <c r="C751" s="4" t="s">
        <v>1327</v>
      </c>
      <c r="F751" s="4"/>
      <c r="G751" s="4"/>
      <c r="H751" s="4"/>
      <c r="I751" s="4"/>
    </row>
    <row r="752" spans="1:9" ht="15" hidden="1">
      <c r="A752" s="8"/>
      <c r="C752" s="4" t="s">
        <v>1328</v>
      </c>
      <c r="F752" s="4"/>
      <c r="G752" s="4"/>
      <c r="H752" s="4"/>
      <c r="I752" s="4"/>
    </row>
    <row r="753" spans="1:9" ht="15" hidden="1">
      <c r="A753" s="8"/>
      <c r="C753" s="4" t="s">
        <v>1329</v>
      </c>
      <c r="F753" s="4"/>
      <c r="G753" s="4"/>
      <c r="H753" s="4"/>
      <c r="I753" s="4"/>
    </row>
    <row r="754" spans="1:9" ht="15" hidden="1">
      <c r="A754" s="8"/>
      <c r="C754" s="4" t="s">
        <v>1330</v>
      </c>
      <c r="F754" s="4"/>
      <c r="G754" s="4"/>
      <c r="H754" s="4"/>
      <c r="I754" s="4"/>
    </row>
    <row r="755" spans="1:9" ht="15" hidden="1">
      <c r="A755" s="8"/>
      <c r="C755" s="4" t="s">
        <v>1331</v>
      </c>
      <c r="F755" s="4"/>
      <c r="G755" s="4"/>
      <c r="H755" s="4"/>
      <c r="I755" s="4"/>
    </row>
    <row r="756" spans="1:9" ht="15" hidden="1">
      <c r="A756" s="8"/>
      <c r="C756" s="4" t="s">
        <v>1332</v>
      </c>
      <c r="F756" s="4"/>
      <c r="G756" s="4"/>
      <c r="H756" s="4"/>
      <c r="I756" s="4"/>
    </row>
    <row r="757" spans="1:9" ht="15" hidden="1">
      <c r="A757" s="8"/>
      <c r="C757" s="4" t="s">
        <v>1333</v>
      </c>
      <c r="F757" s="4"/>
      <c r="G757" s="4"/>
      <c r="H757" s="4"/>
      <c r="I757" s="4"/>
    </row>
    <row r="758" spans="1:9" ht="15" hidden="1">
      <c r="A758" s="8"/>
      <c r="C758" s="4" t="s">
        <v>1334</v>
      </c>
      <c r="F758" s="4"/>
      <c r="G758" s="4"/>
      <c r="H758" s="4"/>
      <c r="I758" s="4"/>
    </row>
    <row r="759" spans="1:9" ht="15" hidden="1">
      <c r="A759" s="8"/>
      <c r="C759" s="4" t="s">
        <v>243</v>
      </c>
      <c r="F759" s="4"/>
      <c r="G759" s="4"/>
      <c r="H759" s="4"/>
      <c r="I759" s="4"/>
    </row>
    <row r="760" spans="1:9" ht="15" hidden="1">
      <c r="A760" s="8"/>
      <c r="C760" s="4" t="s">
        <v>244</v>
      </c>
      <c r="F760" s="4"/>
      <c r="G760" s="4"/>
      <c r="H760" s="4"/>
      <c r="I760" s="4"/>
    </row>
    <row r="761" spans="1:9" ht="15" hidden="1">
      <c r="A761" s="8"/>
      <c r="C761" s="4" t="s">
        <v>1335</v>
      </c>
      <c r="F761" s="4"/>
      <c r="G761" s="4"/>
      <c r="H761" s="4"/>
      <c r="I761" s="4"/>
    </row>
    <row r="762" spans="1:9" ht="15" hidden="1">
      <c r="A762" s="8"/>
      <c r="C762" s="4" t="s">
        <v>1336</v>
      </c>
      <c r="F762" s="4"/>
      <c r="G762" s="4"/>
      <c r="H762" s="4"/>
      <c r="I762" s="4"/>
    </row>
    <row r="763" spans="1:9" ht="15" hidden="1">
      <c r="A763" s="8"/>
      <c r="C763" s="4" t="s">
        <v>1337</v>
      </c>
      <c r="F763" s="4"/>
      <c r="G763" s="4"/>
      <c r="H763" s="4"/>
      <c r="I763" s="4"/>
    </row>
    <row r="764" spans="1:9" ht="15" hidden="1">
      <c r="A764" s="8"/>
      <c r="C764" s="4" t="s">
        <v>1338</v>
      </c>
      <c r="F764" s="4"/>
      <c r="G764" s="4"/>
      <c r="H764" s="4"/>
      <c r="I764" s="4"/>
    </row>
    <row r="765" spans="1:9" ht="15" hidden="1">
      <c r="A765" s="8"/>
      <c r="C765" s="4" t="s">
        <v>1339</v>
      </c>
      <c r="F765" s="4"/>
      <c r="G765" s="4"/>
      <c r="H765" s="4"/>
      <c r="I765" s="4"/>
    </row>
    <row r="766" spans="1:9" ht="15" hidden="1">
      <c r="A766" s="8"/>
      <c r="C766" s="4" t="s">
        <v>1340</v>
      </c>
      <c r="F766" s="4"/>
      <c r="G766" s="4"/>
      <c r="H766" s="4"/>
      <c r="I766" s="4"/>
    </row>
    <row r="767" spans="1:9" ht="15" hidden="1">
      <c r="A767" s="8"/>
      <c r="C767" s="4" t="s">
        <v>1341</v>
      </c>
      <c r="F767" s="4"/>
      <c r="G767" s="4"/>
      <c r="H767" s="4"/>
      <c r="I767" s="4"/>
    </row>
    <row r="768" spans="1:9" ht="15" hidden="1">
      <c r="A768" s="8"/>
      <c r="C768" s="4" t="s">
        <v>1342</v>
      </c>
      <c r="F768" s="4"/>
      <c r="G768" s="4"/>
      <c r="H768" s="4"/>
      <c r="I768" s="4"/>
    </row>
    <row r="769" spans="1:9" ht="15" hidden="1">
      <c r="A769" s="8"/>
      <c r="C769" s="4" t="s">
        <v>1343</v>
      </c>
      <c r="F769" s="4"/>
      <c r="G769" s="4"/>
      <c r="H769" s="4"/>
      <c r="I769" s="4"/>
    </row>
    <row r="770" spans="1:9" ht="15" hidden="1">
      <c r="A770" s="8"/>
      <c r="C770" s="4" t="s">
        <v>1344</v>
      </c>
      <c r="F770" s="4"/>
      <c r="G770" s="4"/>
      <c r="H770" s="4"/>
      <c r="I770" s="4"/>
    </row>
    <row r="771" spans="1:9" ht="15" hidden="1">
      <c r="A771" s="8"/>
      <c r="C771" s="4" t="s">
        <v>1345</v>
      </c>
      <c r="F771" s="4"/>
      <c r="G771" s="4"/>
      <c r="H771" s="4"/>
      <c r="I771" s="4"/>
    </row>
    <row r="772" spans="1:9" ht="15" hidden="1">
      <c r="A772" s="8"/>
      <c r="C772" s="4" t="s">
        <v>1346</v>
      </c>
      <c r="F772" s="4"/>
      <c r="G772" s="4"/>
      <c r="H772" s="4"/>
      <c r="I772" s="4"/>
    </row>
    <row r="773" spans="1:9" ht="15" hidden="1">
      <c r="A773" s="8"/>
      <c r="C773" s="4" t="s">
        <v>1347</v>
      </c>
      <c r="F773" s="4"/>
      <c r="G773" s="4"/>
      <c r="H773" s="4"/>
      <c r="I773" s="4"/>
    </row>
    <row r="774" spans="1:9" ht="15" hidden="1">
      <c r="A774" s="8"/>
      <c r="C774" s="4" t="s">
        <v>1348</v>
      </c>
      <c r="F774" s="4"/>
      <c r="G774" s="4"/>
      <c r="H774" s="4"/>
      <c r="I774" s="4"/>
    </row>
    <row r="775" spans="1:9" ht="15" hidden="1">
      <c r="A775" s="8"/>
      <c r="C775" s="4" t="s">
        <v>1349</v>
      </c>
      <c r="F775" s="4"/>
      <c r="G775" s="4"/>
      <c r="H775" s="4"/>
      <c r="I775" s="4"/>
    </row>
    <row r="776" spans="1:9" ht="15" hidden="1">
      <c r="A776" s="8"/>
      <c r="C776" s="4" t="s">
        <v>1350</v>
      </c>
      <c r="F776" s="4"/>
      <c r="G776" s="4"/>
      <c r="H776" s="4"/>
      <c r="I776" s="4"/>
    </row>
    <row r="777" spans="1:9" ht="15" hidden="1">
      <c r="A777" s="8"/>
      <c r="C777" s="4" t="s">
        <v>1351</v>
      </c>
      <c r="F777" s="4"/>
      <c r="G777" s="4"/>
      <c r="H777" s="4"/>
      <c r="I777" s="4"/>
    </row>
    <row r="778" spans="1:9" ht="15" hidden="1">
      <c r="A778" s="8"/>
      <c r="C778" s="4" t="s">
        <v>1352</v>
      </c>
      <c r="F778" s="4"/>
      <c r="G778" s="4"/>
      <c r="H778" s="4"/>
      <c r="I778" s="4"/>
    </row>
    <row r="779" spans="1:9" ht="15" hidden="1">
      <c r="A779" s="8"/>
      <c r="C779" s="4" t="s">
        <v>1353</v>
      </c>
      <c r="F779" s="4"/>
      <c r="G779" s="4"/>
      <c r="H779" s="4"/>
      <c r="I779" s="4"/>
    </row>
    <row r="780" spans="1:9" ht="15" hidden="1">
      <c r="A780" s="8"/>
      <c r="C780" s="4" t="s">
        <v>1354</v>
      </c>
      <c r="F780" s="4"/>
      <c r="G780" s="4"/>
      <c r="H780" s="4"/>
      <c r="I780" s="4"/>
    </row>
    <row r="781" spans="1:9" ht="15" hidden="1">
      <c r="A781" s="8"/>
      <c r="C781" s="4" t="s">
        <v>1355</v>
      </c>
      <c r="F781" s="4"/>
      <c r="G781" s="4"/>
      <c r="H781" s="4"/>
      <c r="I781" s="4"/>
    </row>
    <row r="782" spans="1:9" ht="15" hidden="1">
      <c r="A782" s="8"/>
      <c r="C782" s="4" t="s">
        <v>1356</v>
      </c>
      <c r="F782" s="4"/>
      <c r="G782" s="4"/>
      <c r="H782" s="4"/>
      <c r="I782" s="4"/>
    </row>
    <row r="783" spans="1:9" ht="15" hidden="1">
      <c r="A783" s="8"/>
      <c r="C783" s="4" t="s">
        <v>1357</v>
      </c>
      <c r="F783" s="4"/>
      <c r="G783" s="4"/>
      <c r="H783" s="4"/>
      <c r="I783" s="4"/>
    </row>
    <row r="784" spans="1:9" ht="15" hidden="1">
      <c r="A784" s="8"/>
      <c r="C784" s="4" t="s">
        <v>1358</v>
      </c>
      <c r="F784" s="4"/>
      <c r="G784" s="4"/>
      <c r="H784" s="4"/>
      <c r="I784" s="4"/>
    </row>
    <row r="785" spans="1:9" ht="15" hidden="1">
      <c r="A785" s="8"/>
      <c r="C785" s="4" t="s">
        <v>1359</v>
      </c>
      <c r="F785" s="4"/>
      <c r="G785" s="4"/>
      <c r="H785" s="4"/>
      <c r="I785" s="4"/>
    </row>
    <row r="786" spans="1:9" ht="15" hidden="1">
      <c r="A786" s="8"/>
      <c r="C786" s="4" t="s">
        <v>1360</v>
      </c>
      <c r="F786" s="4"/>
      <c r="G786" s="4"/>
      <c r="H786" s="4"/>
      <c r="I786" s="4"/>
    </row>
    <row r="787" spans="1:9" ht="15" hidden="1">
      <c r="A787" s="8"/>
      <c r="C787" s="4" t="s">
        <v>1361</v>
      </c>
      <c r="F787" s="4"/>
      <c r="G787" s="4"/>
      <c r="H787" s="4"/>
      <c r="I787" s="4"/>
    </row>
    <row r="788" spans="1:9" ht="15" hidden="1">
      <c r="A788" s="8"/>
      <c r="C788" s="4" t="s">
        <v>1362</v>
      </c>
      <c r="F788" s="4"/>
      <c r="G788" s="4"/>
      <c r="H788" s="4"/>
      <c r="I788" s="4"/>
    </row>
    <row r="789" spans="1:9" ht="15" hidden="1">
      <c r="A789" s="8"/>
      <c r="C789" s="4" t="s">
        <v>1363</v>
      </c>
      <c r="F789" s="4"/>
      <c r="G789" s="4"/>
      <c r="H789" s="4"/>
      <c r="I789" s="4"/>
    </row>
    <row r="790" spans="1:9" ht="15" hidden="1">
      <c r="A790" s="8"/>
      <c r="C790" s="4" t="s">
        <v>1364</v>
      </c>
      <c r="F790" s="4"/>
      <c r="G790" s="4"/>
      <c r="H790" s="4"/>
      <c r="I790" s="4"/>
    </row>
    <row r="791" spans="1:9" ht="15" hidden="1">
      <c r="A791" s="8"/>
      <c r="C791" s="4" t="s">
        <v>1365</v>
      </c>
      <c r="F791" s="4"/>
      <c r="G791" s="4"/>
      <c r="H791" s="4"/>
      <c r="I791" s="4"/>
    </row>
    <row r="792" spans="1:9" ht="15" hidden="1">
      <c r="A792" s="8"/>
      <c r="C792" s="4" t="s">
        <v>1366</v>
      </c>
      <c r="F792" s="4"/>
      <c r="G792" s="4"/>
      <c r="H792" s="4"/>
      <c r="I792" s="4"/>
    </row>
    <row r="793" spans="1:9" ht="15" hidden="1">
      <c r="A793" s="8"/>
      <c r="C793" s="4" t="s">
        <v>1367</v>
      </c>
      <c r="F793" s="4"/>
      <c r="G793" s="4"/>
      <c r="H793" s="4"/>
      <c r="I793" s="4"/>
    </row>
    <row r="794" spans="1:9" ht="15" hidden="1">
      <c r="A794" s="8"/>
      <c r="C794" s="4" t="s">
        <v>1368</v>
      </c>
      <c r="F794" s="4"/>
      <c r="G794" s="4"/>
      <c r="H794" s="4"/>
      <c r="I794" s="4"/>
    </row>
    <row r="795" spans="1:9" ht="15" hidden="1">
      <c r="A795" s="8"/>
      <c r="C795" s="4" t="s">
        <v>1369</v>
      </c>
      <c r="F795" s="4"/>
      <c r="G795" s="4"/>
      <c r="H795" s="4"/>
      <c r="I795" s="4"/>
    </row>
    <row r="796" spans="1:9" ht="15" hidden="1">
      <c r="A796" s="8"/>
      <c r="C796" s="4" t="s">
        <v>1370</v>
      </c>
      <c r="F796" s="4"/>
      <c r="G796" s="4"/>
      <c r="H796" s="4"/>
      <c r="I796" s="4"/>
    </row>
    <row r="797" spans="1:9" ht="15" hidden="1">
      <c r="A797" s="8"/>
      <c r="C797" s="4" t="s">
        <v>1371</v>
      </c>
      <c r="F797" s="4"/>
      <c r="G797" s="4"/>
      <c r="H797" s="4"/>
      <c r="I797" s="4"/>
    </row>
    <row r="798" spans="1:9" ht="15" hidden="1">
      <c r="A798" s="8"/>
      <c r="C798" s="4" t="s">
        <v>1372</v>
      </c>
      <c r="F798" s="4"/>
      <c r="G798" s="4"/>
      <c r="H798" s="4"/>
      <c r="I798" s="4"/>
    </row>
    <row r="799" spans="1:9" ht="15" hidden="1">
      <c r="A799" s="8"/>
      <c r="C799" s="4" t="s">
        <v>1373</v>
      </c>
      <c r="F799" s="4"/>
      <c r="G799" s="4"/>
      <c r="H799" s="4"/>
      <c r="I799" s="4"/>
    </row>
    <row r="800" spans="1:9" ht="15" hidden="1">
      <c r="A800" s="8"/>
      <c r="C800" s="4" t="s">
        <v>1374</v>
      </c>
      <c r="F800" s="4"/>
      <c r="G800" s="4"/>
      <c r="H800" s="4"/>
      <c r="I800" s="4"/>
    </row>
    <row r="801" spans="1:9" ht="15" hidden="1">
      <c r="A801" s="8"/>
      <c r="C801" s="4" t="s">
        <v>1375</v>
      </c>
      <c r="F801" s="4"/>
      <c r="G801" s="4"/>
      <c r="H801" s="4"/>
      <c r="I801" s="4"/>
    </row>
    <row r="802" spans="1:9" ht="15" hidden="1">
      <c r="A802" s="8"/>
      <c r="C802" s="4" t="s">
        <v>1376</v>
      </c>
      <c r="F802" s="4"/>
      <c r="G802" s="4"/>
      <c r="H802" s="4"/>
      <c r="I802" s="4"/>
    </row>
    <row r="803" spans="1:9" ht="15" hidden="1">
      <c r="A803" s="8"/>
      <c r="C803" s="4" t="s">
        <v>1377</v>
      </c>
      <c r="F803" s="4"/>
      <c r="G803" s="4"/>
      <c r="H803" s="4"/>
      <c r="I803" s="4"/>
    </row>
    <row r="804" spans="1:9" ht="15" hidden="1">
      <c r="A804" s="8"/>
      <c r="C804" s="4" t="s">
        <v>1378</v>
      </c>
      <c r="F804" s="4"/>
      <c r="G804" s="4"/>
      <c r="H804" s="4"/>
      <c r="I804" s="4"/>
    </row>
    <row r="805" spans="1:9" ht="15" hidden="1">
      <c r="A805" s="8"/>
      <c r="C805" s="4" t="s">
        <v>1379</v>
      </c>
      <c r="F805" s="4"/>
      <c r="G805" s="4"/>
      <c r="H805" s="4"/>
      <c r="I805" s="4"/>
    </row>
    <row r="806" spans="1:9" ht="15" hidden="1">
      <c r="A806" s="8"/>
      <c r="C806" s="4" t="s">
        <v>1380</v>
      </c>
      <c r="F806" s="4"/>
      <c r="G806" s="4"/>
      <c r="H806" s="4"/>
      <c r="I806" s="4"/>
    </row>
    <row r="807" spans="1:9" ht="15" hidden="1">
      <c r="A807" s="8"/>
      <c r="C807" s="4" t="s">
        <v>1381</v>
      </c>
      <c r="F807" s="4"/>
      <c r="G807" s="4"/>
      <c r="H807" s="4"/>
      <c r="I807" s="4"/>
    </row>
    <row r="808" spans="1:9" ht="15" hidden="1">
      <c r="A808" s="8"/>
      <c r="C808" s="4" t="s">
        <v>1382</v>
      </c>
      <c r="F808" s="4"/>
      <c r="G808" s="4"/>
      <c r="H808" s="4"/>
      <c r="I808" s="4"/>
    </row>
    <row r="809" spans="1:9" ht="15" hidden="1">
      <c r="A809" s="8"/>
      <c r="C809" s="4" t="s">
        <v>1383</v>
      </c>
      <c r="F809" s="4"/>
      <c r="G809" s="4"/>
      <c r="H809" s="4"/>
      <c r="I809" s="4"/>
    </row>
    <row r="810" spans="1:9" ht="15" hidden="1">
      <c r="A810" s="8"/>
      <c r="C810" s="4" t="s">
        <v>1384</v>
      </c>
      <c r="F810" s="4"/>
      <c r="G810" s="4"/>
      <c r="H810" s="4"/>
      <c r="I810" s="4"/>
    </row>
    <row r="811" spans="1:9" ht="15" hidden="1">
      <c r="A811" s="8"/>
      <c r="C811" s="4" t="s">
        <v>1385</v>
      </c>
      <c r="F811" s="4"/>
      <c r="G811" s="4"/>
      <c r="H811" s="4"/>
      <c r="I811" s="4"/>
    </row>
    <row r="812" spans="1:9" ht="15" hidden="1">
      <c r="A812" s="8"/>
      <c r="C812" s="4" t="s">
        <v>1386</v>
      </c>
      <c r="F812" s="4"/>
      <c r="G812" s="4"/>
      <c r="H812" s="4"/>
      <c r="I812" s="4"/>
    </row>
    <row r="813" spans="1:9" ht="15" hidden="1">
      <c r="A813" s="8"/>
      <c r="C813" s="4" t="s">
        <v>1387</v>
      </c>
      <c r="F813" s="4"/>
      <c r="G813" s="4"/>
      <c r="H813" s="4"/>
      <c r="I813" s="4"/>
    </row>
    <row r="814" spans="1:9" ht="15" hidden="1">
      <c r="A814" s="8"/>
      <c r="C814" s="4" t="s">
        <v>1388</v>
      </c>
      <c r="F814" s="4"/>
      <c r="G814" s="4"/>
      <c r="H814" s="4"/>
      <c r="I814" s="4"/>
    </row>
    <row r="815" spans="1:9" ht="15" hidden="1">
      <c r="A815" s="8"/>
      <c r="C815" s="4" t="s">
        <v>1389</v>
      </c>
      <c r="F815" s="4"/>
      <c r="G815" s="4"/>
      <c r="H815" s="4"/>
      <c r="I815" s="4"/>
    </row>
    <row r="816" spans="1:9" ht="15" hidden="1">
      <c r="A816" s="8"/>
      <c r="C816" s="4" t="s">
        <v>1390</v>
      </c>
      <c r="F816" s="4"/>
      <c r="G816" s="4"/>
      <c r="H816" s="4"/>
      <c r="I816" s="4"/>
    </row>
    <row r="817" spans="1:9" ht="15" hidden="1">
      <c r="A817" s="8"/>
      <c r="C817" s="4" t="s">
        <v>1391</v>
      </c>
      <c r="F817" s="4"/>
      <c r="G817" s="4"/>
      <c r="H817" s="4"/>
      <c r="I817" s="4"/>
    </row>
    <row r="818" spans="1:9" ht="15" hidden="1">
      <c r="A818" s="8"/>
      <c r="C818" s="4" t="s">
        <v>1392</v>
      </c>
      <c r="F818" s="4"/>
      <c r="G818" s="4"/>
      <c r="H818" s="4"/>
      <c r="I818" s="4"/>
    </row>
    <row r="819" spans="1:9" ht="15" hidden="1">
      <c r="A819" s="8"/>
      <c r="C819" s="4" t="s">
        <v>1393</v>
      </c>
      <c r="F819" s="4"/>
      <c r="G819" s="4"/>
      <c r="H819" s="4"/>
      <c r="I819" s="4"/>
    </row>
    <row r="820" spans="1:9" ht="15" hidden="1">
      <c r="A820" s="8"/>
      <c r="C820" s="4" t="s">
        <v>1394</v>
      </c>
      <c r="F820" s="4"/>
      <c r="G820" s="4"/>
      <c r="H820" s="4"/>
      <c r="I820" s="4"/>
    </row>
    <row r="821" spans="1:9" ht="15" hidden="1">
      <c r="A821" s="8"/>
      <c r="C821" s="4" t="s">
        <v>1395</v>
      </c>
      <c r="F821" s="4"/>
      <c r="G821" s="4"/>
      <c r="H821" s="4"/>
      <c r="I821" s="4"/>
    </row>
    <row r="822" spans="1:9" ht="15" hidden="1">
      <c r="A822" s="8"/>
      <c r="C822" s="4" t="s">
        <v>1396</v>
      </c>
      <c r="F822" s="4"/>
      <c r="G822" s="4"/>
      <c r="H822" s="4"/>
      <c r="I822" s="4"/>
    </row>
    <row r="823" spans="1:9" ht="15" hidden="1">
      <c r="A823" s="8"/>
      <c r="C823" s="4" t="s">
        <v>1397</v>
      </c>
      <c r="F823" s="4"/>
      <c r="G823" s="4"/>
      <c r="H823" s="4"/>
      <c r="I823" s="4"/>
    </row>
    <row r="824" spans="1:9" ht="15" hidden="1">
      <c r="A824" s="8"/>
      <c r="C824" s="4" t="s">
        <v>1398</v>
      </c>
      <c r="F824" s="4"/>
      <c r="G824" s="4"/>
      <c r="H824" s="4"/>
      <c r="I824" s="4"/>
    </row>
    <row r="825" spans="1:9" ht="15" hidden="1">
      <c r="A825" s="8"/>
      <c r="C825" s="4" t="s">
        <v>1399</v>
      </c>
      <c r="F825" s="4"/>
      <c r="G825" s="4"/>
      <c r="H825" s="4"/>
      <c r="I825" s="4"/>
    </row>
    <row r="826" spans="1:9" ht="15" hidden="1">
      <c r="A826" s="8"/>
      <c r="C826" s="4" t="s">
        <v>1400</v>
      </c>
      <c r="F826" s="4"/>
      <c r="G826" s="4"/>
      <c r="H826" s="4"/>
      <c r="I826" s="4"/>
    </row>
    <row r="827" spans="1:9" ht="15" hidden="1">
      <c r="A827" s="8"/>
      <c r="C827" s="4" t="s">
        <v>1401</v>
      </c>
      <c r="F827" s="4"/>
      <c r="G827" s="4"/>
      <c r="H827" s="4"/>
      <c r="I827" s="4"/>
    </row>
    <row r="828" spans="1:9" ht="15" hidden="1">
      <c r="A828" s="8"/>
      <c r="C828" s="4" t="s">
        <v>1402</v>
      </c>
      <c r="F828" s="4"/>
      <c r="G828" s="4"/>
      <c r="H828" s="4"/>
      <c r="I828" s="4"/>
    </row>
    <row r="829" spans="1:9" ht="15" hidden="1">
      <c r="A829" s="8"/>
      <c r="C829" s="4" t="s">
        <v>1403</v>
      </c>
      <c r="F829" s="4"/>
      <c r="G829" s="4"/>
      <c r="H829" s="4"/>
      <c r="I829" s="4"/>
    </row>
    <row r="830" spans="1:9" ht="15" hidden="1">
      <c r="A830" s="8"/>
      <c r="C830" s="4" t="s">
        <v>1404</v>
      </c>
      <c r="F830" s="4"/>
      <c r="G830" s="4"/>
      <c r="H830" s="4"/>
      <c r="I830" s="4"/>
    </row>
    <row r="831" spans="1:9" ht="15" hidden="1">
      <c r="A831" s="8"/>
      <c r="C831" s="4" t="s">
        <v>1405</v>
      </c>
      <c r="F831" s="4"/>
      <c r="G831" s="4"/>
      <c r="H831" s="4"/>
      <c r="I831" s="4"/>
    </row>
    <row r="832" spans="1:9" ht="15" hidden="1">
      <c r="A832" s="8"/>
      <c r="C832" s="4" t="s">
        <v>1406</v>
      </c>
      <c r="F832" s="4"/>
      <c r="G832" s="4"/>
      <c r="H832" s="4"/>
      <c r="I832" s="4"/>
    </row>
    <row r="833" spans="1:9" ht="15" hidden="1">
      <c r="A833" s="8"/>
      <c r="C833" s="4" t="s">
        <v>1407</v>
      </c>
      <c r="F833" s="4"/>
      <c r="G833" s="4"/>
      <c r="H833" s="4"/>
      <c r="I833" s="4"/>
    </row>
    <row r="834" spans="1:9" ht="15" hidden="1">
      <c r="A834" s="8"/>
      <c r="C834" s="4" t="s">
        <v>1408</v>
      </c>
      <c r="F834" s="4"/>
      <c r="G834" s="4"/>
      <c r="H834" s="4"/>
      <c r="I834" s="4"/>
    </row>
    <row r="835" spans="1:9" ht="15" hidden="1">
      <c r="A835" s="8"/>
      <c r="C835" s="4" t="s">
        <v>1409</v>
      </c>
      <c r="F835" s="4"/>
      <c r="G835" s="4"/>
      <c r="H835" s="4"/>
      <c r="I835" s="4"/>
    </row>
    <row r="836" spans="1:9" ht="15" hidden="1">
      <c r="A836" s="8"/>
      <c r="C836" s="4" t="s">
        <v>1410</v>
      </c>
      <c r="F836" s="4"/>
      <c r="G836" s="4"/>
      <c r="H836" s="4"/>
      <c r="I836" s="4"/>
    </row>
    <row r="837" spans="1:9" ht="15" hidden="1">
      <c r="A837" s="8"/>
      <c r="C837" s="4" t="s">
        <v>1411</v>
      </c>
      <c r="F837" s="4"/>
      <c r="G837" s="4"/>
      <c r="H837" s="4"/>
      <c r="I837" s="4"/>
    </row>
    <row r="838" spans="1:9" ht="15" hidden="1">
      <c r="A838" s="8"/>
      <c r="C838" s="4" t="s">
        <v>1412</v>
      </c>
      <c r="F838" s="4"/>
      <c r="G838" s="4"/>
      <c r="H838" s="4"/>
      <c r="I838" s="4"/>
    </row>
    <row r="839" spans="1:9" ht="15" hidden="1">
      <c r="A839" s="8"/>
      <c r="C839" s="4" t="s">
        <v>1413</v>
      </c>
      <c r="F839" s="4"/>
      <c r="G839" s="4"/>
      <c r="H839" s="4"/>
      <c r="I839" s="4"/>
    </row>
    <row r="840" spans="1:9" ht="15" hidden="1">
      <c r="A840" s="8"/>
      <c r="C840" s="4" t="s">
        <v>1414</v>
      </c>
      <c r="F840" s="4"/>
      <c r="G840" s="4"/>
      <c r="H840" s="4"/>
      <c r="I840" s="4"/>
    </row>
    <row r="841" spans="1:9" ht="15" hidden="1">
      <c r="A841" s="8"/>
      <c r="C841" s="4" t="s">
        <v>1415</v>
      </c>
      <c r="F841" s="4"/>
      <c r="G841" s="4"/>
      <c r="H841" s="4"/>
      <c r="I841" s="4"/>
    </row>
    <row r="842" spans="1:9" ht="15">
      <c r="A842" s="8"/>
      <c r="C842" s="4" t="s">
        <v>245</v>
      </c>
      <c r="D842" t="s">
        <v>4</v>
      </c>
      <c r="E842" t="s">
        <v>4</v>
      </c>
      <c r="F842" s="4" t="s">
        <v>15</v>
      </c>
      <c r="G842" s="4"/>
      <c r="H842" s="4"/>
      <c r="I842" s="4"/>
    </row>
    <row r="843" spans="1:9" ht="15">
      <c r="A843" s="8"/>
      <c r="C843" s="4" t="s">
        <v>246</v>
      </c>
      <c r="D843" t="s">
        <v>4</v>
      </c>
      <c r="E843" t="s">
        <v>4</v>
      </c>
      <c r="F843" s="4" t="s">
        <v>19</v>
      </c>
      <c r="G843" s="4" t="s">
        <v>24</v>
      </c>
      <c r="H843" s="4" t="s">
        <v>43</v>
      </c>
      <c r="I843" s="4"/>
    </row>
    <row r="844" spans="1:9" ht="15" hidden="1">
      <c r="A844" s="8"/>
      <c r="C844" s="4" t="s">
        <v>247</v>
      </c>
      <c r="F844" s="4"/>
      <c r="G844" s="4"/>
      <c r="H844" s="4"/>
      <c r="I844" s="4"/>
    </row>
    <row r="845" spans="1:9" ht="15" hidden="1">
      <c r="A845" s="8"/>
      <c r="C845" s="4" t="s">
        <v>1416</v>
      </c>
      <c r="F845" s="4"/>
      <c r="G845" s="4"/>
      <c r="H845" s="4"/>
      <c r="I845" s="4"/>
    </row>
    <row r="846" spans="1:9" ht="15" hidden="1">
      <c r="A846" s="8"/>
      <c r="C846" s="4" t="s">
        <v>1417</v>
      </c>
      <c r="F846" s="4"/>
      <c r="G846" s="4"/>
      <c r="H846" s="4"/>
      <c r="I846" s="4"/>
    </row>
    <row r="847" spans="1:9" ht="15" hidden="1">
      <c r="A847" s="8"/>
      <c r="C847" s="4" t="s">
        <v>1418</v>
      </c>
      <c r="F847" s="4"/>
      <c r="G847" s="4"/>
      <c r="H847" s="4"/>
      <c r="I847" s="4"/>
    </row>
    <row r="848" spans="1:9" ht="15" hidden="1">
      <c r="A848" s="8"/>
      <c r="C848" s="4" t="s">
        <v>1419</v>
      </c>
      <c r="F848" s="4"/>
      <c r="G848" s="4"/>
      <c r="H848" s="4"/>
      <c r="I848" s="4"/>
    </row>
    <row r="849" spans="1:9" ht="15" hidden="1">
      <c r="A849" s="8"/>
      <c r="C849" s="4" t="s">
        <v>1420</v>
      </c>
      <c r="F849" s="4"/>
      <c r="G849" s="4"/>
      <c r="H849" s="4"/>
      <c r="I849" s="4"/>
    </row>
    <row r="850" spans="1:9" ht="15" hidden="1">
      <c r="A850" s="8"/>
      <c r="C850" s="4" t="s">
        <v>1421</v>
      </c>
      <c r="F850" s="4"/>
      <c r="G850" s="4"/>
      <c r="H850" s="4"/>
      <c r="I850" s="4"/>
    </row>
    <row r="851" spans="1:9" ht="15" hidden="1">
      <c r="A851" s="8"/>
      <c r="C851" s="4" t="s">
        <v>1422</v>
      </c>
      <c r="F851" s="4"/>
      <c r="G851" s="4"/>
      <c r="H851" s="4"/>
      <c r="I851" s="4"/>
    </row>
    <row r="852" spans="1:9" ht="15" hidden="1">
      <c r="A852" s="8"/>
      <c r="C852" s="4" t="s">
        <v>1423</v>
      </c>
      <c r="F852" s="4"/>
      <c r="G852" s="4"/>
      <c r="H852" s="4"/>
      <c r="I852" s="4"/>
    </row>
    <row r="853" spans="1:9" ht="15" hidden="1">
      <c r="A853" s="8"/>
      <c r="C853" s="4" t="s">
        <v>1424</v>
      </c>
      <c r="F853" s="4"/>
      <c r="G853" s="4"/>
      <c r="H853" s="4"/>
      <c r="I853" s="4"/>
    </row>
    <row r="854" spans="1:9" ht="15" hidden="1">
      <c r="A854" s="8"/>
      <c r="C854" s="4" t="s">
        <v>1425</v>
      </c>
      <c r="F854" s="4"/>
      <c r="G854" s="4"/>
      <c r="H854" s="4"/>
      <c r="I854" s="4"/>
    </row>
    <row r="855" spans="1:9" ht="15" hidden="1">
      <c r="A855" s="8"/>
      <c r="C855" s="4" t="s">
        <v>1426</v>
      </c>
      <c r="F855" s="4"/>
      <c r="G855" s="4"/>
      <c r="H855" s="4"/>
      <c r="I855" s="4"/>
    </row>
    <row r="856" spans="1:9" ht="15" hidden="1">
      <c r="A856" s="8"/>
      <c r="C856" s="4" t="s">
        <v>1427</v>
      </c>
      <c r="F856" s="4"/>
      <c r="G856" s="4"/>
      <c r="H856" s="4"/>
      <c r="I856" s="4"/>
    </row>
    <row r="857" spans="1:9" ht="15" hidden="1">
      <c r="A857" s="8"/>
      <c r="C857" s="4" t="s">
        <v>1428</v>
      </c>
      <c r="F857" s="4"/>
      <c r="G857" s="4"/>
      <c r="H857" s="4"/>
      <c r="I857" s="4"/>
    </row>
    <row r="858" spans="1:9" ht="15" hidden="1">
      <c r="A858" s="8"/>
      <c r="C858" s="4" t="s">
        <v>1429</v>
      </c>
      <c r="F858" s="4"/>
      <c r="G858" s="4"/>
      <c r="H858" s="4"/>
      <c r="I858" s="4"/>
    </row>
    <row r="859" spans="1:9" ht="15" hidden="1">
      <c r="A859" s="8"/>
      <c r="C859" s="4" t="s">
        <v>1430</v>
      </c>
      <c r="F859" s="4"/>
      <c r="G859" s="4"/>
      <c r="H859" s="4"/>
      <c r="I859" s="4"/>
    </row>
    <row r="860" spans="1:9" ht="15" hidden="1">
      <c r="A860" s="8"/>
      <c r="C860" s="4" t="s">
        <v>1431</v>
      </c>
      <c r="F860" s="4"/>
      <c r="G860" s="4"/>
      <c r="H860" s="4"/>
      <c r="I860" s="4"/>
    </row>
    <row r="861" spans="1:9" ht="15" hidden="1">
      <c r="A861" s="8"/>
      <c r="C861" s="4" t="s">
        <v>1432</v>
      </c>
      <c r="F861" s="4"/>
      <c r="G861" s="4"/>
      <c r="H861" s="4"/>
      <c r="I861" s="4"/>
    </row>
    <row r="862" spans="1:9" ht="15" hidden="1">
      <c r="A862" s="8"/>
      <c r="C862" s="4" t="s">
        <v>1433</v>
      </c>
      <c r="F862" s="4"/>
      <c r="G862" s="4"/>
      <c r="H862" s="4"/>
      <c r="I862" s="4"/>
    </row>
    <row r="863" spans="1:9" ht="15" hidden="1">
      <c r="A863" s="8"/>
      <c r="C863" s="4" t="s">
        <v>1434</v>
      </c>
      <c r="F863" s="4"/>
      <c r="G863" s="4"/>
      <c r="H863" s="4"/>
      <c r="I863" s="4"/>
    </row>
    <row r="864" spans="1:9" ht="15" hidden="1">
      <c r="A864" s="8"/>
      <c r="C864" s="4" t="s">
        <v>1435</v>
      </c>
      <c r="F864" s="4"/>
      <c r="G864" s="4"/>
      <c r="H864" s="4"/>
      <c r="I864" s="4"/>
    </row>
    <row r="865" spans="1:9" ht="15" hidden="1">
      <c r="A865" s="8"/>
      <c r="C865" s="4" t="s">
        <v>1436</v>
      </c>
      <c r="F865" s="4"/>
      <c r="G865" s="4"/>
      <c r="H865" s="4"/>
      <c r="I865" s="4"/>
    </row>
    <row r="866" spans="1:9" ht="15" hidden="1">
      <c r="A866" s="8"/>
      <c r="C866" s="4" t="s">
        <v>1437</v>
      </c>
      <c r="F866" s="4"/>
      <c r="G866" s="4"/>
      <c r="H866" s="4"/>
      <c r="I866" s="4"/>
    </row>
    <row r="867" spans="1:9" ht="15" hidden="1">
      <c r="A867" s="8"/>
      <c r="C867" s="4" t="s">
        <v>1438</v>
      </c>
      <c r="F867" s="4"/>
      <c r="G867" s="4"/>
      <c r="H867" s="4"/>
      <c r="I867" s="4"/>
    </row>
    <row r="868" spans="1:9" ht="15" hidden="1">
      <c r="A868" s="8"/>
      <c r="C868" s="4" t="s">
        <v>1439</v>
      </c>
      <c r="F868" s="4"/>
      <c r="G868" s="4"/>
      <c r="H868" s="4"/>
      <c r="I868" s="4"/>
    </row>
    <row r="869" spans="1:9" ht="15" hidden="1">
      <c r="A869" s="8"/>
      <c r="C869" s="4" t="s">
        <v>1440</v>
      </c>
      <c r="F869" s="4"/>
      <c r="G869" s="4"/>
      <c r="H869" s="4"/>
      <c r="I869" s="4"/>
    </row>
    <row r="870" spans="1:9" ht="15" hidden="1">
      <c r="A870" s="8"/>
      <c r="C870" s="4" t="s">
        <v>1441</v>
      </c>
      <c r="F870" s="4"/>
      <c r="G870" s="4"/>
      <c r="H870" s="4"/>
      <c r="I870" s="4"/>
    </row>
    <row r="871" spans="1:9" ht="15" hidden="1">
      <c r="A871" s="8"/>
      <c r="C871" s="4" t="s">
        <v>1442</v>
      </c>
      <c r="F871" s="4"/>
      <c r="G871" s="4"/>
      <c r="H871" s="4"/>
      <c r="I871" s="4"/>
    </row>
    <row r="872" spans="1:9" ht="15" hidden="1">
      <c r="A872" s="8"/>
      <c r="C872" s="4" t="s">
        <v>1443</v>
      </c>
      <c r="F872" s="4"/>
      <c r="G872" s="4"/>
      <c r="H872" s="4"/>
      <c r="I872" s="4"/>
    </row>
    <row r="873" spans="1:9" ht="15" hidden="1">
      <c r="A873" s="8"/>
      <c r="C873" s="4" t="s">
        <v>1444</v>
      </c>
      <c r="F873" s="4"/>
      <c r="G873" s="4"/>
      <c r="H873" s="4"/>
      <c r="I873" s="4"/>
    </row>
    <row r="874" spans="1:9" ht="15" hidden="1">
      <c r="A874" s="8"/>
      <c r="C874" s="4" t="s">
        <v>1445</v>
      </c>
      <c r="F874" s="4"/>
      <c r="G874" s="4"/>
      <c r="H874" s="4"/>
      <c r="I874" s="4"/>
    </row>
    <row r="875" spans="1:9" ht="15" hidden="1">
      <c r="A875" s="8"/>
      <c r="C875" s="4" t="s">
        <v>1446</v>
      </c>
      <c r="F875" s="4"/>
      <c r="G875" s="4"/>
      <c r="H875" s="4"/>
      <c r="I875" s="4"/>
    </row>
    <row r="876" spans="1:9" ht="15" hidden="1">
      <c r="A876" s="8"/>
      <c r="C876" s="4" t="s">
        <v>1447</v>
      </c>
      <c r="F876" s="4"/>
      <c r="G876" s="4"/>
      <c r="H876" s="4"/>
      <c r="I876" s="4"/>
    </row>
    <row r="877" spans="1:9" ht="15" hidden="1">
      <c r="A877" s="8"/>
      <c r="C877" s="4" t="s">
        <v>1448</v>
      </c>
      <c r="F877" s="4"/>
      <c r="G877" s="4"/>
      <c r="H877" s="4"/>
      <c r="I877" s="4"/>
    </row>
    <row r="878" spans="1:9" ht="15" hidden="1">
      <c r="A878" s="8"/>
      <c r="C878" s="4" t="s">
        <v>248</v>
      </c>
      <c r="F878" s="4"/>
      <c r="G878" s="4"/>
      <c r="H878" s="4"/>
      <c r="I878" s="4"/>
    </row>
    <row r="879" spans="1:9" ht="15" hidden="1">
      <c r="A879" s="8"/>
      <c r="C879" s="4" t="s">
        <v>249</v>
      </c>
      <c r="F879" s="4"/>
      <c r="G879" s="4"/>
      <c r="H879" s="4"/>
      <c r="I879" s="4"/>
    </row>
    <row r="880" spans="1:9" ht="15" hidden="1">
      <c r="A880" s="8"/>
      <c r="C880" s="4" t="s">
        <v>250</v>
      </c>
      <c r="F880" s="4"/>
      <c r="G880" s="4"/>
      <c r="H880" s="4"/>
      <c r="I880" s="4"/>
    </row>
    <row r="881" spans="1:9" ht="15" hidden="1">
      <c r="A881" s="8"/>
      <c r="C881" s="4" t="s">
        <v>251</v>
      </c>
      <c r="F881" s="4"/>
      <c r="G881" s="4"/>
      <c r="H881" s="4"/>
      <c r="I881" s="4"/>
    </row>
    <row r="882" spans="1:9" ht="15" hidden="1">
      <c r="A882" s="8"/>
      <c r="C882" s="4" t="s">
        <v>1449</v>
      </c>
      <c r="F882" s="4"/>
      <c r="G882" s="4"/>
      <c r="H882" s="4"/>
      <c r="I882" s="4"/>
    </row>
    <row r="883" spans="1:9" ht="15" hidden="1">
      <c r="A883" s="8"/>
      <c r="C883" s="4" t="s">
        <v>253</v>
      </c>
      <c r="F883" s="4"/>
      <c r="G883" s="4"/>
      <c r="H883" s="4"/>
      <c r="I883" s="4"/>
    </row>
    <row r="884" spans="1:9" ht="15" hidden="1">
      <c r="A884" s="8"/>
      <c r="C884" s="4" t="s">
        <v>1450</v>
      </c>
    </row>
    <row r="885" spans="1:9" ht="15" hidden="1">
      <c r="A885" s="8"/>
      <c r="C885" s="4" t="s">
        <v>1451</v>
      </c>
    </row>
    <row r="886" spans="1:9" ht="15" hidden="1">
      <c r="A886" s="8"/>
      <c r="C886" s="4" t="s">
        <v>1452</v>
      </c>
    </row>
    <row r="887" spans="1:9" ht="15" hidden="1">
      <c r="A887" s="8"/>
      <c r="C887" s="4" t="s">
        <v>1453</v>
      </c>
    </row>
    <row r="888" spans="1:9" ht="15" hidden="1">
      <c r="A888" s="8"/>
      <c r="C888" s="4" t="s">
        <v>1454</v>
      </c>
    </row>
    <row r="889" spans="1:9" ht="15" hidden="1">
      <c r="A889" s="8"/>
      <c r="C889" s="4" t="s">
        <v>1455</v>
      </c>
    </row>
    <row r="890" spans="1:9" ht="15" hidden="1">
      <c r="A890" s="8"/>
      <c r="C890" s="4" t="s">
        <v>1456</v>
      </c>
    </row>
    <row r="891" spans="1:9" ht="15" hidden="1">
      <c r="A891" s="8"/>
      <c r="C891" s="4" t="s">
        <v>1457</v>
      </c>
    </row>
    <row r="892" spans="1:9" ht="15" hidden="1">
      <c r="A892" s="8"/>
      <c r="C892" s="4" t="s">
        <v>1458</v>
      </c>
    </row>
    <row r="893" spans="1:9" ht="15" hidden="1">
      <c r="A893" s="8"/>
      <c r="C893" s="4" t="s">
        <v>1459</v>
      </c>
    </row>
    <row r="894" spans="1:9" ht="15" hidden="1">
      <c r="A894" s="8"/>
      <c r="C894" s="4" t="s">
        <v>1460</v>
      </c>
    </row>
    <row r="895" spans="1:9" ht="15" hidden="1">
      <c r="A895" s="8"/>
      <c r="C895" s="4" t="s">
        <v>1461</v>
      </c>
    </row>
    <row r="896" spans="1:9" ht="15" hidden="1">
      <c r="A896" s="8"/>
      <c r="C896" s="4" t="s">
        <v>1462</v>
      </c>
    </row>
    <row r="897" spans="1:3" ht="15" hidden="1">
      <c r="A897" s="8"/>
      <c r="C897" s="4" t="s">
        <v>1463</v>
      </c>
    </row>
    <row r="898" spans="1:3" ht="15" hidden="1">
      <c r="A898" s="8"/>
      <c r="C898" s="4" t="s">
        <v>1464</v>
      </c>
    </row>
    <row r="899" spans="1:3" ht="15" hidden="1">
      <c r="A899" s="8"/>
      <c r="C899" s="4" t="s">
        <v>1465</v>
      </c>
    </row>
    <row r="900" spans="1:3" ht="15" hidden="1">
      <c r="A900" s="8"/>
      <c r="C900" s="4" t="s">
        <v>1466</v>
      </c>
    </row>
    <row r="901" spans="1:3" ht="15" hidden="1">
      <c r="A901" s="8"/>
      <c r="C901" s="4" t="s">
        <v>1467</v>
      </c>
    </row>
    <row r="902" spans="1:3" ht="15" hidden="1">
      <c r="A902" s="8"/>
      <c r="C902" s="4" t="s">
        <v>1468</v>
      </c>
    </row>
    <row r="903" spans="1:3" ht="15" hidden="1">
      <c r="A903" s="8"/>
      <c r="C903" s="4" t="s">
        <v>1469</v>
      </c>
    </row>
    <row r="904" spans="1:3" ht="15" hidden="1">
      <c r="A904" s="8"/>
      <c r="C904" s="4" t="s">
        <v>1470</v>
      </c>
    </row>
    <row r="905" spans="1:3" ht="15" hidden="1">
      <c r="A905" s="8"/>
      <c r="C905" s="4" t="s">
        <v>1471</v>
      </c>
    </row>
    <row r="906" spans="1:3" ht="15" hidden="1">
      <c r="A906" s="8"/>
      <c r="C906" s="4" t="s">
        <v>1472</v>
      </c>
    </row>
    <row r="907" spans="1:3" ht="15" hidden="1">
      <c r="A907" s="8"/>
      <c r="C907" s="4" t="s">
        <v>1473</v>
      </c>
    </row>
    <row r="908" spans="1:3" ht="15" hidden="1">
      <c r="A908" s="8"/>
      <c r="C908" s="4" t="s">
        <v>1474</v>
      </c>
    </row>
    <row r="909" spans="1:3" ht="15" hidden="1">
      <c r="A909" s="8"/>
      <c r="C909" s="4" t="s">
        <v>1475</v>
      </c>
    </row>
    <row r="910" spans="1:3" ht="15" hidden="1">
      <c r="A910" s="8"/>
      <c r="C910" s="4" t="s">
        <v>1476</v>
      </c>
    </row>
    <row r="911" spans="1:3" ht="15" hidden="1">
      <c r="A911" s="8"/>
      <c r="C911" s="4" t="s">
        <v>1477</v>
      </c>
    </row>
    <row r="912" spans="1:3" ht="15" hidden="1">
      <c r="A912" s="8"/>
      <c r="C912" s="4" t="s">
        <v>1478</v>
      </c>
    </row>
    <row r="913" spans="1:3" ht="15" hidden="1">
      <c r="A913" s="8"/>
      <c r="C913" s="4" t="s">
        <v>1479</v>
      </c>
    </row>
    <row r="914" spans="1:3" ht="15" hidden="1">
      <c r="A914" s="8"/>
      <c r="C914" s="4" t="s">
        <v>1480</v>
      </c>
    </row>
    <row r="915" spans="1:3" ht="15" hidden="1">
      <c r="A915" s="8"/>
      <c r="C915" s="4" t="s">
        <v>1481</v>
      </c>
    </row>
    <row r="916" spans="1:3" ht="15" hidden="1">
      <c r="A916" s="8"/>
      <c r="C916" s="4" t="s">
        <v>1482</v>
      </c>
    </row>
    <row r="917" spans="1:3" ht="15" hidden="1">
      <c r="A917" s="8"/>
      <c r="C917" s="4" t="s">
        <v>1483</v>
      </c>
    </row>
    <row r="918" spans="1:3" ht="15" hidden="1">
      <c r="A918" s="8"/>
      <c r="C918" s="4" t="s">
        <v>1484</v>
      </c>
    </row>
    <row r="919" spans="1:3" ht="15" hidden="1">
      <c r="A919" s="8"/>
      <c r="C919" s="4" t="s">
        <v>1485</v>
      </c>
    </row>
    <row r="920" spans="1:3" ht="15" hidden="1">
      <c r="A920" s="8"/>
      <c r="C920" s="4" t="s">
        <v>1486</v>
      </c>
    </row>
    <row r="921" spans="1:3" ht="15" hidden="1">
      <c r="A921" s="8"/>
      <c r="C921" s="4" t="s">
        <v>1487</v>
      </c>
    </row>
    <row r="922" spans="1:3" ht="15" hidden="1">
      <c r="A922" s="8"/>
      <c r="C922" s="4" t="s">
        <v>1488</v>
      </c>
    </row>
    <row r="923" spans="1:3" ht="15" hidden="1">
      <c r="A923" s="8"/>
      <c r="C923" s="4" t="s">
        <v>1489</v>
      </c>
    </row>
    <row r="924" spans="1:3" ht="15" hidden="1">
      <c r="A924" s="8"/>
      <c r="C924" s="4" t="s">
        <v>1490</v>
      </c>
    </row>
    <row r="925" spans="1:3" ht="15" hidden="1">
      <c r="A925" s="8"/>
      <c r="C925" s="4" t="s">
        <v>1491</v>
      </c>
    </row>
    <row r="926" spans="1:3" ht="15" hidden="1">
      <c r="A926" s="8"/>
      <c r="C926" s="4" t="s">
        <v>1492</v>
      </c>
    </row>
    <row r="927" spans="1:3" ht="15" hidden="1">
      <c r="A927" s="8"/>
      <c r="C927" s="4" t="s">
        <v>1493</v>
      </c>
    </row>
    <row r="928" spans="1:3" ht="15" hidden="1">
      <c r="A928" s="8"/>
      <c r="C928" s="4" t="s">
        <v>1494</v>
      </c>
    </row>
    <row r="929" spans="1:3" ht="15" hidden="1">
      <c r="A929" s="8"/>
      <c r="C929" s="4" t="s">
        <v>1495</v>
      </c>
    </row>
    <row r="930" spans="1:3" ht="15" hidden="1">
      <c r="A930" s="8"/>
      <c r="C930" s="4" t="s">
        <v>1496</v>
      </c>
    </row>
    <row r="931" spans="1:3" ht="15" hidden="1">
      <c r="A931" s="8"/>
      <c r="C931" s="4" t="s">
        <v>1497</v>
      </c>
    </row>
    <row r="932" spans="1:3" ht="15" hidden="1">
      <c r="A932" s="8"/>
      <c r="C932" s="4" t="s">
        <v>1498</v>
      </c>
    </row>
    <row r="933" spans="1:3" ht="15" hidden="1">
      <c r="A933" s="8"/>
      <c r="C933" s="4" t="s">
        <v>1499</v>
      </c>
    </row>
    <row r="934" spans="1:3" ht="15" hidden="1">
      <c r="A934" s="8"/>
      <c r="C934" s="4" t="s">
        <v>1500</v>
      </c>
    </row>
    <row r="935" spans="1:3" ht="15" hidden="1">
      <c r="A935" s="8"/>
      <c r="C935" s="4" t="s">
        <v>1501</v>
      </c>
    </row>
    <row r="936" spans="1:3" ht="15" hidden="1">
      <c r="A936" s="8"/>
      <c r="C936" s="4" t="s">
        <v>1502</v>
      </c>
    </row>
    <row r="937" spans="1:3" ht="15" hidden="1">
      <c r="A937" s="8"/>
      <c r="C937" s="4" t="s">
        <v>1503</v>
      </c>
    </row>
    <row r="938" spans="1:3" ht="15" hidden="1">
      <c r="A938" s="8"/>
      <c r="C938" s="4" t="s">
        <v>1504</v>
      </c>
    </row>
    <row r="939" spans="1:3" ht="15" hidden="1">
      <c r="A939" s="8"/>
      <c r="C939" s="4" t="s">
        <v>1505</v>
      </c>
    </row>
    <row r="940" spans="1:3" ht="15" hidden="1">
      <c r="A940" s="8"/>
      <c r="C940" s="4" t="s">
        <v>1506</v>
      </c>
    </row>
    <row r="941" spans="1:3" ht="15" hidden="1">
      <c r="A941" s="8"/>
      <c r="C941" s="4" t="s">
        <v>1507</v>
      </c>
    </row>
    <row r="942" spans="1:3" ht="15" hidden="1">
      <c r="A942" s="8"/>
      <c r="C942" s="4" t="s">
        <v>1508</v>
      </c>
    </row>
    <row r="943" spans="1:3" ht="15" hidden="1">
      <c r="A943" s="8"/>
      <c r="C943" s="4" t="s">
        <v>1509</v>
      </c>
    </row>
    <row r="944" spans="1:3" ht="15" hidden="1">
      <c r="A944" s="8"/>
      <c r="C944" s="4" t="s">
        <v>1510</v>
      </c>
    </row>
    <row r="945" spans="1:3" ht="15" hidden="1">
      <c r="A945" s="8"/>
      <c r="C945" s="4" t="s">
        <v>1511</v>
      </c>
    </row>
    <row r="946" spans="1:3" ht="15" hidden="1">
      <c r="A946" s="8"/>
      <c r="C946" s="4" t="s">
        <v>1512</v>
      </c>
    </row>
    <row r="947" spans="1:3" ht="15" hidden="1">
      <c r="A947" s="8"/>
      <c r="C947" s="4" t="s">
        <v>1513</v>
      </c>
    </row>
    <row r="948" spans="1:3" ht="15" hidden="1">
      <c r="A948" s="8"/>
      <c r="C948" s="4" t="s">
        <v>1514</v>
      </c>
    </row>
    <row r="949" spans="1:3" ht="15" hidden="1">
      <c r="A949" s="8"/>
      <c r="C949" s="4" t="s">
        <v>1515</v>
      </c>
    </row>
    <row r="950" spans="1:3" ht="15" hidden="1">
      <c r="A950" s="8"/>
      <c r="C950" s="4" t="s">
        <v>1516</v>
      </c>
    </row>
    <row r="951" spans="1:3" ht="15" hidden="1">
      <c r="A951" s="8"/>
      <c r="C951" s="4" t="s">
        <v>1517</v>
      </c>
    </row>
    <row r="952" spans="1:3" ht="15" hidden="1">
      <c r="A952" s="8"/>
      <c r="C952" s="4" t="s">
        <v>1518</v>
      </c>
    </row>
    <row r="953" spans="1:3" ht="15" hidden="1">
      <c r="A953" s="8"/>
      <c r="C953" s="4" t="s">
        <v>1519</v>
      </c>
    </row>
    <row r="954" spans="1:3" ht="15" hidden="1">
      <c r="A954" s="8"/>
      <c r="C954" s="4" t="s">
        <v>1520</v>
      </c>
    </row>
    <row r="955" spans="1:3" ht="15" hidden="1">
      <c r="A955" s="8"/>
      <c r="C955" s="4" t="s">
        <v>1521</v>
      </c>
    </row>
    <row r="956" spans="1:3" ht="15" hidden="1">
      <c r="A956" s="8"/>
      <c r="C956" s="4" t="s">
        <v>1522</v>
      </c>
    </row>
    <row r="957" spans="1:3" ht="15" hidden="1">
      <c r="A957" s="8"/>
      <c r="C957" s="4" t="s">
        <v>1523</v>
      </c>
    </row>
    <row r="958" spans="1:3" ht="15" hidden="1">
      <c r="A958" s="8"/>
      <c r="C958" s="4" t="s">
        <v>1524</v>
      </c>
    </row>
    <row r="959" spans="1:3" ht="15" hidden="1">
      <c r="A959" s="8"/>
      <c r="C959" s="4" t="s">
        <v>1525</v>
      </c>
    </row>
    <row r="960" spans="1:3" ht="15" hidden="1">
      <c r="A960" s="8"/>
      <c r="C960" s="4" t="s">
        <v>1526</v>
      </c>
    </row>
    <row r="961" spans="1:3" ht="15" hidden="1">
      <c r="A961" s="8"/>
      <c r="C961" s="4" t="s">
        <v>1527</v>
      </c>
    </row>
    <row r="962" spans="1:3" ht="15" hidden="1">
      <c r="A962" s="8"/>
      <c r="C962" s="4" t="s">
        <v>1528</v>
      </c>
    </row>
    <row r="963" spans="1:3" ht="15" hidden="1">
      <c r="A963" s="8"/>
      <c r="C963" s="4" t="s">
        <v>1529</v>
      </c>
    </row>
    <row r="964" spans="1:3" ht="15" hidden="1">
      <c r="A964" s="8"/>
      <c r="C964" s="4" t="s">
        <v>1530</v>
      </c>
    </row>
    <row r="965" spans="1:3" ht="15" hidden="1">
      <c r="A965" s="8"/>
      <c r="C965" s="4" t="s">
        <v>1531</v>
      </c>
    </row>
    <row r="966" spans="1:3" ht="15" hidden="1">
      <c r="A966" s="8"/>
      <c r="C966" s="4" t="s">
        <v>1532</v>
      </c>
    </row>
    <row r="967" spans="1:3" ht="15" hidden="1">
      <c r="A967" s="8"/>
      <c r="C967" s="4" t="s">
        <v>1533</v>
      </c>
    </row>
    <row r="968" spans="1:3" ht="15" hidden="1">
      <c r="A968" s="8"/>
      <c r="C968" s="4" t="s">
        <v>1534</v>
      </c>
    </row>
    <row r="969" spans="1:3" ht="15" hidden="1">
      <c r="A969" s="8"/>
      <c r="C969" s="4" t="s">
        <v>1535</v>
      </c>
    </row>
    <row r="970" spans="1:3" ht="15" hidden="1">
      <c r="A970" s="8"/>
      <c r="C970" s="4" t="s">
        <v>1536</v>
      </c>
    </row>
    <row r="971" spans="1:3" ht="15" hidden="1">
      <c r="A971" s="8"/>
      <c r="C971" s="4" t="s">
        <v>1537</v>
      </c>
    </row>
    <row r="972" spans="1:3" ht="15" hidden="1">
      <c r="A972" s="8"/>
      <c r="C972" s="4" t="s">
        <v>1538</v>
      </c>
    </row>
    <row r="973" spans="1:3" ht="15" hidden="1">
      <c r="A973" s="8"/>
      <c r="C973" s="4" t="s">
        <v>1539</v>
      </c>
    </row>
    <row r="974" spans="1:3" ht="15" hidden="1">
      <c r="A974" s="8"/>
      <c r="C974" s="4" t="s">
        <v>1540</v>
      </c>
    </row>
    <row r="975" spans="1:3" ht="15" hidden="1">
      <c r="A975" s="8"/>
      <c r="C975" s="4" t="s">
        <v>1541</v>
      </c>
    </row>
    <row r="976" spans="1:3" ht="12.75"/>
    <row r="977" ht="12.75"/>
    <row r="978" ht="12.75"/>
    <row r="979" ht="12.75"/>
    <row r="980" ht="12.75"/>
    <row r="981" ht="12.75"/>
    <row r="982" ht="12.75"/>
    <row r="983" ht="12.75"/>
    <row r="984" ht="12.75"/>
    <row r="985" ht="12.75"/>
    <row r="986" ht="12.75"/>
    <row r="987" ht="12.75"/>
    <row r="988" ht="12.75"/>
    <row r="989" ht="12.75"/>
    <row r="990" ht="12.75"/>
    <row r="991" ht="12.75"/>
    <row r="992" ht="12.75"/>
    <row r="993" ht="12.75"/>
    <row r="994" ht="12.75"/>
    <row r="995" ht="12.75"/>
    <row r="996" ht="12.75"/>
    <row r="997" ht="12.75"/>
    <row r="998" ht="12.75"/>
    <row r="999" ht="12.75"/>
    <row r="1000" ht="12.75"/>
    <row r="1001" ht="12.75"/>
    <row r="1002" ht="12.75"/>
    <row r="1003" ht="12.75"/>
    <row r="1004" ht="12.75"/>
    <row r="1005" ht="12.75"/>
    <row r="1006" ht="12.75"/>
    <row r="1007" ht="12.75"/>
    <row r="1008" ht="12.75"/>
    <row r="1009" ht="12.75"/>
    <row r="1010" ht="12.75"/>
    <row r="1011" ht="12.75"/>
    <row r="1012" ht="12.75"/>
    <row r="1013" ht="12.75"/>
    <row r="1014" ht="12.75"/>
    <row r="1015" ht="12.75"/>
    <row r="1016" ht="12.75"/>
    <row r="1017" ht="12.75"/>
    <row r="1018" ht="12.75"/>
    <row r="1019" ht="12.75"/>
    <row r="1020" ht="12.75"/>
    <row r="1021" ht="12.75"/>
    <row r="1022" ht="12.75"/>
    <row r="1023" ht="12.75"/>
    <row r="1024" ht="12.75"/>
    <row r="1025" ht="12.75"/>
    <row r="1026" ht="12.75"/>
    <row r="1027" ht="12.75"/>
    <row r="1028" ht="12.75"/>
    <row r="1029" ht="12.75"/>
    <row r="1030" ht="12.75"/>
    <row r="1031" ht="12.75"/>
    <row r="1032" ht="12.75"/>
    <row r="1033" ht="12.75"/>
    <row r="1034" ht="12.75"/>
    <row r="1035" ht="12.75"/>
    <row r="1036" ht="12.75"/>
    <row r="1037" ht="12.75"/>
    <row r="1038" ht="12.75"/>
    <row r="1039" ht="12.75"/>
    <row r="1040" ht="12.75"/>
    <row r="1041" ht="12.75"/>
    <row r="1042" ht="12.75"/>
    <row r="1043" ht="12.75"/>
    <row r="1044" ht="12.75"/>
    <row r="1045" ht="12.75"/>
    <row r="1046" ht="12.75"/>
    <row r="1047" ht="12.75"/>
    <row r="1048" ht="12.75"/>
    <row r="1049" ht="12.75"/>
    <row r="1050" ht="12.75"/>
    <row r="1051" ht="12.75"/>
    <row r="1052" ht="12.75"/>
    <row r="1053" ht="12.75"/>
    <row r="1054" ht="12.75"/>
    <row r="1055" ht="12.75"/>
    <row r="1056" ht="12.75"/>
    <row r="1057" ht="12.75"/>
    <row r="1058" ht="12.75"/>
    <row r="1059" ht="12.75"/>
    <row r="1060" ht="12.75"/>
    <row r="1061" ht="12.75"/>
    <row r="1062" ht="12.75"/>
    <row r="1063" ht="12.75"/>
    <row r="1064" ht="12.75"/>
    <row r="1065" ht="12.75"/>
    <row r="1066" ht="12.75"/>
    <row r="1067" ht="12.75"/>
    <row r="1068" ht="12.75"/>
    <row r="1069" ht="12.75"/>
    <row r="1070" ht="12.75"/>
    <row r="1071" ht="12.75"/>
    <row r="1072" ht="12.75"/>
    <row r="1073" ht="12.75"/>
    <row r="1074" ht="12.75"/>
    <row r="1075" ht="12.75"/>
    <row r="1076" ht="12.75"/>
    <row r="1077" ht="12.75"/>
    <row r="1078" ht="12.75"/>
    <row r="1079" ht="12.75"/>
    <row r="1080" ht="12.75"/>
    <row r="1081" ht="12.75"/>
    <row r="1082" ht="12.75"/>
    <row r="1083" ht="12.75"/>
    <row r="1084" ht="12.75"/>
    <row r="1085" ht="12.75"/>
    <row r="1086" ht="12.75"/>
    <row r="1087" ht="12.75"/>
    <row r="1088" ht="12.75"/>
    <row r="1089" ht="12.75"/>
    <row r="1090" ht="12.75"/>
    <row r="1091" ht="12.75"/>
    <row r="1092" ht="12.75"/>
    <row r="1093" ht="12.75"/>
    <row r="1094" ht="12.75"/>
    <row r="1095" ht="12.75"/>
    <row r="1096" ht="12.75"/>
    <row r="1097" ht="12.75"/>
    <row r="1098" ht="12.75"/>
    <row r="1099" ht="12.75"/>
    <row r="1100" ht="12.75"/>
    <row r="1101" ht="12.75"/>
    <row r="1102" ht="12.75"/>
    <row r="1103" ht="12.75"/>
    <row r="1104" ht="12.75"/>
    <row r="1105" ht="12.75"/>
    <row r="1106" ht="12.75"/>
    <row r="1107" ht="12.75"/>
    <row r="1108" ht="12.75"/>
    <row r="1109" ht="12.75"/>
    <row r="1110" ht="12.75"/>
    <row r="1111" ht="12.75"/>
    <row r="1112" ht="12.75"/>
    <row r="1113" ht="12.75"/>
    <row r="1114" ht="12.75"/>
    <row r="1115" ht="12.75"/>
    <row r="1116" ht="12.75"/>
    <row r="1117" ht="12.75"/>
    <row r="1118" ht="12.75"/>
    <row r="1119" ht="12.75"/>
    <row r="1120" ht="12.75"/>
    <row r="1121" ht="12.75"/>
    <row r="1122" ht="12.75"/>
    <row r="1123" ht="12.75"/>
    <row r="1124" ht="12.75"/>
    <row r="1125" ht="12.75"/>
    <row r="1126" ht="12.75"/>
    <row r="1127" ht="12.75"/>
    <row r="1128" ht="12.75"/>
    <row r="1129" ht="12.75"/>
    <row r="1130" ht="12.75"/>
    <row r="1131" ht="12.75"/>
    <row r="1132" ht="12.75"/>
    <row r="1133" ht="12.75"/>
    <row r="1134" ht="12.75"/>
    <row r="1135" ht="12.75"/>
    <row r="1136" ht="12.75"/>
    <row r="1137" ht="12.75"/>
    <row r="1138" ht="12.75"/>
    <row r="1139" ht="12.75"/>
    <row r="1140" ht="12.75"/>
    <row r="1141" ht="12.75"/>
    <row r="1142" ht="12.75"/>
    <row r="1143" ht="12.75"/>
    <row r="1144" ht="12.75"/>
    <row r="1145" ht="12.75"/>
    <row r="1146" ht="12.75"/>
    <row r="1147" ht="12.75"/>
    <row r="1148" ht="12.75"/>
    <row r="1149" ht="12.75"/>
    <row r="1150" ht="12.75"/>
    <row r="1151" ht="12.75"/>
    <row r="1152" ht="12.75"/>
    <row r="1153" ht="12.75"/>
    <row r="1154" ht="12.75"/>
    <row r="1155" ht="12.75"/>
    <row r="1156" ht="12.75"/>
    <row r="1157" ht="12.75"/>
    <row r="1158" ht="12.75"/>
    <row r="1159" ht="12.75"/>
    <row r="1160" ht="12.75"/>
    <row r="1161" ht="12.75"/>
    <row r="1162" ht="12.75"/>
    <row r="1163" ht="12.75"/>
    <row r="1164" ht="12.75"/>
    <row r="1165" ht="12.75"/>
    <row r="1166" ht="12.75"/>
    <row r="1167" ht="12.75"/>
    <row r="1168" ht="12.75"/>
    <row r="1169" ht="12.75"/>
    <row r="1170" ht="12.75"/>
    <row r="1171" ht="12.75"/>
    <row r="1172" ht="12.75"/>
    <row r="1173" ht="12.75"/>
    <row r="1174" ht="12.75"/>
    <row r="1175" ht="12.75"/>
    <row r="1176" ht="12.75"/>
    <row r="1177" ht="12.75"/>
    <row r="1178" ht="12.75"/>
    <row r="1179" ht="12.75"/>
    <row r="1180" ht="12.75"/>
    <row r="1181" ht="12.75"/>
    <row r="1182" ht="12.75"/>
    <row r="1183" ht="12.75"/>
    <row r="1184" ht="12.75"/>
    <row r="1185" ht="12.75"/>
    <row r="1186" ht="12.75"/>
    <row r="1187" ht="12.75"/>
    <row r="1188" ht="12.75"/>
    <row r="1189" ht="12.75"/>
    <row r="1190" ht="12.75"/>
    <row r="1191" ht="12.75"/>
    <row r="1192" ht="12.75"/>
    <row r="1193" ht="12.75"/>
    <row r="1194" ht="12.75"/>
    <row r="1195" ht="12.75"/>
    <row r="1196" ht="12.75"/>
    <row r="1197" ht="12.75"/>
    <row r="1198" ht="12.75"/>
    <row r="1199" ht="12.75"/>
    <row r="1200" ht="12.75"/>
    <row r="1201" ht="12.75"/>
    <row r="1202" ht="12.75"/>
    <row r="1203" ht="12.75"/>
    <row r="1204" ht="12.75"/>
    <row r="1205" ht="12.75"/>
    <row r="1206" ht="12.75"/>
    <row r="1207" ht="12.75"/>
    <row r="1208" ht="12.75"/>
    <row r="1209" ht="12.75"/>
    <row r="1210" ht="12.75"/>
    <row r="1211" ht="12.75"/>
    <row r="1212" ht="12.75"/>
    <row r="1213" ht="12.75"/>
    <row r="1214" ht="12.75"/>
    <row r="1215" ht="12.75"/>
    <row r="1216" ht="12.75"/>
    <row r="1217" ht="12.75"/>
    <row r="1218" ht="12.75"/>
    <row r="1219" ht="12.75"/>
    <row r="1220" ht="12.75"/>
    <row r="1221" ht="12.75"/>
    <row r="1222" ht="12.75"/>
    <row r="1223" ht="12.75"/>
    <row r="1224" ht="12.75"/>
    <row r="1225" ht="12.75"/>
    <row r="1226" ht="12.75"/>
    <row r="1227" ht="12.75"/>
    <row r="1228" ht="12.75"/>
    <row r="1229" ht="12.75"/>
    <row r="1230" ht="12.75"/>
    <row r="1231" ht="12.75"/>
    <row r="1232" ht="12.75"/>
    <row r="1233" ht="12.75"/>
    <row r="1234" ht="12.75"/>
    <row r="1235" ht="12.75"/>
    <row r="1236" ht="12.75"/>
    <row r="1237" ht="12.75"/>
    <row r="1238" ht="12.75"/>
    <row r="1239" ht="12.75"/>
    <row r="1240" ht="12.75"/>
    <row r="1241" ht="12.75"/>
    <row r="1242" ht="12.75"/>
    <row r="1243" ht="12.75"/>
    <row r="1244" ht="12.75"/>
    <row r="1245" ht="12.75"/>
    <row r="1246" ht="12.75"/>
    <row r="1247" ht="12.75"/>
    <row r="1248" ht="12.75"/>
    <row r="1249" ht="12.75"/>
    <row r="1250" ht="12.75"/>
    <row r="1251" ht="12.75"/>
    <row r="1252" ht="12.75"/>
    <row r="1253" ht="12.75"/>
    <row r="1254" ht="12.75"/>
    <row r="1255" ht="12.75"/>
    <row r="1256" ht="12.75"/>
    <row r="1257" ht="12.75"/>
    <row r="1258" ht="12.75"/>
    <row r="1259" ht="12.75"/>
    <row r="1260" ht="12.75"/>
    <row r="1261" ht="12.75"/>
    <row r="1262" ht="12.75"/>
    <row r="1263" ht="12.75"/>
    <row r="1264" ht="12.75"/>
    <row r="1265" ht="12.75"/>
    <row r="1266" ht="12.75"/>
    <row r="1267" ht="12.75"/>
    <row r="1268" ht="12.75"/>
    <row r="1269" ht="12.75"/>
    <row r="1270" ht="12.75"/>
    <row r="1271" ht="12.75"/>
    <row r="1272" ht="12.75"/>
    <row r="1273" ht="12.75"/>
    <row r="1274" ht="12.75"/>
    <row r="1275" ht="12.75"/>
    <row r="1276" ht="12.75"/>
    <row r="1277" ht="12.75"/>
    <row r="1278" ht="12.75"/>
    <row r="1279" ht="12.75"/>
    <row r="1280" ht="12.75"/>
    <row r="1281" ht="12.75"/>
    <row r="1282" ht="12.75"/>
    <row r="1283" ht="12.75"/>
    <row r="1284" ht="12.75"/>
    <row r="1285" ht="12.75"/>
    <row r="1286" ht="12.75"/>
    <row r="1287" ht="12.75"/>
    <row r="1288" ht="12.75"/>
    <row r="1289" ht="12.75"/>
    <row r="1290" ht="12.75"/>
    <row r="1291" ht="12.75"/>
    <row r="1292" ht="12.75"/>
    <row r="1293" ht="12.75"/>
    <row r="1294" ht="12.75"/>
    <row r="1295" ht="12.75"/>
    <row r="1296" ht="12.75"/>
    <row r="1297" ht="12.75"/>
    <row r="1298" ht="12.75"/>
    <row r="1299" ht="12.75"/>
    <row r="1300" ht="12.75"/>
    <row r="1301" ht="12.75"/>
    <row r="1302" ht="12.75"/>
    <row r="1303" ht="12.75"/>
    <row r="1304" ht="12.75"/>
    <row r="1305" ht="12.75"/>
    <row r="1306" ht="12.75"/>
    <row r="1307" ht="12.75"/>
    <row r="1308" ht="12.75"/>
    <row r="1309" ht="12.75"/>
    <row r="1310" ht="12.75"/>
    <row r="1311" ht="12.75"/>
    <row r="1312" ht="12.75"/>
    <row r="1313" ht="12.75"/>
    <row r="1314" ht="12.75"/>
    <row r="1315" ht="12.75"/>
    <row r="1316" ht="12.75"/>
    <row r="1317" ht="12.75"/>
    <row r="1318" ht="12.75"/>
    <row r="1319" ht="12.75"/>
    <row r="1320" ht="12.75"/>
    <row r="1321" ht="12.75"/>
    <row r="1322" ht="12.75"/>
    <row r="1323" ht="12.75"/>
    <row r="1324" ht="12.75"/>
    <row r="1325" ht="12.75"/>
    <row r="1326" ht="12.75"/>
    <row r="1327" ht="12.75"/>
    <row r="1328" ht="12.75"/>
    <row r="1329" ht="12.75"/>
    <row r="1330" ht="12.75"/>
    <row r="1331" ht="12.75"/>
    <row r="1332" ht="12.75"/>
    <row r="1333" ht="12.75"/>
    <row r="1334" ht="12.75"/>
    <row r="1335" ht="12.75"/>
    <row r="1336" ht="12.75"/>
    <row r="1337" ht="12.75"/>
    <row r="1338" ht="12.75"/>
    <row r="1339" ht="12.75"/>
    <row r="1340" ht="12.75"/>
    <row r="1341" ht="12.75"/>
    <row r="1342" ht="12.75"/>
    <row r="1343" ht="12.75"/>
    <row r="1344" ht="12.75"/>
    <row r="1345" ht="12.75"/>
    <row r="1346" ht="12.75"/>
    <row r="1347" ht="12.75"/>
    <row r="1348" ht="12.75"/>
    <row r="1349" ht="12.75"/>
    <row r="1350" ht="12.75"/>
    <row r="1351" ht="12.75"/>
    <row r="1352" ht="12.75"/>
    <row r="1353" ht="12.75"/>
    <row r="1354" ht="12.75"/>
    <row r="1355" ht="12.75"/>
    <row r="1356" ht="12.75"/>
    <row r="1357" ht="12.75"/>
    <row r="1358" ht="12.75"/>
    <row r="1359" ht="12.75"/>
    <row r="1360" ht="12.75"/>
    <row r="1361" ht="12.75"/>
    <row r="1362" ht="12.75"/>
    <row r="1363" ht="12.75"/>
    <row r="1364" ht="12.75"/>
    <row r="1365" ht="12.75"/>
    <row r="1366" ht="12.75"/>
    <row r="1367" ht="12.75"/>
    <row r="1368" ht="12.75"/>
    <row r="1369" ht="12.75"/>
    <row r="1370" ht="12.75"/>
    <row r="1371" ht="12.75"/>
    <row r="1372" ht="12.75"/>
    <row r="1373" ht="12.75"/>
    <row r="1374" ht="12.75"/>
    <row r="1375" ht="12.75"/>
    <row r="1376" ht="12.75"/>
    <row r="1377" ht="12.75"/>
    <row r="1378" ht="12.75"/>
    <row r="1379" ht="12.75"/>
    <row r="1380" ht="12.75"/>
    <row r="1381" ht="12.75"/>
    <row r="1382" ht="12.75"/>
    <row r="1383" ht="12.75"/>
    <row r="1384" ht="12.75"/>
    <row r="1385" ht="12.75"/>
    <row r="1386" ht="12.75"/>
    <row r="1387" ht="12.75"/>
    <row r="1388" ht="12.75"/>
    <row r="1389" ht="12.75"/>
    <row r="1390" ht="12.75"/>
    <row r="1391" ht="12.75"/>
    <row r="1392" ht="12.75"/>
    <row r="1487" ht="0" hidden="1" customHeight="1"/>
    <row r="1488" ht="0" hidden="1" customHeight="1"/>
    <row r="1489" ht="0" hidden="1" customHeight="1"/>
    <row r="1490" ht="0" hidden="1" customHeight="1"/>
    <row r="1491" ht="0" hidden="1" customHeight="1"/>
    <row r="1492" ht="0" hidden="1" customHeight="1"/>
    <row r="1493" ht="0" hidden="1" customHeight="1"/>
    <row r="1494" ht="0" hidden="1" customHeight="1"/>
    <row r="1495" ht="0" hidden="1" customHeight="1"/>
    <row r="1496" ht="0" hidden="1" customHeight="1"/>
    <row r="1497" ht="0" hidden="1" customHeight="1"/>
    <row r="1498" ht="0" hidden="1" customHeight="1"/>
    <row r="1499" ht="0" hidden="1" customHeight="1"/>
    <row r="1500" ht="0" hidden="1" customHeight="1"/>
    <row r="1501" ht="0" hidden="1" customHeight="1"/>
    <row r="1502" ht="0" hidden="1" customHeight="1"/>
    <row r="1503" ht="0" hidden="1" customHeight="1"/>
    <row r="1504" ht="0" hidden="1" customHeight="1"/>
    <row r="1505" ht="0" hidden="1" customHeight="1"/>
    <row r="1506" ht="0" hidden="1" customHeight="1"/>
    <row r="1507" ht="0" hidden="1" customHeight="1"/>
    <row r="1508" ht="0" hidden="1" customHeight="1"/>
    <row r="1509" ht="0" hidden="1" customHeight="1"/>
    <row r="1510" ht="0" hidden="1" customHeight="1"/>
    <row r="1511" ht="0" hidden="1" customHeight="1"/>
    <row r="1512" ht="0" hidden="1" customHeight="1"/>
    <row r="1513" ht="0" hidden="1" customHeight="1"/>
    <row r="1514" ht="0" hidden="1" customHeight="1"/>
    <row r="1515" ht="0" hidden="1" customHeight="1"/>
    <row r="1516" ht="0" hidden="1" customHeight="1"/>
    <row r="1517" ht="0" hidden="1" customHeight="1"/>
    <row r="1518" ht="0" hidden="1" customHeight="1"/>
    <row r="1519" ht="0" hidden="1" customHeight="1"/>
    <row r="1520" ht="0" hidden="1" customHeight="1"/>
    <row r="1521" ht="0" hidden="1" customHeight="1"/>
    <row r="1522" ht="0" hidden="1" customHeight="1"/>
    <row r="1523" ht="0" hidden="1" customHeight="1"/>
    <row r="1524" ht="0" hidden="1" customHeight="1"/>
    <row r="1525" ht="0" hidden="1" customHeight="1"/>
    <row r="1526" ht="0" hidden="1" customHeight="1"/>
    <row r="1527" ht="0" hidden="1" customHeight="1"/>
    <row r="1528" ht="0" hidden="1" customHeight="1"/>
    <row r="1529" ht="0" hidden="1" customHeight="1"/>
    <row r="1530" ht="0" hidden="1" customHeight="1"/>
    <row r="1531" ht="0" hidden="1" customHeight="1"/>
    <row r="1532" ht="0" hidden="1" customHeight="1"/>
    <row r="1533" ht="0" hidden="1" customHeight="1"/>
    <row r="1534" ht="0" hidden="1" customHeight="1"/>
    <row r="1535" ht="0" hidden="1" customHeight="1"/>
    <row r="1536" ht="0" hidden="1" customHeight="1"/>
    <row r="1537" ht="0" hidden="1" customHeight="1"/>
    <row r="1538" ht="0" hidden="1" customHeight="1"/>
    <row r="1539" ht="0" hidden="1" customHeight="1"/>
    <row r="1540" ht="0" hidden="1" customHeight="1"/>
    <row r="1541" ht="0" hidden="1" customHeight="1"/>
    <row r="1542" ht="0" hidden="1" customHeight="1"/>
    <row r="1543" ht="0" hidden="1" customHeight="1"/>
    <row r="1544" ht="0" hidden="1" customHeight="1"/>
    <row r="1545" ht="0" hidden="1" customHeight="1"/>
    <row r="1546" ht="0" hidden="1" customHeight="1"/>
    <row r="1547" ht="0" hidden="1" customHeight="1"/>
    <row r="1548" ht="0" hidden="1" customHeight="1"/>
    <row r="1549" ht="0" hidden="1" customHeight="1"/>
    <row r="1550" ht="0" hidden="1" customHeight="1"/>
    <row r="1551" ht="0" hidden="1" customHeight="1"/>
    <row r="1552" ht="0" hidden="1" customHeight="1"/>
    <row r="1553" ht="0" hidden="1" customHeight="1"/>
    <row r="1554" ht="0" hidden="1" customHeight="1"/>
    <row r="1555" ht="0" hidden="1" customHeight="1"/>
    <row r="1556" ht="0" hidden="1" customHeight="1"/>
    <row r="1557" ht="0" hidden="1" customHeight="1"/>
    <row r="1558" ht="0" hidden="1" customHeight="1"/>
    <row r="1559" ht="0" hidden="1" customHeight="1"/>
    <row r="1560" ht="0" hidden="1" customHeight="1"/>
    <row r="1561" ht="0" hidden="1" customHeight="1"/>
    <row r="1562" ht="0" hidden="1" customHeight="1"/>
    <row r="1563" ht="0" hidden="1" customHeight="1"/>
    <row r="1564" ht="0" hidden="1" customHeight="1"/>
    <row r="1565" ht="0" hidden="1" customHeight="1"/>
    <row r="1566" ht="0" hidden="1" customHeight="1"/>
    <row r="1567" ht="0" hidden="1" customHeight="1"/>
    <row r="1568" ht="0" hidden="1" customHeight="1"/>
    <row r="1569" ht="0" hidden="1" customHeight="1"/>
    <row r="1570" ht="0" hidden="1" customHeight="1"/>
    <row r="1571" ht="0" hidden="1" customHeight="1"/>
    <row r="1572" ht="0" hidden="1" customHeight="1"/>
    <row r="1573" ht="0" hidden="1" customHeight="1"/>
    <row r="1574" ht="0" hidden="1" customHeight="1"/>
    <row r="1575" ht="0" hidden="1" customHeight="1"/>
    <row r="1576" ht="0" hidden="1" customHeight="1"/>
    <row r="1577" ht="0" hidden="1" customHeight="1"/>
    <row r="1578" ht="0" hidden="1" customHeight="1"/>
    <row r="1579" ht="0" hidden="1" customHeight="1"/>
    <row r="1580" ht="0" hidden="1" customHeight="1"/>
    <row r="1581" ht="0" hidden="1" customHeight="1"/>
    <row r="1582" ht="0" hidden="1" customHeight="1"/>
    <row r="1583" ht="0" hidden="1" customHeight="1"/>
    <row r="1584" ht="0" hidden="1" customHeight="1"/>
    <row r="1585" ht="0" hidden="1" customHeight="1"/>
    <row r="1586" ht="0" hidden="1" customHeight="1"/>
    <row r="1587" ht="0" hidden="1" customHeight="1"/>
    <row r="1588" ht="0" hidden="1" customHeight="1"/>
    <row r="1589" ht="0" hidden="1" customHeight="1"/>
    <row r="1590" ht="0" hidden="1" customHeight="1"/>
    <row r="1591" ht="0" hidden="1" customHeight="1"/>
    <row r="1592" ht="0" hidden="1" customHeight="1"/>
    <row r="1593" ht="0" hidden="1" customHeight="1"/>
    <row r="1594" ht="0" hidden="1" customHeight="1"/>
    <row r="1595" ht="0" hidden="1" customHeight="1"/>
    <row r="1596" ht="0" hidden="1" customHeight="1"/>
    <row r="1597" ht="0" hidden="1" customHeight="1"/>
    <row r="1598" ht="0" hidden="1" customHeight="1"/>
    <row r="1599" ht="0" hidden="1" customHeight="1"/>
    <row r="1600" ht="0" hidden="1" customHeight="1"/>
    <row r="1601" ht="0" hidden="1" customHeight="1"/>
    <row r="1602" ht="0" hidden="1" customHeight="1"/>
    <row r="1603" ht="0" hidden="1" customHeight="1"/>
    <row r="1604" ht="0" hidden="1" customHeight="1"/>
    <row r="1605" ht="0" hidden="1" customHeight="1"/>
    <row r="1606" ht="0" hidden="1" customHeight="1"/>
    <row r="1607" ht="0" hidden="1" customHeight="1"/>
    <row r="1608" ht="0" hidden="1" customHeight="1"/>
    <row r="1609" ht="0" hidden="1" customHeight="1"/>
    <row r="1610" ht="0" hidden="1" customHeight="1"/>
    <row r="1611" ht="0" hidden="1" customHeight="1"/>
    <row r="1612" ht="0" hidden="1" customHeight="1"/>
    <row r="1613" ht="0" hidden="1" customHeight="1"/>
    <row r="1614" ht="0" hidden="1" customHeight="1"/>
    <row r="1615" ht="0" hidden="1" customHeight="1"/>
    <row r="1616" ht="0" hidden="1" customHeight="1"/>
    <row r="1617" ht="0" hidden="1" customHeight="1"/>
    <row r="1618" ht="0" hidden="1" customHeight="1"/>
    <row r="1619" ht="0" hidden="1" customHeight="1"/>
    <row r="1620" ht="0" hidden="1" customHeight="1"/>
    <row r="1621" ht="0" hidden="1" customHeight="1"/>
    <row r="1622" ht="0" hidden="1" customHeight="1"/>
    <row r="1623" ht="0" hidden="1" customHeight="1"/>
    <row r="1624" ht="0" hidden="1" customHeight="1"/>
    <row r="1625" ht="0" hidden="1" customHeight="1"/>
    <row r="1626" ht="0" hidden="1" customHeight="1"/>
    <row r="1627" ht="0" hidden="1" customHeight="1"/>
    <row r="1628" ht="0" hidden="1" customHeight="1"/>
    <row r="1629" ht="0" hidden="1" customHeight="1"/>
    <row r="1630" ht="0" hidden="1" customHeight="1"/>
    <row r="1631" ht="0" hidden="1" customHeight="1"/>
    <row r="1632" ht="0" hidden="1" customHeight="1"/>
    <row r="1633" ht="0" hidden="1" customHeight="1"/>
    <row r="1634" ht="0" hidden="1" customHeight="1"/>
    <row r="1635" ht="0" hidden="1" customHeight="1"/>
    <row r="1636" ht="0" hidden="1" customHeight="1"/>
    <row r="1637" ht="0" hidden="1" customHeight="1"/>
    <row r="1638" ht="0" hidden="1" customHeight="1"/>
    <row r="1639" ht="0" hidden="1" customHeight="1"/>
    <row r="1640" ht="0" hidden="1" customHeight="1"/>
    <row r="1641" ht="0" hidden="1" customHeight="1"/>
    <row r="1642" ht="0" hidden="1" customHeight="1"/>
    <row r="1643" ht="0" hidden="1" customHeight="1"/>
    <row r="1644" ht="0" hidden="1" customHeight="1"/>
    <row r="1645" ht="0" hidden="1" customHeight="1"/>
    <row r="1646" ht="0" hidden="1" customHeight="1"/>
    <row r="1647" ht="0" hidden="1" customHeight="1"/>
    <row r="1648" ht="0" hidden="1" customHeight="1"/>
    <row r="1649" ht="0" hidden="1" customHeight="1"/>
    <row r="1650" ht="0" hidden="1" customHeight="1"/>
    <row r="1651" ht="0" hidden="1" customHeight="1"/>
    <row r="1652" ht="0" hidden="1" customHeight="1"/>
    <row r="1653" ht="0" hidden="1" customHeight="1"/>
    <row r="1654" ht="0" hidden="1" customHeight="1"/>
    <row r="1655" ht="0" hidden="1" customHeight="1"/>
    <row r="1656" ht="0" hidden="1" customHeight="1"/>
    <row r="1657" ht="0" hidden="1" customHeight="1"/>
    <row r="1658" ht="0" hidden="1" customHeight="1"/>
    <row r="1659" ht="0" hidden="1" customHeight="1"/>
    <row r="1660" ht="0" hidden="1" customHeight="1"/>
    <row r="1661" ht="0" hidden="1" customHeight="1"/>
    <row r="1662" ht="0" hidden="1" customHeight="1"/>
    <row r="1663" ht="0" hidden="1" customHeight="1"/>
    <row r="1664" ht="0" hidden="1" customHeight="1"/>
    <row r="1665" ht="0" hidden="1" customHeight="1"/>
    <row r="1666" ht="0" hidden="1" customHeight="1"/>
    <row r="1667" ht="0" hidden="1" customHeight="1"/>
    <row r="1668" ht="0" hidden="1" customHeight="1"/>
    <row r="1669" ht="0" hidden="1" customHeight="1"/>
    <row r="1670" ht="0" hidden="1" customHeight="1"/>
    <row r="1671" ht="0" hidden="1" customHeight="1"/>
    <row r="1672" ht="0" hidden="1" customHeight="1"/>
    <row r="1673" ht="0" hidden="1" customHeight="1"/>
    <row r="1674" ht="0" hidden="1" customHeight="1"/>
    <row r="1675" ht="0" hidden="1" customHeight="1"/>
    <row r="1676" ht="0" hidden="1" customHeight="1"/>
    <row r="1677" ht="0" hidden="1" customHeight="1"/>
    <row r="1678" ht="0" hidden="1" customHeight="1"/>
    <row r="1679" ht="0" hidden="1" customHeight="1"/>
    <row r="1680" ht="0" hidden="1" customHeight="1"/>
    <row r="1681" ht="0" hidden="1" customHeight="1"/>
    <row r="1682" ht="0" hidden="1" customHeight="1"/>
    <row r="1683" ht="0" hidden="1" customHeight="1"/>
    <row r="1684" ht="0" hidden="1" customHeight="1"/>
    <row r="1685" ht="0" hidden="1" customHeight="1"/>
    <row r="1686" ht="0" hidden="1" customHeight="1"/>
    <row r="1687" ht="0" hidden="1" customHeight="1"/>
    <row r="1688" ht="0" hidden="1" customHeight="1"/>
    <row r="1689" ht="0" hidden="1" customHeight="1"/>
    <row r="1690" ht="0" hidden="1" customHeight="1"/>
    <row r="1691" ht="0" hidden="1" customHeight="1"/>
    <row r="1692" ht="0" hidden="1" customHeight="1"/>
    <row r="1693" ht="0" hidden="1" customHeight="1"/>
    <row r="1694" ht="0" hidden="1" customHeight="1"/>
    <row r="1695" ht="0" hidden="1" customHeight="1"/>
    <row r="1696" ht="0" hidden="1" customHeight="1"/>
    <row r="1697" ht="0" hidden="1" customHeight="1"/>
    <row r="1698" ht="0" hidden="1" customHeight="1"/>
    <row r="1699" ht="0" hidden="1" customHeight="1"/>
    <row r="1700" ht="0" hidden="1" customHeight="1"/>
    <row r="1701" ht="0" hidden="1" customHeight="1"/>
    <row r="1702" ht="0" hidden="1" customHeight="1"/>
    <row r="1703" ht="0" hidden="1" customHeight="1"/>
    <row r="1704" ht="0" hidden="1" customHeight="1"/>
    <row r="1705" ht="0" hidden="1" customHeight="1"/>
    <row r="1706" ht="0" hidden="1" customHeight="1"/>
    <row r="1707" ht="0" hidden="1" customHeight="1"/>
    <row r="1708" ht="0" hidden="1" customHeight="1"/>
    <row r="1709" ht="0" hidden="1" customHeight="1"/>
    <row r="1710" ht="0" hidden="1" customHeight="1"/>
    <row r="1711" ht="0" hidden="1" customHeight="1"/>
    <row r="1712" ht="0" hidden="1" customHeight="1"/>
    <row r="1713" ht="0" hidden="1" customHeight="1"/>
    <row r="1714" ht="0" hidden="1" customHeight="1"/>
    <row r="1715" ht="0" hidden="1" customHeight="1"/>
    <row r="1716" ht="0" hidden="1" customHeight="1"/>
    <row r="1717" ht="0" hidden="1" customHeight="1"/>
    <row r="1718" ht="0" hidden="1" customHeight="1"/>
    <row r="1719" ht="0" hidden="1" customHeight="1"/>
    <row r="1720" ht="0" hidden="1" customHeight="1"/>
    <row r="1721" ht="0" hidden="1" customHeight="1"/>
    <row r="1722" ht="0" hidden="1" customHeight="1"/>
    <row r="1723" ht="0" hidden="1" customHeight="1"/>
    <row r="1724" ht="0" hidden="1" customHeight="1"/>
    <row r="1725" ht="0" hidden="1" customHeight="1"/>
    <row r="1726" ht="0" hidden="1" customHeight="1"/>
    <row r="1727" ht="0" hidden="1" customHeight="1"/>
    <row r="1728" ht="0" hidden="1" customHeight="1"/>
    <row r="1729" ht="0" hidden="1" customHeight="1"/>
    <row r="1730" ht="0" hidden="1" customHeight="1"/>
    <row r="1731" ht="0" hidden="1" customHeight="1"/>
    <row r="1732" ht="0" hidden="1" customHeight="1"/>
    <row r="1733" ht="0" hidden="1" customHeight="1"/>
    <row r="1734" ht="0" hidden="1" customHeight="1"/>
    <row r="1735" ht="0" hidden="1" customHeight="1"/>
    <row r="1736" ht="0" hidden="1" customHeight="1"/>
    <row r="1737" ht="0" hidden="1" customHeight="1"/>
    <row r="1738" ht="0" hidden="1" customHeight="1"/>
    <row r="1739" ht="0" hidden="1" customHeight="1"/>
    <row r="1740" ht="0" hidden="1" customHeight="1"/>
    <row r="1741" ht="0" hidden="1" customHeight="1"/>
    <row r="1742" ht="0" hidden="1" customHeight="1"/>
    <row r="1743" ht="0" hidden="1" customHeight="1"/>
    <row r="1744" ht="0" hidden="1" customHeight="1"/>
    <row r="1745" ht="0" hidden="1" customHeight="1"/>
    <row r="1746" ht="0" hidden="1" customHeight="1"/>
    <row r="1747" ht="0" hidden="1" customHeight="1"/>
    <row r="1748" ht="0" hidden="1" customHeight="1"/>
    <row r="1749" ht="0" hidden="1" customHeight="1"/>
    <row r="1750" ht="0" hidden="1" customHeight="1"/>
    <row r="1751" ht="0" hidden="1" customHeight="1"/>
    <row r="1752" ht="0" hidden="1" customHeight="1"/>
    <row r="1753" ht="0" hidden="1" customHeight="1"/>
    <row r="1754" ht="0" hidden="1" customHeight="1"/>
    <row r="1755" ht="0" hidden="1" customHeight="1"/>
    <row r="1756" ht="0" hidden="1" customHeight="1"/>
    <row r="1757" ht="0" hidden="1" customHeight="1"/>
    <row r="1758" ht="0" hidden="1" customHeight="1"/>
    <row r="1759" ht="0" hidden="1" customHeight="1"/>
    <row r="1760" ht="0" hidden="1" customHeight="1"/>
    <row r="1761" ht="0" hidden="1" customHeight="1"/>
    <row r="1762" ht="0" hidden="1" customHeight="1"/>
    <row r="1763" ht="0" hidden="1" customHeight="1"/>
    <row r="1764" ht="0" hidden="1" customHeight="1"/>
    <row r="1765" ht="0" hidden="1" customHeight="1"/>
    <row r="1766" ht="0" hidden="1" customHeight="1"/>
    <row r="1767" ht="0" hidden="1" customHeight="1"/>
    <row r="1768" ht="0" hidden="1" customHeight="1"/>
    <row r="1769" ht="0" hidden="1" customHeight="1"/>
    <row r="1770" ht="0" hidden="1" customHeight="1"/>
    <row r="1771" ht="0" hidden="1" customHeight="1"/>
    <row r="1772" ht="0" hidden="1" customHeight="1"/>
    <row r="1773" ht="0" hidden="1" customHeight="1"/>
    <row r="1774" ht="0" hidden="1" customHeight="1"/>
    <row r="1775" ht="0" hidden="1" customHeight="1"/>
    <row r="1776" ht="0" hidden="1" customHeight="1"/>
    <row r="1777" ht="0" hidden="1" customHeight="1"/>
    <row r="1778" ht="0" hidden="1" customHeight="1"/>
    <row r="1779" ht="0" hidden="1" customHeight="1"/>
    <row r="1780" ht="0" hidden="1" customHeight="1"/>
    <row r="1781" ht="0" hidden="1" customHeight="1"/>
    <row r="1782" ht="0" hidden="1" customHeight="1"/>
    <row r="1783" ht="0" hidden="1" customHeight="1"/>
    <row r="1784" ht="0" hidden="1" customHeight="1"/>
    <row r="1785" ht="0" hidden="1" customHeight="1"/>
    <row r="1786" ht="0" hidden="1" customHeight="1"/>
    <row r="1787" ht="0" hidden="1" customHeight="1"/>
    <row r="1788" ht="0" hidden="1" customHeight="1"/>
    <row r="1789" ht="0" hidden="1" customHeight="1"/>
    <row r="1790" ht="0" hidden="1" customHeight="1"/>
    <row r="1791" ht="0" hidden="1" customHeight="1"/>
    <row r="1792" ht="0" hidden="1" customHeight="1"/>
    <row r="1793" ht="0" hidden="1" customHeight="1"/>
    <row r="1794" ht="0" hidden="1" customHeight="1"/>
    <row r="1795" ht="0" hidden="1" customHeight="1"/>
    <row r="1796" ht="0" hidden="1" customHeight="1"/>
    <row r="1797" ht="0" hidden="1" customHeight="1"/>
    <row r="1798" ht="0" hidden="1" customHeight="1"/>
    <row r="1799" ht="0" hidden="1" customHeight="1"/>
    <row r="1800" ht="0" hidden="1" customHeight="1"/>
    <row r="1801" ht="0" hidden="1" customHeight="1"/>
    <row r="1802" ht="0" hidden="1" customHeight="1"/>
    <row r="1803" ht="0" hidden="1" customHeight="1"/>
    <row r="1804" ht="0" hidden="1" customHeight="1"/>
    <row r="1805" ht="0" hidden="1" customHeight="1"/>
    <row r="1806" ht="0" hidden="1" customHeight="1"/>
    <row r="1807" ht="0" hidden="1" customHeight="1"/>
    <row r="1808" ht="0" hidden="1" customHeight="1"/>
    <row r="1809" ht="0" hidden="1" customHeight="1"/>
    <row r="1810" ht="0" hidden="1" customHeight="1"/>
    <row r="1811" ht="0" hidden="1" customHeight="1"/>
    <row r="1812" ht="0" hidden="1" customHeight="1"/>
    <row r="1813" ht="0" hidden="1" customHeight="1"/>
    <row r="1814" ht="0" hidden="1" customHeight="1"/>
    <row r="1815" ht="0" hidden="1" customHeight="1"/>
    <row r="1816" ht="0" hidden="1" customHeight="1"/>
    <row r="1817" ht="0" hidden="1" customHeight="1"/>
    <row r="1818" ht="0" hidden="1" customHeight="1"/>
    <row r="1819" ht="0" hidden="1" customHeight="1"/>
    <row r="1820" ht="0" hidden="1" customHeight="1"/>
    <row r="1821" ht="0" hidden="1" customHeight="1"/>
    <row r="1822" ht="0" hidden="1" customHeight="1"/>
    <row r="1823" ht="0" hidden="1" customHeight="1"/>
    <row r="1824" ht="0" hidden="1" customHeight="1"/>
    <row r="1825" ht="0" hidden="1" customHeight="1"/>
    <row r="1826" ht="0" hidden="1" customHeight="1"/>
    <row r="1827" ht="0" hidden="1" customHeight="1"/>
    <row r="1828" ht="0" hidden="1" customHeight="1"/>
    <row r="1829" ht="0" hidden="1" customHeight="1"/>
    <row r="1830" ht="0" hidden="1" customHeight="1"/>
    <row r="1831" ht="0" hidden="1" customHeight="1"/>
    <row r="1832" ht="0" hidden="1" customHeight="1"/>
    <row r="1833" ht="0" hidden="1" customHeight="1"/>
    <row r="1834" ht="0" hidden="1" customHeight="1"/>
    <row r="1835" ht="0" hidden="1" customHeight="1"/>
    <row r="1836" ht="0" hidden="1" customHeight="1"/>
    <row r="1837" ht="0" hidden="1" customHeight="1"/>
    <row r="1838" ht="0" hidden="1" customHeight="1"/>
    <row r="1839" ht="0" hidden="1" customHeight="1"/>
    <row r="1840" ht="0" hidden="1" customHeight="1"/>
    <row r="1841" ht="0" hidden="1" customHeight="1"/>
    <row r="1842" ht="0" hidden="1" customHeight="1"/>
    <row r="1843" ht="0" hidden="1" customHeight="1"/>
    <row r="1844" ht="0" hidden="1" customHeight="1"/>
    <row r="1845" ht="0" hidden="1" customHeight="1"/>
    <row r="1846" ht="0" hidden="1" customHeight="1"/>
    <row r="1847" ht="0" hidden="1" customHeight="1"/>
    <row r="1848" ht="0" hidden="1" customHeight="1"/>
    <row r="1849" ht="0" hidden="1" customHeight="1"/>
    <row r="1850" ht="0" hidden="1" customHeight="1"/>
    <row r="1851" ht="0" hidden="1" customHeight="1"/>
    <row r="1852" ht="0" hidden="1" customHeight="1"/>
    <row r="1853" ht="0" hidden="1" customHeight="1"/>
    <row r="1854" ht="0" hidden="1" customHeight="1"/>
    <row r="1855" ht="0" hidden="1" customHeight="1"/>
    <row r="1856" ht="0" hidden="1" customHeight="1"/>
    <row r="1857" ht="0" hidden="1" customHeight="1"/>
    <row r="1858" ht="0" hidden="1" customHeight="1"/>
    <row r="1859" ht="0" hidden="1" customHeight="1"/>
    <row r="1860" ht="0" hidden="1" customHeight="1"/>
    <row r="1861" ht="0" hidden="1" customHeight="1"/>
    <row r="1862" ht="0" hidden="1" customHeight="1"/>
    <row r="1863" ht="0" hidden="1" customHeight="1"/>
    <row r="1864" ht="0" hidden="1" customHeight="1"/>
    <row r="1865" ht="0" hidden="1" customHeight="1"/>
    <row r="1866" ht="0" hidden="1" customHeight="1"/>
    <row r="1867" ht="0" hidden="1" customHeight="1"/>
    <row r="1868" ht="0" hidden="1" customHeight="1"/>
    <row r="1869" ht="0" hidden="1" customHeight="1"/>
    <row r="1870" ht="0" hidden="1" customHeight="1"/>
    <row r="1871" ht="0" hidden="1" customHeight="1"/>
    <row r="1872" ht="0" hidden="1" customHeight="1"/>
    <row r="1873" ht="0" hidden="1" customHeight="1"/>
    <row r="1874" ht="0" hidden="1" customHeight="1"/>
    <row r="1875" ht="0" hidden="1" customHeight="1"/>
    <row r="1876" ht="0" hidden="1" customHeight="1"/>
    <row r="1877" ht="0" hidden="1" customHeight="1"/>
    <row r="1878" ht="0" hidden="1" customHeight="1"/>
    <row r="1879" ht="0" hidden="1" customHeight="1"/>
    <row r="1880" ht="0" hidden="1" customHeight="1"/>
    <row r="1881" ht="0" hidden="1" customHeight="1"/>
    <row r="1882" ht="0" hidden="1" customHeight="1"/>
    <row r="1883" ht="0" hidden="1" customHeight="1"/>
    <row r="1884" ht="0" hidden="1" customHeight="1"/>
    <row r="1885" ht="0" hidden="1" customHeight="1"/>
    <row r="1886" ht="0" hidden="1" customHeight="1"/>
    <row r="1887" ht="0" hidden="1" customHeight="1"/>
    <row r="1888" ht="0" hidden="1" customHeight="1"/>
    <row r="1889" ht="0" hidden="1" customHeight="1"/>
    <row r="1890" ht="0" hidden="1" customHeight="1"/>
    <row r="1891" ht="0" hidden="1" customHeight="1"/>
    <row r="1892" ht="0" hidden="1" customHeight="1"/>
    <row r="1893" ht="0" hidden="1" customHeight="1"/>
    <row r="1894" ht="0" hidden="1" customHeight="1"/>
    <row r="1895" ht="0" hidden="1" customHeight="1"/>
    <row r="1896" ht="0" hidden="1" customHeight="1"/>
    <row r="1897" ht="0" hidden="1" customHeight="1"/>
    <row r="1898" ht="0" hidden="1" customHeight="1"/>
    <row r="1899" ht="0" hidden="1" customHeight="1"/>
    <row r="1900" ht="0" hidden="1" customHeight="1"/>
    <row r="1901" ht="0" hidden="1" customHeight="1"/>
    <row r="1902" ht="0" hidden="1" customHeight="1"/>
    <row r="1903" ht="0" hidden="1" customHeight="1"/>
    <row r="1904" ht="0" hidden="1" customHeight="1"/>
    <row r="1905" ht="0" hidden="1" customHeight="1"/>
    <row r="1906" ht="0" hidden="1" customHeight="1"/>
    <row r="1907" ht="0" hidden="1" customHeight="1"/>
    <row r="1908" ht="0" hidden="1" customHeight="1"/>
    <row r="1909" ht="0" hidden="1" customHeight="1"/>
    <row r="1910" ht="0" hidden="1" customHeight="1"/>
    <row r="1911" ht="0" hidden="1" customHeight="1"/>
    <row r="1912" ht="0" hidden="1" customHeight="1"/>
    <row r="1913" ht="0" hidden="1" customHeight="1"/>
    <row r="1914" ht="0" hidden="1" customHeight="1"/>
    <row r="1915" ht="0" hidden="1" customHeight="1"/>
    <row r="1916" ht="0" hidden="1" customHeight="1"/>
    <row r="1917" ht="0" hidden="1" customHeight="1"/>
    <row r="1918" ht="0" hidden="1" customHeight="1"/>
    <row r="1919" ht="0" hidden="1" customHeight="1"/>
    <row r="1920" ht="0" hidden="1" customHeight="1"/>
    <row r="1921" ht="0" hidden="1" customHeight="1"/>
    <row r="1922" ht="0" hidden="1" customHeight="1"/>
    <row r="1923" ht="0" hidden="1" customHeight="1"/>
    <row r="1924" ht="0" hidden="1" customHeight="1"/>
    <row r="1925" ht="0" hidden="1" customHeight="1"/>
    <row r="1926" ht="0" hidden="1" customHeight="1"/>
    <row r="1927" ht="0" hidden="1" customHeight="1"/>
    <row r="1928" ht="0" hidden="1" customHeight="1"/>
    <row r="1929" ht="0" hidden="1" customHeight="1"/>
    <row r="1930" ht="0" hidden="1" customHeight="1"/>
    <row r="1931" ht="0" hidden="1" customHeight="1"/>
    <row r="1932" ht="0" hidden="1" customHeight="1"/>
    <row r="1933" ht="0" hidden="1" customHeight="1"/>
    <row r="1934" ht="0" hidden="1" customHeight="1"/>
    <row r="1935" ht="0" hidden="1" customHeight="1"/>
    <row r="1936" ht="0" hidden="1" customHeight="1"/>
    <row r="1937" ht="0" hidden="1" customHeight="1"/>
    <row r="1938" ht="0" hidden="1" customHeight="1"/>
    <row r="1939" ht="0" hidden="1" customHeight="1"/>
    <row r="1940" ht="0" hidden="1" customHeight="1"/>
    <row r="1941" ht="0" hidden="1" customHeight="1"/>
    <row r="1942" ht="0" hidden="1" customHeight="1"/>
    <row r="1943" ht="0" hidden="1" customHeight="1"/>
    <row r="1944" ht="0" hidden="1" customHeight="1"/>
    <row r="1945" ht="0" hidden="1" customHeight="1"/>
    <row r="1946" ht="0" hidden="1" customHeight="1"/>
    <row r="1947" ht="0" hidden="1" customHeight="1"/>
    <row r="1948" ht="0" hidden="1" customHeight="1"/>
    <row r="1949" ht="0" hidden="1" customHeight="1"/>
    <row r="1950" ht="0" hidden="1" customHeight="1"/>
    <row r="1951" ht="0" hidden="1" customHeight="1"/>
    <row r="1952" ht="0" hidden="1" customHeight="1"/>
    <row r="1953" ht="0" hidden="1" customHeight="1"/>
    <row r="1954" ht="0" hidden="1" customHeight="1"/>
    <row r="1955" ht="0" hidden="1" customHeight="1"/>
    <row r="1956" ht="0" hidden="1" customHeight="1"/>
    <row r="1957" ht="0" hidden="1" customHeight="1"/>
    <row r="1958" ht="0" hidden="1" customHeight="1"/>
    <row r="1959" ht="0" hidden="1" customHeight="1"/>
    <row r="1960" ht="0" hidden="1" customHeight="1"/>
    <row r="1961" ht="0" hidden="1" customHeight="1"/>
    <row r="1962" ht="0" hidden="1" customHeight="1"/>
    <row r="1963" ht="0" hidden="1" customHeight="1"/>
    <row r="1964" ht="0" hidden="1" customHeight="1"/>
    <row r="1965" ht="0" hidden="1" customHeight="1"/>
    <row r="1966" ht="0" hidden="1" customHeight="1"/>
    <row r="1967" ht="0" hidden="1" customHeight="1"/>
    <row r="1968" ht="0" hidden="1" customHeight="1"/>
    <row r="1969" ht="0" hidden="1" customHeight="1"/>
    <row r="1970" ht="0" hidden="1" customHeight="1"/>
    <row r="1971" ht="0" hidden="1" customHeight="1"/>
    <row r="1972" ht="0" hidden="1" customHeight="1"/>
    <row r="1973" ht="0" hidden="1" customHeight="1"/>
    <row r="1974" ht="0" hidden="1" customHeight="1"/>
    <row r="1975" ht="0" hidden="1" customHeight="1"/>
    <row r="1976" ht="0" hidden="1" customHeight="1"/>
    <row r="1977" ht="0" hidden="1" customHeight="1"/>
    <row r="1978" ht="0" hidden="1" customHeight="1"/>
    <row r="1979" ht="0" hidden="1" customHeight="1"/>
    <row r="1980" ht="0" hidden="1" customHeight="1"/>
    <row r="1981" ht="0" hidden="1" customHeight="1"/>
    <row r="1982" ht="0" hidden="1" customHeight="1"/>
    <row r="1983" ht="0" hidden="1" customHeight="1"/>
    <row r="1984" ht="0" hidden="1" customHeight="1"/>
    <row r="1985" ht="0" hidden="1" customHeight="1"/>
    <row r="1986" ht="0" hidden="1" customHeight="1"/>
    <row r="1987" ht="0" hidden="1" customHeight="1"/>
    <row r="1988" ht="0" hidden="1" customHeight="1"/>
    <row r="1989" ht="0" hidden="1" customHeight="1"/>
    <row r="1990" ht="0" hidden="1" customHeight="1"/>
    <row r="1991" ht="0" hidden="1" customHeight="1"/>
    <row r="1992" ht="0" hidden="1" customHeight="1"/>
    <row r="1993" ht="0" hidden="1" customHeight="1"/>
    <row r="1994" ht="0" hidden="1" customHeight="1"/>
    <row r="1995" ht="0" hidden="1" customHeight="1"/>
    <row r="1996" ht="0" hidden="1" customHeight="1"/>
    <row r="1997" ht="0" hidden="1" customHeight="1"/>
    <row r="1998" ht="0" hidden="1" customHeight="1"/>
    <row r="1999" ht="0" hidden="1" customHeight="1"/>
    <row r="2000" ht="0" hidden="1" customHeight="1"/>
    <row r="2001" ht="0" hidden="1" customHeight="1"/>
    <row r="2002" ht="0" hidden="1" customHeight="1"/>
    <row r="2003" ht="0" hidden="1" customHeight="1"/>
    <row r="2004" ht="0" hidden="1" customHeight="1"/>
    <row r="2005" ht="0" hidden="1" customHeight="1"/>
    <row r="2006" ht="0" hidden="1" customHeight="1"/>
    <row r="2007" ht="0" hidden="1" customHeight="1"/>
    <row r="2008" ht="0" hidden="1" customHeight="1"/>
    <row r="2009" ht="0" hidden="1" customHeight="1"/>
    <row r="2010" ht="0" hidden="1" customHeight="1"/>
    <row r="2011" ht="0" hidden="1" customHeight="1"/>
    <row r="2012" ht="0" hidden="1" customHeight="1"/>
    <row r="2013" ht="0" hidden="1" customHeight="1"/>
    <row r="2014" ht="0" hidden="1" customHeight="1"/>
    <row r="2015" ht="0" hidden="1" customHeight="1"/>
    <row r="2016" ht="0" hidden="1" customHeight="1"/>
    <row r="2017" ht="0" hidden="1" customHeight="1"/>
    <row r="2018" ht="0" hidden="1" customHeight="1"/>
    <row r="2019" ht="0" hidden="1" customHeight="1"/>
    <row r="2020" ht="0" hidden="1" customHeight="1"/>
    <row r="2021" ht="0" hidden="1" customHeight="1"/>
    <row r="2022" ht="0" hidden="1" customHeight="1"/>
    <row r="2023" ht="0" hidden="1" customHeight="1"/>
    <row r="2024" ht="0" hidden="1" customHeight="1"/>
    <row r="2025" ht="0" hidden="1" customHeight="1"/>
    <row r="2026" ht="0" hidden="1" customHeight="1"/>
    <row r="2027" ht="0" hidden="1" customHeight="1"/>
    <row r="2028" ht="0" hidden="1" customHeight="1"/>
    <row r="2029" ht="0" hidden="1" customHeight="1"/>
    <row r="2030" ht="0" hidden="1" customHeight="1"/>
    <row r="2031" ht="0" hidden="1" customHeight="1"/>
    <row r="2032" ht="0" hidden="1" customHeight="1"/>
    <row r="2033" ht="0" hidden="1" customHeight="1"/>
    <row r="2034" ht="0" hidden="1" customHeight="1"/>
    <row r="2035" ht="0" hidden="1" customHeight="1"/>
    <row r="2036" ht="0" hidden="1" customHeight="1"/>
    <row r="2037" ht="0" hidden="1" customHeight="1"/>
    <row r="2038" ht="0" hidden="1" customHeight="1"/>
    <row r="2039" ht="0" hidden="1" customHeight="1"/>
    <row r="2040" ht="0" hidden="1" customHeight="1"/>
    <row r="2041" ht="0" hidden="1" customHeight="1"/>
    <row r="2042" ht="0" hidden="1" customHeight="1"/>
    <row r="2043" ht="0" hidden="1" customHeight="1"/>
    <row r="2044" ht="0" hidden="1" customHeight="1"/>
    <row r="2045" ht="0" hidden="1" customHeight="1"/>
    <row r="2046" ht="0" hidden="1" customHeight="1"/>
    <row r="2047" ht="0" hidden="1" customHeight="1"/>
    <row r="2048" ht="0" hidden="1" customHeight="1"/>
    <row r="2049" ht="0" hidden="1" customHeight="1"/>
    <row r="2050" ht="0" hidden="1" customHeight="1"/>
    <row r="2051" ht="0" hidden="1" customHeight="1"/>
    <row r="2052" ht="0" hidden="1" customHeight="1"/>
    <row r="2053" ht="0" hidden="1" customHeight="1"/>
    <row r="2054" ht="0" hidden="1" customHeight="1"/>
    <row r="2055" ht="0" hidden="1" customHeight="1"/>
    <row r="2056" ht="0" hidden="1" customHeight="1"/>
    <row r="2057" ht="0" hidden="1" customHeight="1"/>
    <row r="2058" ht="0" hidden="1" customHeight="1"/>
    <row r="2059" ht="0" hidden="1" customHeight="1"/>
    <row r="2060" ht="0" hidden="1" customHeight="1"/>
    <row r="2061" ht="0" hidden="1" customHeight="1"/>
    <row r="2062" ht="0" hidden="1" customHeight="1"/>
    <row r="2063" ht="0" hidden="1" customHeight="1"/>
    <row r="2064" ht="0" hidden="1" customHeight="1"/>
    <row r="2065" ht="0" hidden="1" customHeight="1"/>
    <row r="2066" ht="0" hidden="1" customHeight="1"/>
    <row r="2067" ht="0" hidden="1" customHeight="1"/>
    <row r="2068" ht="0" hidden="1" customHeight="1"/>
    <row r="2069" ht="0" hidden="1" customHeight="1"/>
    <row r="2070" ht="0" hidden="1" customHeight="1"/>
    <row r="2071" ht="0" hidden="1" customHeight="1"/>
    <row r="2072" ht="0" hidden="1" customHeight="1"/>
    <row r="2073" ht="0" hidden="1" customHeight="1"/>
    <row r="2074" ht="0" hidden="1" customHeight="1"/>
    <row r="2075" ht="0" hidden="1" customHeight="1"/>
    <row r="2076" ht="0" hidden="1" customHeight="1"/>
    <row r="2077" ht="0" hidden="1" customHeight="1"/>
    <row r="2078" ht="0" hidden="1" customHeight="1"/>
    <row r="2079" ht="0" hidden="1" customHeight="1"/>
    <row r="2080" ht="0" hidden="1" customHeight="1"/>
    <row r="2081" ht="0" hidden="1" customHeight="1"/>
    <row r="2082" ht="0" hidden="1" customHeight="1"/>
    <row r="2083" ht="0" hidden="1" customHeight="1"/>
    <row r="2084" ht="0" hidden="1" customHeight="1"/>
    <row r="2085" ht="0" hidden="1" customHeight="1"/>
    <row r="2086" ht="0" hidden="1" customHeight="1"/>
    <row r="2087" ht="0" hidden="1" customHeight="1"/>
    <row r="2088" ht="0" hidden="1" customHeight="1"/>
    <row r="2089" ht="0" hidden="1" customHeight="1"/>
    <row r="2090" ht="0" hidden="1" customHeight="1"/>
    <row r="2091" ht="0" hidden="1" customHeight="1"/>
    <row r="2092" ht="0" hidden="1" customHeight="1"/>
    <row r="2093" ht="0" hidden="1" customHeight="1"/>
    <row r="2094" ht="0" hidden="1" customHeight="1"/>
    <row r="2095" ht="0" hidden="1" customHeight="1"/>
    <row r="2096" ht="0" hidden="1" customHeight="1"/>
  </sheetData>
  <autoFilter ref="C4:H975">
    <filterColumn colId="1">
      <customFilters>
        <customFilter operator="notEqual" val=" "/>
      </customFilters>
    </filterColumn>
  </autoFilter>
  <dataValidations count="1">
    <dataValidation type="list" allowBlank="1" showInputMessage="1" showErrorMessage="1" sqref="F6:F883">
      <formula1>"XMLTagOnly,XMLTagCellReference,XMLColumnReference,XMLTagValue,XMLTagAttribute,XMLTagAttributeValue"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bLandcodes"/>
  <dimension ref="B1:D1392"/>
  <sheetViews>
    <sheetView showGridLines="0" workbookViewId="0">
      <selection activeCell="J9" sqref="J9"/>
    </sheetView>
  </sheetViews>
  <sheetFormatPr defaultRowHeight="15"/>
  <cols>
    <col min="1" max="1" width="7.5703125" customWidth="1"/>
    <col min="2" max="2" width="3.7109375" style="41" customWidth="1"/>
    <col min="3" max="3" width="11.5703125" style="41" customWidth="1"/>
    <col min="4" max="4" width="49.28515625" style="41" bestFit="1" customWidth="1"/>
    <col min="5" max="5" width="13.85546875" customWidth="1"/>
    <col min="6" max="6" width="13.42578125" customWidth="1"/>
    <col min="7" max="7" width="11.5703125" bestFit="1" customWidth="1"/>
    <col min="8" max="8" width="20.7109375" customWidth="1"/>
    <col min="9" max="9" width="13.42578125" customWidth="1"/>
    <col min="10" max="10" width="16.5703125" customWidth="1"/>
    <col min="11" max="11" width="36" bestFit="1" customWidth="1"/>
    <col min="12" max="12" width="90" bestFit="1" customWidth="1"/>
    <col min="13" max="13" width="14.5703125" customWidth="1"/>
    <col min="14" max="14" width="17.7109375" customWidth="1"/>
    <col min="15" max="15" width="21.42578125" customWidth="1"/>
    <col min="16" max="16" width="7.7109375" customWidth="1"/>
    <col min="17" max="17" width="8.140625" customWidth="1"/>
    <col min="19" max="19" width="11.28515625" customWidth="1"/>
    <col min="28" max="28" width="9.140625" customWidth="1"/>
  </cols>
  <sheetData>
    <row r="1" spans="2:4" ht="27" customHeight="1">
      <c r="B1"/>
      <c r="C1"/>
      <c r="D1"/>
    </row>
    <row r="2" spans="2:4" ht="12.75">
      <c r="B2" s="37"/>
      <c r="C2" s="37"/>
      <c r="D2" s="37"/>
    </row>
    <row r="3" spans="2:4" ht="12.75">
      <c r="B3" s="37"/>
      <c r="C3" s="37"/>
      <c r="D3" s="37"/>
    </row>
    <row r="4" spans="2:4" ht="15.75" thickBot="1">
      <c r="B4" s="38"/>
      <c r="C4" s="37"/>
      <c r="D4" s="37"/>
    </row>
    <row r="5" spans="2:4" ht="16.5" thickTop="1" thickBot="1">
      <c r="B5" s="38"/>
      <c r="C5" s="39" t="s">
        <v>263</v>
      </c>
      <c r="D5" s="40" t="s">
        <v>264</v>
      </c>
    </row>
    <row r="6" spans="2:4" ht="15.75" thickTop="1">
      <c r="C6" s="42" t="s">
        <v>265</v>
      </c>
      <c r="D6" s="42" t="s">
        <v>266</v>
      </c>
    </row>
    <row r="7" spans="2:4">
      <c r="C7" s="42" t="s">
        <v>267</v>
      </c>
      <c r="D7" s="42" t="s">
        <v>268</v>
      </c>
    </row>
    <row r="8" spans="2:4">
      <c r="C8" s="42" t="s">
        <v>269</v>
      </c>
      <c r="D8" s="42" t="s">
        <v>270</v>
      </c>
    </row>
    <row r="9" spans="2:4">
      <c r="C9" s="43" t="s">
        <v>271</v>
      </c>
      <c r="D9" s="43" t="s">
        <v>272</v>
      </c>
    </row>
    <row r="10" spans="2:4">
      <c r="C10" s="43" t="s">
        <v>273</v>
      </c>
      <c r="D10" s="43" t="s">
        <v>274</v>
      </c>
    </row>
    <row r="11" spans="2:4">
      <c r="C11" s="43" t="s">
        <v>275</v>
      </c>
      <c r="D11" s="43" t="s">
        <v>276</v>
      </c>
    </row>
    <row r="12" spans="2:4">
      <c r="C12" s="43" t="s">
        <v>277</v>
      </c>
      <c r="D12" s="43" t="s">
        <v>278</v>
      </c>
    </row>
    <row r="13" spans="2:4">
      <c r="C13" s="43" t="s">
        <v>279</v>
      </c>
      <c r="D13" s="43" t="s">
        <v>280</v>
      </c>
    </row>
    <row r="14" spans="2:4">
      <c r="C14" s="43" t="s">
        <v>281</v>
      </c>
      <c r="D14" s="43" t="s">
        <v>282</v>
      </c>
    </row>
    <row r="15" spans="2:4">
      <c r="C15" s="43" t="s">
        <v>283</v>
      </c>
      <c r="D15" s="43" t="s">
        <v>284</v>
      </c>
    </row>
    <row r="16" spans="2:4">
      <c r="C16" s="43" t="s">
        <v>285</v>
      </c>
      <c r="D16" s="43" t="s">
        <v>286</v>
      </c>
    </row>
    <row r="17" spans="3:4">
      <c r="C17" s="43" t="s">
        <v>287</v>
      </c>
      <c r="D17" s="43" t="s">
        <v>288</v>
      </c>
    </row>
    <row r="18" spans="3:4">
      <c r="C18" s="43" t="s">
        <v>289</v>
      </c>
      <c r="D18" s="43" t="s">
        <v>290</v>
      </c>
    </row>
    <row r="19" spans="3:4">
      <c r="C19" s="43" t="s">
        <v>291</v>
      </c>
      <c r="D19" s="43" t="s">
        <v>292</v>
      </c>
    </row>
    <row r="20" spans="3:4">
      <c r="C20" s="43" t="s">
        <v>293</v>
      </c>
      <c r="D20" s="43" t="s">
        <v>294</v>
      </c>
    </row>
    <row r="21" spans="3:4">
      <c r="C21" s="43" t="s">
        <v>295</v>
      </c>
      <c r="D21" s="43" t="s">
        <v>296</v>
      </c>
    </row>
    <row r="22" spans="3:4">
      <c r="C22" s="43" t="s">
        <v>297</v>
      </c>
      <c r="D22" s="43" t="s">
        <v>298</v>
      </c>
    </row>
    <row r="23" spans="3:4">
      <c r="C23" s="43" t="s">
        <v>299</v>
      </c>
      <c r="D23" s="43" t="s">
        <v>300</v>
      </c>
    </row>
    <row r="24" spans="3:4">
      <c r="C24" s="43" t="s">
        <v>301</v>
      </c>
      <c r="D24" s="43" t="s">
        <v>302</v>
      </c>
    </row>
    <row r="25" spans="3:4">
      <c r="C25" s="43" t="s">
        <v>303</v>
      </c>
      <c r="D25" s="43" t="s">
        <v>304</v>
      </c>
    </row>
    <row r="26" spans="3:4">
      <c r="C26" s="43" t="s">
        <v>305</v>
      </c>
      <c r="D26" s="43" t="s">
        <v>306</v>
      </c>
    </row>
    <row r="27" spans="3:4">
      <c r="C27" s="43" t="s">
        <v>307</v>
      </c>
      <c r="D27" s="43" t="s">
        <v>308</v>
      </c>
    </row>
    <row r="28" spans="3:4">
      <c r="C28" s="43" t="s">
        <v>309</v>
      </c>
      <c r="D28" s="43" t="s">
        <v>310</v>
      </c>
    </row>
    <row r="29" spans="3:4">
      <c r="C29" s="43" t="s">
        <v>311</v>
      </c>
      <c r="D29" s="43" t="s">
        <v>312</v>
      </c>
    </row>
    <row r="30" spans="3:4">
      <c r="C30" s="43" t="s">
        <v>313</v>
      </c>
      <c r="D30" s="43" t="s">
        <v>314</v>
      </c>
    </row>
    <row r="31" spans="3:4">
      <c r="C31" s="43" t="s">
        <v>315</v>
      </c>
      <c r="D31" s="43" t="s">
        <v>316</v>
      </c>
    </row>
    <row r="32" spans="3:4">
      <c r="C32" s="43" t="s">
        <v>317</v>
      </c>
      <c r="D32" s="43" t="s">
        <v>318</v>
      </c>
    </row>
    <row r="33" spans="3:4">
      <c r="C33" s="43" t="s">
        <v>319</v>
      </c>
      <c r="D33" s="43" t="s">
        <v>320</v>
      </c>
    </row>
    <row r="34" spans="3:4">
      <c r="C34" s="43" t="s">
        <v>321</v>
      </c>
      <c r="D34" s="43" t="s">
        <v>322</v>
      </c>
    </row>
    <row r="35" spans="3:4">
      <c r="C35" s="43" t="s">
        <v>323</v>
      </c>
      <c r="D35" s="43" t="s">
        <v>324</v>
      </c>
    </row>
    <row r="36" spans="3:4">
      <c r="C36" s="43" t="s">
        <v>325</v>
      </c>
      <c r="D36" s="43" t="s">
        <v>326</v>
      </c>
    </row>
    <row r="37" spans="3:4">
      <c r="C37" s="43" t="s">
        <v>327</v>
      </c>
      <c r="D37" s="43" t="s">
        <v>328</v>
      </c>
    </row>
    <row r="38" spans="3:4">
      <c r="C38" s="43" t="s">
        <v>329</v>
      </c>
      <c r="D38" s="43" t="s">
        <v>330</v>
      </c>
    </row>
    <row r="39" spans="3:4">
      <c r="C39" s="43" t="s">
        <v>331</v>
      </c>
      <c r="D39" s="43" t="s">
        <v>332</v>
      </c>
    </row>
    <row r="40" spans="3:4">
      <c r="C40" s="43" t="s">
        <v>333</v>
      </c>
      <c r="D40" s="43" t="s">
        <v>334</v>
      </c>
    </row>
    <row r="41" spans="3:4">
      <c r="C41" s="43" t="s">
        <v>335</v>
      </c>
      <c r="D41" s="43" t="s">
        <v>336</v>
      </c>
    </row>
    <row r="42" spans="3:4">
      <c r="C42" s="43" t="s">
        <v>337</v>
      </c>
      <c r="D42" s="43" t="s">
        <v>338</v>
      </c>
    </row>
    <row r="43" spans="3:4">
      <c r="C43" s="43" t="s">
        <v>339</v>
      </c>
      <c r="D43" s="43" t="s">
        <v>340</v>
      </c>
    </row>
    <row r="44" spans="3:4">
      <c r="C44" s="43" t="s">
        <v>341</v>
      </c>
      <c r="D44" s="43" t="s">
        <v>342</v>
      </c>
    </row>
    <row r="45" spans="3:4">
      <c r="C45" s="43" t="s">
        <v>343</v>
      </c>
      <c r="D45" s="43" t="s">
        <v>344</v>
      </c>
    </row>
    <row r="46" spans="3:4">
      <c r="C46" s="43" t="s">
        <v>345</v>
      </c>
      <c r="D46" s="43" t="s">
        <v>346</v>
      </c>
    </row>
    <row r="47" spans="3:4">
      <c r="C47" s="43" t="s">
        <v>347</v>
      </c>
      <c r="D47" s="43" t="s">
        <v>348</v>
      </c>
    </row>
    <row r="48" spans="3:4">
      <c r="C48" s="43" t="s">
        <v>349</v>
      </c>
      <c r="D48" s="43" t="s">
        <v>350</v>
      </c>
    </row>
    <row r="49" spans="3:4">
      <c r="C49" s="43" t="s">
        <v>351</v>
      </c>
      <c r="D49" s="43" t="s">
        <v>352</v>
      </c>
    </row>
    <row r="50" spans="3:4">
      <c r="C50" s="43" t="s">
        <v>353</v>
      </c>
      <c r="D50" s="43" t="s">
        <v>354</v>
      </c>
    </row>
    <row r="51" spans="3:4">
      <c r="C51" s="43" t="s">
        <v>355</v>
      </c>
      <c r="D51" s="43" t="s">
        <v>356</v>
      </c>
    </row>
    <row r="52" spans="3:4">
      <c r="C52" s="43" t="s">
        <v>357</v>
      </c>
      <c r="D52" s="43" t="s">
        <v>358</v>
      </c>
    </row>
    <row r="53" spans="3:4">
      <c r="C53" s="43" t="s">
        <v>359</v>
      </c>
      <c r="D53" s="43" t="s">
        <v>360</v>
      </c>
    </row>
    <row r="54" spans="3:4">
      <c r="C54" s="43" t="s">
        <v>361</v>
      </c>
      <c r="D54" s="43" t="s">
        <v>362</v>
      </c>
    </row>
    <row r="55" spans="3:4">
      <c r="C55" s="43" t="s">
        <v>363</v>
      </c>
      <c r="D55" s="43" t="s">
        <v>364</v>
      </c>
    </row>
    <row r="56" spans="3:4">
      <c r="C56" s="43" t="s">
        <v>365</v>
      </c>
      <c r="D56" s="43" t="s">
        <v>366</v>
      </c>
    </row>
    <row r="57" spans="3:4">
      <c r="C57" s="43" t="s">
        <v>367</v>
      </c>
      <c r="D57" s="43" t="s">
        <v>368</v>
      </c>
    </row>
    <row r="58" spans="3:4">
      <c r="C58" s="43" t="s">
        <v>369</v>
      </c>
      <c r="D58" s="43" t="s">
        <v>370</v>
      </c>
    </row>
    <row r="59" spans="3:4">
      <c r="C59" s="43" t="s">
        <v>371</v>
      </c>
      <c r="D59" s="43" t="s">
        <v>372</v>
      </c>
    </row>
    <row r="60" spans="3:4">
      <c r="C60" s="43" t="s">
        <v>373</v>
      </c>
      <c r="D60" s="43" t="s">
        <v>374</v>
      </c>
    </row>
    <row r="61" spans="3:4">
      <c r="C61" s="43" t="s">
        <v>375</v>
      </c>
      <c r="D61" s="43" t="s">
        <v>376</v>
      </c>
    </row>
    <row r="62" spans="3:4">
      <c r="C62" s="43" t="s">
        <v>377</v>
      </c>
      <c r="D62" s="43" t="s">
        <v>378</v>
      </c>
    </row>
    <row r="63" spans="3:4">
      <c r="C63" s="43" t="s">
        <v>379</v>
      </c>
      <c r="D63" s="43" t="s">
        <v>380</v>
      </c>
    </row>
    <row r="64" spans="3:4">
      <c r="C64" s="43" t="s">
        <v>381</v>
      </c>
      <c r="D64" s="43" t="s">
        <v>382</v>
      </c>
    </row>
    <row r="65" spans="3:4">
      <c r="C65" s="43" t="s">
        <v>383</v>
      </c>
      <c r="D65" s="43" t="s">
        <v>384</v>
      </c>
    </row>
    <row r="66" spans="3:4">
      <c r="C66" s="43" t="s">
        <v>385</v>
      </c>
      <c r="D66" s="43" t="s">
        <v>386</v>
      </c>
    </row>
    <row r="67" spans="3:4">
      <c r="C67" s="43" t="s">
        <v>387</v>
      </c>
      <c r="D67" s="43" t="s">
        <v>388</v>
      </c>
    </row>
    <row r="68" spans="3:4">
      <c r="C68" s="43" t="s">
        <v>389</v>
      </c>
      <c r="D68" s="43" t="s">
        <v>390</v>
      </c>
    </row>
    <row r="69" spans="3:4">
      <c r="C69" s="43" t="s">
        <v>391</v>
      </c>
      <c r="D69" s="43" t="s">
        <v>392</v>
      </c>
    </row>
    <row r="70" spans="3:4">
      <c r="C70" s="43" t="s">
        <v>393</v>
      </c>
      <c r="D70" s="43" t="s">
        <v>394</v>
      </c>
    </row>
    <row r="71" spans="3:4">
      <c r="C71" s="43" t="s">
        <v>395</v>
      </c>
      <c r="D71" s="43" t="s">
        <v>396</v>
      </c>
    </row>
    <row r="72" spans="3:4">
      <c r="C72" s="43" t="s">
        <v>397</v>
      </c>
      <c r="D72" s="43" t="s">
        <v>398</v>
      </c>
    </row>
    <row r="73" spans="3:4">
      <c r="C73" s="43" t="s">
        <v>399</v>
      </c>
      <c r="D73" s="43" t="s">
        <v>400</v>
      </c>
    </row>
    <row r="74" spans="3:4">
      <c r="C74" s="43" t="s">
        <v>401</v>
      </c>
      <c r="D74" s="43" t="s">
        <v>402</v>
      </c>
    </row>
    <row r="75" spans="3:4">
      <c r="C75" s="43" t="s">
        <v>403</v>
      </c>
      <c r="D75" s="43" t="s">
        <v>404</v>
      </c>
    </row>
    <row r="76" spans="3:4">
      <c r="C76" s="43" t="s">
        <v>405</v>
      </c>
      <c r="D76" s="43" t="s">
        <v>406</v>
      </c>
    </row>
    <row r="77" spans="3:4">
      <c r="C77" s="43" t="s">
        <v>407</v>
      </c>
      <c r="D77" s="43" t="s">
        <v>408</v>
      </c>
    </row>
    <row r="78" spans="3:4">
      <c r="C78" s="43" t="s">
        <v>409</v>
      </c>
      <c r="D78" s="43" t="s">
        <v>410</v>
      </c>
    </row>
    <row r="79" spans="3:4">
      <c r="C79" s="43" t="s">
        <v>411</v>
      </c>
      <c r="D79" s="43" t="s">
        <v>412</v>
      </c>
    </row>
    <row r="80" spans="3:4">
      <c r="C80" s="43" t="s">
        <v>413</v>
      </c>
      <c r="D80" s="43" t="s">
        <v>414</v>
      </c>
    </row>
    <row r="81" spans="3:4">
      <c r="C81" s="43" t="s">
        <v>415</v>
      </c>
      <c r="D81" s="43" t="s">
        <v>416</v>
      </c>
    </row>
    <row r="82" spans="3:4">
      <c r="C82" s="43" t="s">
        <v>417</v>
      </c>
      <c r="D82" s="43" t="s">
        <v>418</v>
      </c>
    </row>
    <row r="83" spans="3:4">
      <c r="C83" s="43" t="s">
        <v>419</v>
      </c>
      <c r="D83" s="43" t="s">
        <v>420</v>
      </c>
    </row>
    <row r="84" spans="3:4">
      <c r="C84" s="43" t="s">
        <v>421</v>
      </c>
      <c r="D84" s="43" t="s">
        <v>422</v>
      </c>
    </row>
    <row r="85" spans="3:4">
      <c r="C85" s="43" t="s">
        <v>423</v>
      </c>
      <c r="D85" s="43" t="s">
        <v>424</v>
      </c>
    </row>
    <row r="86" spans="3:4">
      <c r="C86" s="43" t="s">
        <v>425</v>
      </c>
      <c r="D86" s="43" t="s">
        <v>426</v>
      </c>
    </row>
    <row r="87" spans="3:4">
      <c r="C87" s="43" t="s">
        <v>427</v>
      </c>
      <c r="D87" s="43" t="s">
        <v>428</v>
      </c>
    </row>
    <row r="88" spans="3:4">
      <c r="C88" s="43" t="s">
        <v>429</v>
      </c>
      <c r="D88" s="43" t="s">
        <v>430</v>
      </c>
    </row>
    <row r="89" spans="3:4">
      <c r="C89" s="43" t="s">
        <v>431</v>
      </c>
      <c r="D89" s="43" t="s">
        <v>432</v>
      </c>
    </row>
    <row r="90" spans="3:4">
      <c r="C90" s="43" t="s">
        <v>433</v>
      </c>
      <c r="D90" s="43" t="s">
        <v>434</v>
      </c>
    </row>
    <row r="91" spans="3:4">
      <c r="C91" s="43" t="s">
        <v>435</v>
      </c>
      <c r="D91" s="43" t="s">
        <v>436</v>
      </c>
    </row>
    <row r="92" spans="3:4">
      <c r="C92" s="43" t="s">
        <v>437</v>
      </c>
      <c r="D92" s="43" t="s">
        <v>438</v>
      </c>
    </row>
    <row r="93" spans="3:4">
      <c r="C93" s="43" t="s">
        <v>439</v>
      </c>
      <c r="D93" s="43" t="s">
        <v>440</v>
      </c>
    </row>
    <row r="94" spans="3:4">
      <c r="C94" s="43" t="s">
        <v>441</v>
      </c>
      <c r="D94" s="43" t="s">
        <v>442</v>
      </c>
    </row>
    <row r="95" spans="3:4">
      <c r="C95" s="43" t="s">
        <v>443</v>
      </c>
      <c r="D95" s="43" t="s">
        <v>444</v>
      </c>
    </row>
    <row r="96" spans="3:4">
      <c r="C96" s="43" t="s">
        <v>445</v>
      </c>
      <c r="D96" s="43" t="s">
        <v>446</v>
      </c>
    </row>
    <row r="97" spans="3:4">
      <c r="C97" s="43" t="s">
        <v>447</v>
      </c>
      <c r="D97" s="43" t="s">
        <v>448</v>
      </c>
    </row>
    <row r="98" spans="3:4">
      <c r="C98" s="43" t="s">
        <v>449</v>
      </c>
      <c r="D98" s="43" t="s">
        <v>450</v>
      </c>
    </row>
    <row r="99" spans="3:4">
      <c r="C99" s="43" t="s">
        <v>451</v>
      </c>
      <c r="D99" s="43" t="s">
        <v>452</v>
      </c>
    </row>
    <row r="100" spans="3:4">
      <c r="C100" s="43" t="s">
        <v>453</v>
      </c>
      <c r="D100" s="43" t="s">
        <v>454</v>
      </c>
    </row>
    <row r="101" spans="3:4">
      <c r="C101" s="43" t="s">
        <v>455</v>
      </c>
      <c r="D101" s="43" t="s">
        <v>456</v>
      </c>
    </row>
    <row r="102" spans="3:4">
      <c r="C102" s="43" t="s">
        <v>457</v>
      </c>
      <c r="D102" s="43" t="s">
        <v>458</v>
      </c>
    </row>
    <row r="103" spans="3:4">
      <c r="C103" s="43" t="s">
        <v>459</v>
      </c>
      <c r="D103" s="43" t="s">
        <v>460</v>
      </c>
    </row>
    <row r="104" spans="3:4">
      <c r="C104" s="43" t="s">
        <v>461</v>
      </c>
      <c r="D104" s="43" t="s">
        <v>462</v>
      </c>
    </row>
    <row r="105" spans="3:4">
      <c r="C105" s="43" t="s">
        <v>463</v>
      </c>
      <c r="D105" s="43" t="s">
        <v>464</v>
      </c>
    </row>
    <row r="106" spans="3:4">
      <c r="C106" s="43" t="s">
        <v>465</v>
      </c>
      <c r="D106" s="43" t="s">
        <v>466</v>
      </c>
    </row>
    <row r="107" spans="3:4">
      <c r="C107" s="43" t="s">
        <v>467</v>
      </c>
      <c r="D107" s="43" t="s">
        <v>468</v>
      </c>
    </row>
    <row r="108" spans="3:4">
      <c r="C108" s="43" t="s">
        <v>469</v>
      </c>
      <c r="D108" s="43" t="s">
        <v>470</v>
      </c>
    </row>
    <row r="109" spans="3:4">
      <c r="C109" s="43" t="s">
        <v>471</v>
      </c>
      <c r="D109" s="43" t="s">
        <v>472</v>
      </c>
    </row>
    <row r="110" spans="3:4">
      <c r="C110" s="43" t="s">
        <v>473</v>
      </c>
      <c r="D110" s="43" t="s">
        <v>474</v>
      </c>
    </row>
    <row r="111" spans="3:4">
      <c r="C111" s="43" t="s">
        <v>475</v>
      </c>
      <c r="D111" s="43" t="s">
        <v>476</v>
      </c>
    </row>
    <row r="112" spans="3:4">
      <c r="C112" s="43" t="s">
        <v>477</v>
      </c>
      <c r="D112" s="43" t="s">
        <v>478</v>
      </c>
    </row>
    <row r="113" spans="3:4">
      <c r="C113" s="43" t="s">
        <v>479</v>
      </c>
      <c r="D113" s="43" t="s">
        <v>480</v>
      </c>
    </row>
    <row r="114" spans="3:4">
      <c r="C114" s="43" t="s">
        <v>481</v>
      </c>
      <c r="D114" s="43" t="s">
        <v>482</v>
      </c>
    </row>
    <row r="115" spans="3:4">
      <c r="C115" s="43" t="s">
        <v>483</v>
      </c>
      <c r="D115" s="43" t="s">
        <v>484</v>
      </c>
    </row>
    <row r="116" spans="3:4">
      <c r="C116" s="43" t="s">
        <v>485</v>
      </c>
      <c r="D116" s="43" t="s">
        <v>486</v>
      </c>
    </row>
    <row r="117" spans="3:4">
      <c r="C117" s="43" t="s">
        <v>487</v>
      </c>
      <c r="D117" s="43" t="s">
        <v>488</v>
      </c>
    </row>
    <row r="118" spans="3:4">
      <c r="C118" s="43" t="s">
        <v>489</v>
      </c>
      <c r="D118" s="43" t="s">
        <v>490</v>
      </c>
    </row>
    <row r="119" spans="3:4">
      <c r="C119" s="43" t="s">
        <v>491</v>
      </c>
      <c r="D119" s="43" t="s">
        <v>492</v>
      </c>
    </row>
    <row r="120" spans="3:4">
      <c r="C120" s="43" t="s">
        <v>493</v>
      </c>
      <c r="D120" s="43" t="s">
        <v>494</v>
      </c>
    </row>
    <row r="121" spans="3:4">
      <c r="C121" s="43" t="s">
        <v>495</v>
      </c>
      <c r="D121" s="43" t="s">
        <v>496</v>
      </c>
    </row>
    <row r="122" spans="3:4">
      <c r="C122" s="43" t="s">
        <v>497</v>
      </c>
      <c r="D122" s="43" t="s">
        <v>498</v>
      </c>
    </row>
    <row r="123" spans="3:4">
      <c r="C123" s="43" t="s">
        <v>499</v>
      </c>
      <c r="D123" s="43" t="s">
        <v>500</v>
      </c>
    </row>
    <row r="124" spans="3:4">
      <c r="C124" s="43" t="s">
        <v>501</v>
      </c>
      <c r="D124" s="43" t="s">
        <v>502</v>
      </c>
    </row>
    <row r="125" spans="3:4">
      <c r="C125" s="43" t="s">
        <v>503</v>
      </c>
      <c r="D125" s="43" t="s">
        <v>504</v>
      </c>
    </row>
    <row r="126" spans="3:4">
      <c r="C126" s="43" t="s">
        <v>505</v>
      </c>
      <c r="D126" s="43" t="s">
        <v>506</v>
      </c>
    </row>
    <row r="127" spans="3:4">
      <c r="C127" s="43" t="s">
        <v>507</v>
      </c>
      <c r="D127" s="43" t="s">
        <v>508</v>
      </c>
    </row>
    <row r="128" spans="3:4">
      <c r="C128" s="43" t="s">
        <v>509</v>
      </c>
      <c r="D128" s="43" t="s">
        <v>510</v>
      </c>
    </row>
    <row r="129" spans="3:4">
      <c r="C129" s="43" t="s">
        <v>511</v>
      </c>
      <c r="D129" s="43" t="s">
        <v>512</v>
      </c>
    </row>
    <row r="130" spans="3:4">
      <c r="C130" s="43" t="s">
        <v>513</v>
      </c>
      <c r="D130" s="43" t="s">
        <v>514</v>
      </c>
    </row>
    <row r="131" spans="3:4">
      <c r="C131" s="43" t="s">
        <v>515</v>
      </c>
      <c r="D131" s="43" t="s">
        <v>516</v>
      </c>
    </row>
    <row r="132" spans="3:4">
      <c r="C132" s="43" t="s">
        <v>517</v>
      </c>
      <c r="D132" s="43" t="s">
        <v>518</v>
      </c>
    </row>
    <row r="133" spans="3:4">
      <c r="C133" s="43" t="s">
        <v>519</v>
      </c>
      <c r="D133" s="43" t="s">
        <v>520</v>
      </c>
    </row>
    <row r="134" spans="3:4">
      <c r="C134" s="43" t="s">
        <v>521</v>
      </c>
      <c r="D134" s="43" t="s">
        <v>522</v>
      </c>
    </row>
    <row r="135" spans="3:4">
      <c r="C135" s="43" t="s">
        <v>523</v>
      </c>
      <c r="D135" s="43" t="s">
        <v>524</v>
      </c>
    </row>
    <row r="136" spans="3:4">
      <c r="C136" s="43" t="s">
        <v>525</v>
      </c>
      <c r="D136" s="43" t="s">
        <v>526</v>
      </c>
    </row>
    <row r="137" spans="3:4">
      <c r="C137" s="43" t="s">
        <v>527</v>
      </c>
      <c r="D137" s="43" t="s">
        <v>528</v>
      </c>
    </row>
    <row r="138" spans="3:4">
      <c r="C138" s="43" t="s">
        <v>529</v>
      </c>
      <c r="D138" s="43" t="s">
        <v>530</v>
      </c>
    </row>
    <row r="139" spans="3:4">
      <c r="C139" s="43" t="s">
        <v>531</v>
      </c>
      <c r="D139" s="43" t="s">
        <v>532</v>
      </c>
    </row>
    <row r="140" spans="3:4">
      <c r="C140" s="43" t="s">
        <v>533</v>
      </c>
      <c r="D140" s="43" t="s">
        <v>534</v>
      </c>
    </row>
    <row r="141" spans="3:4">
      <c r="C141" s="43" t="s">
        <v>535</v>
      </c>
      <c r="D141" s="43" t="s">
        <v>536</v>
      </c>
    </row>
    <row r="142" spans="3:4">
      <c r="C142" s="43" t="s">
        <v>537</v>
      </c>
      <c r="D142" s="43" t="s">
        <v>538</v>
      </c>
    </row>
    <row r="143" spans="3:4">
      <c r="C143" s="43" t="s">
        <v>539</v>
      </c>
      <c r="D143" s="43" t="s">
        <v>540</v>
      </c>
    </row>
    <row r="144" spans="3:4">
      <c r="C144" s="43" t="s">
        <v>541</v>
      </c>
      <c r="D144" s="43" t="s">
        <v>542</v>
      </c>
    </row>
    <row r="145" spans="3:4">
      <c r="C145" s="43" t="s">
        <v>543</v>
      </c>
      <c r="D145" s="43" t="s">
        <v>544</v>
      </c>
    </row>
    <row r="146" spans="3:4">
      <c r="C146" s="43" t="s">
        <v>545</v>
      </c>
      <c r="D146" s="43" t="s">
        <v>546</v>
      </c>
    </row>
    <row r="147" spans="3:4">
      <c r="C147" s="43" t="s">
        <v>547</v>
      </c>
      <c r="D147" s="43" t="s">
        <v>548</v>
      </c>
    </row>
    <row r="148" spans="3:4">
      <c r="C148" s="43" t="s">
        <v>549</v>
      </c>
      <c r="D148" s="43" t="s">
        <v>550</v>
      </c>
    </row>
    <row r="149" spans="3:4">
      <c r="C149" s="43" t="s">
        <v>551</v>
      </c>
      <c r="D149" s="43" t="s">
        <v>552</v>
      </c>
    </row>
    <row r="150" spans="3:4">
      <c r="C150" s="43" t="s">
        <v>553</v>
      </c>
      <c r="D150" s="43" t="s">
        <v>554</v>
      </c>
    </row>
    <row r="151" spans="3:4">
      <c r="C151" s="43" t="s">
        <v>555</v>
      </c>
      <c r="D151" s="43" t="s">
        <v>556</v>
      </c>
    </row>
    <row r="152" spans="3:4">
      <c r="C152" s="43" t="s">
        <v>557</v>
      </c>
      <c r="D152" s="43" t="s">
        <v>558</v>
      </c>
    </row>
    <row r="153" spans="3:4">
      <c r="C153" s="43" t="s">
        <v>559</v>
      </c>
      <c r="D153" s="43" t="s">
        <v>560</v>
      </c>
    </row>
    <row r="154" spans="3:4">
      <c r="C154" s="43" t="s">
        <v>561</v>
      </c>
      <c r="D154" s="43" t="s">
        <v>562</v>
      </c>
    </row>
    <row r="155" spans="3:4">
      <c r="C155" s="43" t="s">
        <v>563</v>
      </c>
      <c r="D155" s="43" t="s">
        <v>564</v>
      </c>
    </row>
    <row r="156" spans="3:4">
      <c r="C156" s="43" t="s">
        <v>565</v>
      </c>
      <c r="D156" s="43" t="s">
        <v>566</v>
      </c>
    </row>
    <row r="157" spans="3:4">
      <c r="C157" s="43" t="s">
        <v>567</v>
      </c>
      <c r="D157" s="43" t="s">
        <v>568</v>
      </c>
    </row>
    <row r="158" spans="3:4">
      <c r="C158" s="43" t="s">
        <v>569</v>
      </c>
      <c r="D158" s="43" t="s">
        <v>570</v>
      </c>
    </row>
    <row r="159" spans="3:4">
      <c r="C159" s="43" t="s">
        <v>5</v>
      </c>
      <c r="D159" s="43" t="s">
        <v>571</v>
      </c>
    </row>
    <row r="160" spans="3:4">
      <c r="C160" s="43" t="s">
        <v>572</v>
      </c>
      <c r="D160" s="43" t="s">
        <v>573</v>
      </c>
    </row>
    <row r="161" spans="3:4">
      <c r="C161" s="43" t="s">
        <v>574</v>
      </c>
      <c r="D161" s="43" t="s">
        <v>575</v>
      </c>
    </row>
    <row r="162" spans="3:4">
      <c r="C162" s="43" t="s">
        <v>576</v>
      </c>
      <c r="D162" s="43" t="s">
        <v>577</v>
      </c>
    </row>
    <row r="163" spans="3:4">
      <c r="C163" s="43" t="s">
        <v>578</v>
      </c>
      <c r="D163" s="43" t="s">
        <v>579</v>
      </c>
    </row>
    <row r="164" spans="3:4">
      <c r="C164" s="43" t="s">
        <v>580</v>
      </c>
      <c r="D164" s="43" t="s">
        <v>581</v>
      </c>
    </row>
    <row r="165" spans="3:4">
      <c r="C165" s="43" t="s">
        <v>582</v>
      </c>
      <c r="D165" s="43" t="s">
        <v>583</v>
      </c>
    </row>
    <row r="166" spans="3:4">
      <c r="C166" s="43" t="s">
        <v>584</v>
      </c>
      <c r="D166" s="43" t="s">
        <v>585</v>
      </c>
    </row>
    <row r="167" spans="3:4">
      <c r="C167" s="43" t="s">
        <v>586</v>
      </c>
      <c r="D167" s="43" t="s">
        <v>587</v>
      </c>
    </row>
    <row r="168" spans="3:4">
      <c r="C168" s="43" t="s">
        <v>588</v>
      </c>
      <c r="D168" s="43" t="s">
        <v>589</v>
      </c>
    </row>
    <row r="169" spans="3:4">
      <c r="C169" s="43" t="s">
        <v>590</v>
      </c>
      <c r="D169" s="43" t="s">
        <v>324</v>
      </c>
    </row>
    <row r="170" spans="3:4">
      <c r="C170" s="43" t="s">
        <v>591</v>
      </c>
      <c r="D170" s="43" t="s">
        <v>592</v>
      </c>
    </row>
    <row r="171" spans="3:4">
      <c r="C171" s="43" t="s">
        <v>593</v>
      </c>
      <c r="D171" s="43" t="s">
        <v>594</v>
      </c>
    </row>
    <row r="172" spans="3:4">
      <c r="C172" s="43" t="s">
        <v>595</v>
      </c>
      <c r="D172" s="43" t="s">
        <v>596</v>
      </c>
    </row>
    <row r="173" spans="3:4">
      <c r="C173" s="43" t="s">
        <v>597</v>
      </c>
      <c r="D173" s="43" t="s">
        <v>598</v>
      </c>
    </row>
    <row r="174" spans="3:4">
      <c r="C174" s="43" t="s">
        <v>599</v>
      </c>
      <c r="D174" s="43" t="s">
        <v>600</v>
      </c>
    </row>
    <row r="175" spans="3:4">
      <c r="C175" s="43" t="s">
        <v>601</v>
      </c>
      <c r="D175" s="43" t="s">
        <v>602</v>
      </c>
    </row>
    <row r="176" spans="3:4">
      <c r="C176" s="43" t="s">
        <v>603</v>
      </c>
      <c r="D176" s="43" t="s">
        <v>604</v>
      </c>
    </row>
    <row r="177" spans="3:4">
      <c r="C177" s="43" t="s">
        <v>605</v>
      </c>
      <c r="D177" s="43" t="s">
        <v>606</v>
      </c>
    </row>
    <row r="178" spans="3:4">
      <c r="C178" s="43" t="s">
        <v>607</v>
      </c>
      <c r="D178" s="43" t="s">
        <v>608</v>
      </c>
    </row>
    <row r="179" spans="3:4">
      <c r="C179" s="43" t="s">
        <v>609</v>
      </c>
      <c r="D179" s="43" t="s">
        <v>610</v>
      </c>
    </row>
    <row r="180" spans="3:4">
      <c r="C180" s="43" t="s">
        <v>611</v>
      </c>
      <c r="D180" s="43" t="s">
        <v>612</v>
      </c>
    </row>
    <row r="181" spans="3:4">
      <c r="C181" s="43" t="s">
        <v>613</v>
      </c>
      <c r="D181" s="43" t="s">
        <v>614</v>
      </c>
    </row>
    <row r="182" spans="3:4">
      <c r="C182" s="43" t="s">
        <v>615</v>
      </c>
      <c r="D182" s="43" t="s">
        <v>616</v>
      </c>
    </row>
    <row r="183" spans="3:4">
      <c r="C183" s="43" t="s">
        <v>617</v>
      </c>
      <c r="D183" s="43" t="s">
        <v>618</v>
      </c>
    </row>
    <row r="184" spans="3:4">
      <c r="C184" s="43" t="s">
        <v>619</v>
      </c>
      <c r="D184" s="43" t="s">
        <v>620</v>
      </c>
    </row>
    <row r="185" spans="3:4">
      <c r="C185" s="43" t="s">
        <v>621</v>
      </c>
      <c r="D185" s="43" t="s">
        <v>622</v>
      </c>
    </row>
    <row r="186" spans="3:4">
      <c r="C186" s="43" t="s">
        <v>623</v>
      </c>
      <c r="D186" s="43" t="s">
        <v>624</v>
      </c>
    </row>
    <row r="187" spans="3:4">
      <c r="C187" s="43" t="s">
        <v>625</v>
      </c>
      <c r="D187" s="43" t="s">
        <v>626</v>
      </c>
    </row>
    <row r="188" spans="3:4">
      <c r="C188" s="43" t="s">
        <v>627</v>
      </c>
      <c r="D188" s="43" t="s">
        <v>628</v>
      </c>
    </row>
    <row r="189" spans="3:4">
      <c r="C189" s="43" t="s">
        <v>629</v>
      </c>
      <c r="D189" s="43" t="s">
        <v>406</v>
      </c>
    </row>
    <row r="190" spans="3:4">
      <c r="C190" s="43" t="s">
        <v>630</v>
      </c>
      <c r="D190" s="43" t="s">
        <v>631</v>
      </c>
    </row>
    <row r="191" spans="3:4">
      <c r="C191" s="43" t="s">
        <v>632</v>
      </c>
      <c r="D191" s="43" t="s">
        <v>633</v>
      </c>
    </row>
    <row r="192" spans="3:4">
      <c r="C192" s="43" t="s">
        <v>634</v>
      </c>
      <c r="D192" s="43" t="s">
        <v>635</v>
      </c>
    </row>
    <row r="193" spans="3:4">
      <c r="C193" s="43" t="s">
        <v>636</v>
      </c>
      <c r="D193" s="43" t="s">
        <v>637</v>
      </c>
    </row>
    <row r="194" spans="3:4">
      <c r="C194" s="43" t="s">
        <v>638</v>
      </c>
      <c r="D194" s="43" t="s">
        <v>639</v>
      </c>
    </row>
    <row r="195" spans="3:4">
      <c r="C195" s="43" t="s">
        <v>640</v>
      </c>
      <c r="D195" s="43" t="s">
        <v>641</v>
      </c>
    </row>
    <row r="196" spans="3:4">
      <c r="C196" s="43" t="s">
        <v>642</v>
      </c>
      <c r="D196" s="43" t="s">
        <v>643</v>
      </c>
    </row>
    <row r="197" spans="3:4">
      <c r="C197" s="43" t="s">
        <v>644</v>
      </c>
      <c r="D197" s="43" t="s">
        <v>645</v>
      </c>
    </row>
    <row r="198" spans="3:4">
      <c r="C198" s="43" t="s">
        <v>646</v>
      </c>
      <c r="D198" s="43" t="s">
        <v>647</v>
      </c>
    </row>
    <row r="199" spans="3:4">
      <c r="C199" s="43" t="s">
        <v>648</v>
      </c>
      <c r="D199" s="43" t="s">
        <v>649</v>
      </c>
    </row>
    <row r="200" spans="3:4">
      <c r="C200" s="43" t="s">
        <v>650</v>
      </c>
      <c r="D200" s="43" t="s">
        <v>651</v>
      </c>
    </row>
    <row r="201" spans="3:4">
      <c r="C201" s="43" t="s">
        <v>652</v>
      </c>
      <c r="D201" s="43" t="s">
        <v>653</v>
      </c>
    </row>
    <row r="202" spans="3:4">
      <c r="C202" s="43" t="s">
        <v>654</v>
      </c>
      <c r="D202" s="43" t="s">
        <v>655</v>
      </c>
    </row>
    <row r="203" spans="3:4">
      <c r="C203" s="43" t="s">
        <v>656</v>
      </c>
      <c r="D203" s="43" t="s">
        <v>657</v>
      </c>
    </row>
    <row r="204" spans="3:4">
      <c r="C204" s="43" t="s">
        <v>658</v>
      </c>
      <c r="D204" s="43" t="s">
        <v>659</v>
      </c>
    </row>
    <row r="205" spans="3:4">
      <c r="C205" s="43" t="s">
        <v>660</v>
      </c>
      <c r="D205" s="43" t="s">
        <v>661</v>
      </c>
    </row>
    <row r="206" spans="3:4">
      <c r="C206" s="43" t="s">
        <v>662</v>
      </c>
      <c r="D206" s="43" t="s">
        <v>663</v>
      </c>
    </row>
    <row r="207" spans="3:4">
      <c r="C207" s="43" t="s">
        <v>664</v>
      </c>
      <c r="D207" s="43" t="s">
        <v>665</v>
      </c>
    </row>
    <row r="208" spans="3:4">
      <c r="C208" s="43" t="s">
        <v>666</v>
      </c>
      <c r="D208" s="43" t="s">
        <v>667</v>
      </c>
    </row>
    <row r="209" spans="3:4">
      <c r="C209" s="43" t="s">
        <v>668</v>
      </c>
      <c r="D209" s="43" t="s">
        <v>669</v>
      </c>
    </row>
    <row r="210" spans="3:4">
      <c r="C210" s="43" t="s">
        <v>670</v>
      </c>
      <c r="D210" s="43" t="s">
        <v>671</v>
      </c>
    </row>
    <row r="211" spans="3:4">
      <c r="C211" s="43" t="s">
        <v>672</v>
      </c>
      <c r="D211" s="43" t="s">
        <v>673</v>
      </c>
    </row>
    <row r="212" spans="3:4">
      <c r="C212" s="43" t="s">
        <v>674</v>
      </c>
      <c r="D212" s="43" t="s">
        <v>675</v>
      </c>
    </row>
    <row r="213" spans="3:4">
      <c r="C213" s="43" t="s">
        <v>676</v>
      </c>
      <c r="D213" s="43" t="s">
        <v>677</v>
      </c>
    </row>
    <row r="214" spans="3:4">
      <c r="C214" s="43" t="s">
        <v>678</v>
      </c>
      <c r="D214" s="43" t="s">
        <v>679</v>
      </c>
    </row>
    <row r="215" spans="3:4">
      <c r="C215" s="43" t="s">
        <v>680</v>
      </c>
      <c r="D215" s="43" t="s">
        <v>681</v>
      </c>
    </row>
    <row r="216" spans="3:4">
      <c r="C216" s="43" t="s">
        <v>682</v>
      </c>
      <c r="D216" s="43" t="s">
        <v>683</v>
      </c>
    </row>
    <row r="217" spans="3:4">
      <c r="C217" s="43" t="s">
        <v>684</v>
      </c>
      <c r="D217" s="43" t="s">
        <v>685</v>
      </c>
    </row>
    <row r="218" spans="3:4">
      <c r="C218" s="43" t="s">
        <v>686</v>
      </c>
      <c r="D218" s="43" t="s">
        <v>687</v>
      </c>
    </row>
    <row r="219" spans="3:4">
      <c r="C219" s="43" t="s">
        <v>688</v>
      </c>
      <c r="D219" s="43" t="s">
        <v>689</v>
      </c>
    </row>
    <row r="220" spans="3:4">
      <c r="C220" s="43" t="s">
        <v>690</v>
      </c>
      <c r="D220" s="43" t="s">
        <v>691</v>
      </c>
    </row>
    <row r="221" spans="3:4">
      <c r="C221" s="43" t="s">
        <v>692</v>
      </c>
      <c r="D221" s="43" t="s">
        <v>693</v>
      </c>
    </row>
    <row r="222" spans="3:4">
      <c r="C222" s="43" t="s">
        <v>694</v>
      </c>
      <c r="D222" s="43" t="s">
        <v>695</v>
      </c>
    </row>
    <row r="223" spans="3:4">
      <c r="C223" s="43" t="s">
        <v>696</v>
      </c>
      <c r="D223" s="43" t="s">
        <v>697</v>
      </c>
    </row>
    <row r="224" spans="3:4">
      <c r="C224" s="43" t="s">
        <v>698</v>
      </c>
      <c r="D224" s="43" t="s">
        <v>699</v>
      </c>
    </row>
    <row r="225" spans="3:4">
      <c r="C225" s="43" t="s">
        <v>700</v>
      </c>
      <c r="D225" s="43" t="s">
        <v>701</v>
      </c>
    </row>
    <row r="226" spans="3:4">
      <c r="C226" s="43" t="s">
        <v>702</v>
      </c>
      <c r="D226" s="43" t="s">
        <v>703</v>
      </c>
    </row>
    <row r="227" spans="3:4">
      <c r="C227" s="43" t="s">
        <v>704</v>
      </c>
      <c r="D227" s="43" t="s">
        <v>705</v>
      </c>
    </row>
    <row r="228" spans="3:4">
      <c r="C228" s="43" t="s">
        <v>706</v>
      </c>
      <c r="D228" s="43" t="s">
        <v>707</v>
      </c>
    </row>
    <row r="229" spans="3:4">
      <c r="C229" s="43" t="s">
        <v>708</v>
      </c>
      <c r="D229" s="43" t="s">
        <v>709</v>
      </c>
    </row>
    <row r="230" spans="3:4">
      <c r="C230" s="43" t="s">
        <v>710</v>
      </c>
      <c r="D230" s="43" t="s">
        <v>711</v>
      </c>
    </row>
    <row r="231" spans="3:4">
      <c r="C231" s="43" t="s">
        <v>712</v>
      </c>
      <c r="D231" s="43" t="s">
        <v>713</v>
      </c>
    </row>
    <row r="232" spans="3:4">
      <c r="C232" s="43" t="s">
        <v>714</v>
      </c>
      <c r="D232" s="43" t="s">
        <v>715</v>
      </c>
    </row>
    <row r="233" spans="3:4">
      <c r="C233" s="43" t="s">
        <v>716</v>
      </c>
      <c r="D233" s="43" t="s">
        <v>717</v>
      </c>
    </row>
    <row r="234" spans="3:4">
      <c r="C234" s="43" t="s">
        <v>718</v>
      </c>
      <c r="D234" s="43" t="s">
        <v>719</v>
      </c>
    </row>
    <row r="235" spans="3:4">
      <c r="C235" s="43" t="s">
        <v>720</v>
      </c>
      <c r="D235" s="43" t="s">
        <v>721</v>
      </c>
    </row>
    <row r="236" spans="3:4">
      <c r="C236" s="43" t="s">
        <v>722</v>
      </c>
      <c r="D236" s="43" t="s">
        <v>723</v>
      </c>
    </row>
    <row r="237" spans="3:4">
      <c r="C237" s="43" t="s">
        <v>724</v>
      </c>
      <c r="D237" s="43" t="s">
        <v>725</v>
      </c>
    </row>
    <row r="238" spans="3:4">
      <c r="C238" s="43" t="s">
        <v>726</v>
      </c>
      <c r="D238" s="43" t="s">
        <v>727</v>
      </c>
    </row>
    <row r="239" spans="3:4">
      <c r="C239" s="43" t="s">
        <v>728</v>
      </c>
      <c r="D239" s="43" t="s">
        <v>729</v>
      </c>
    </row>
    <row r="240" spans="3:4">
      <c r="C240" s="43" t="s">
        <v>730</v>
      </c>
      <c r="D240" s="43" t="s">
        <v>731</v>
      </c>
    </row>
    <row r="241" spans="3:4">
      <c r="C241" s="43" t="s">
        <v>732</v>
      </c>
      <c r="D241" s="43" t="s">
        <v>733</v>
      </c>
    </row>
    <row r="242" spans="3:4">
      <c r="C242" s="43" t="s">
        <v>734</v>
      </c>
      <c r="D242" s="43" t="s">
        <v>735</v>
      </c>
    </row>
    <row r="243" spans="3:4">
      <c r="C243" s="43" t="s">
        <v>736</v>
      </c>
      <c r="D243" s="43" t="s">
        <v>737</v>
      </c>
    </row>
    <row r="244" spans="3:4">
      <c r="C244" s="43" t="s">
        <v>738</v>
      </c>
      <c r="D244" s="43" t="s">
        <v>739</v>
      </c>
    </row>
    <row r="245" spans="3:4">
      <c r="C245" s="43" t="s">
        <v>740</v>
      </c>
      <c r="D245" s="43" t="s">
        <v>741</v>
      </c>
    </row>
    <row r="246" spans="3:4">
      <c r="C246" s="43" t="s">
        <v>742</v>
      </c>
      <c r="D246" s="43" t="s">
        <v>743</v>
      </c>
    </row>
    <row r="247" spans="3:4">
      <c r="C247" s="43" t="s">
        <v>744</v>
      </c>
      <c r="D247" s="43" t="s">
        <v>745</v>
      </c>
    </row>
    <row r="248" spans="3:4">
      <c r="C248" s="43" t="s">
        <v>746</v>
      </c>
      <c r="D248" s="43" t="s">
        <v>747</v>
      </c>
    </row>
    <row r="249" spans="3:4">
      <c r="C249" s="43" t="s">
        <v>748</v>
      </c>
      <c r="D249" s="43" t="s">
        <v>749</v>
      </c>
    </row>
    <row r="250" spans="3:4">
      <c r="C250" s="43" t="s">
        <v>750</v>
      </c>
      <c r="D250" s="43" t="s">
        <v>751</v>
      </c>
    </row>
    <row r="251" spans="3:4">
      <c r="C251" s="43" t="s">
        <v>752</v>
      </c>
      <c r="D251" s="43" t="s">
        <v>753</v>
      </c>
    </row>
    <row r="252" spans="3:4">
      <c r="C252" s="43" t="s">
        <v>754</v>
      </c>
      <c r="D252" s="43" t="s">
        <v>755</v>
      </c>
    </row>
    <row r="253" spans="3:4">
      <c r="C253" s="43" t="s">
        <v>756</v>
      </c>
      <c r="D253" s="43" t="s">
        <v>757</v>
      </c>
    </row>
    <row r="254" spans="3:4">
      <c r="C254" s="43" t="s">
        <v>758</v>
      </c>
      <c r="D254" s="43" t="s">
        <v>759</v>
      </c>
    </row>
    <row r="255" spans="3:4">
      <c r="C255" s="43"/>
      <c r="D255" s="43"/>
    </row>
    <row r="256" spans="3:4">
      <c r="C256" s="43"/>
      <c r="D256" s="43"/>
    </row>
    <row r="257" spans="3:4">
      <c r="C257" s="43"/>
      <c r="D257" s="43"/>
    </row>
    <row r="258" spans="3:4">
      <c r="C258" s="43"/>
      <c r="D258" s="43"/>
    </row>
    <row r="259" spans="3:4">
      <c r="C259" s="43"/>
      <c r="D259" s="43"/>
    </row>
    <row r="260" spans="3:4">
      <c r="C260" s="43"/>
      <c r="D260" s="43"/>
    </row>
    <row r="261" spans="3:4">
      <c r="C261" s="43"/>
      <c r="D261" s="43"/>
    </row>
    <row r="262" spans="3:4">
      <c r="C262" s="43"/>
      <c r="D262" s="43"/>
    </row>
    <row r="263" spans="3:4">
      <c r="C263" s="43"/>
      <c r="D263" s="43"/>
    </row>
    <row r="264" spans="3:4">
      <c r="C264" s="43"/>
      <c r="D264" s="43"/>
    </row>
    <row r="265" spans="3:4">
      <c r="C265" s="43"/>
      <c r="D265" s="43"/>
    </row>
    <row r="266" spans="3:4">
      <c r="C266" s="43"/>
      <c r="D266" s="43"/>
    </row>
    <row r="267" spans="3:4">
      <c r="C267" s="43"/>
      <c r="D267" s="43"/>
    </row>
    <row r="268" spans="3:4">
      <c r="C268" s="43"/>
      <c r="D268" s="43"/>
    </row>
    <row r="269" spans="3:4">
      <c r="C269" s="43"/>
      <c r="D269" s="43"/>
    </row>
    <row r="270" spans="3:4">
      <c r="C270" s="43"/>
      <c r="D270" s="43"/>
    </row>
    <row r="271" spans="3:4">
      <c r="C271" s="43"/>
      <c r="D271" s="43"/>
    </row>
    <row r="272" spans="3:4">
      <c r="C272" s="43"/>
      <c r="D272" s="43"/>
    </row>
    <row r="273" spans="3:4">
      <c r="C273" s="43"/>
      <c r="D273" s="43"/>
    </row>
    <row r="274" spans="3:4">
      <c r="C274" s="43"/>
      <c r="D274" s="43"/>
    </row>
    <row r="275" spans="3:4">
      <c r="C275" s="43"/>
      <c r="D275" s="43"/>
    </row>
    <row r="276" spans="3:4">
      <c r="C276" s="43"/>
      <c r="D276" s="43"/>
    </row>
    <row r="277" spans="3:4">
      <c r="C277" s="43"/>
      <c r="D277" s="43"/>
    </row>
    <row r="278" spans="3:4">
      <c r="C278" s="43"/>
      <c r="D278" s="43"/>
    </row>
    <row r="279" spans="3:4">
      <c r="C279" s="43"/>
      <c r="D279" s="43"/>
    </row>
    <row r="280" spans="3:4">
      <c r="C280" s="43"/>
      <c r="D280" s="43"/>
    </row>
    <row r="281" spans="3:4">
      <c r="C281" s="43"/>
      <c r="D281" s="43"/>
    </row>
    <row r="282" spans="3:4">
      <c r="C282" s="43"/>
      <c r="D282" s="43"/>
    </row>
    <row r="283" spans="3:4">
      <c r="C283" s="43"/>
      <c r="D283" s="43"/>
    </row>
    <row r="284" spans="3:4">
      <c r="C284" s="43"/>
      <c r="D284" s="43"/>
    </row>
    <row r="285" spans="3:4">
      <c r="C285" s="43"/>
      <c r="D285" s="43"/>
    </row>
    <row r="286" spans="3:4">
      <c r="C286" s="43"/>
      <c r="D286" s="43"/>
    </row>
    <row r="287" spans="3:4">
      <c r="C287" s="43"/>
      <c r="D287" s="43"/>
    </row>
    <row r="288" spans="3:4">
      <c r="C288" s="43"/>
      <c r="D288" s="43"/>
    </row>
    <row r="289" spans="3:4">
      <c r="C289" s="43"/>
      <c r="D289" s="43"/>
    </row>
    <row r="290" spans="3:4">
      <c r="C290" s="43"/>
      <c r="D290" s="43"/>
    </row>
    <row r="291" spans="3:4">
      <c r="C291" s="43"/>
      <c r="D291" s="43"/>
    </row>
    <row r="292" spans="3:4">
      <c r="C292" s="43"/>
      <c r="D292" s="43"/>
    </row>
    <row r="293" spans="3:4">
      <c r="C293" s="43"/>
      <c r="D293" s="43"/>
    </row>
    <row r="294" spans="3:4">
      <c r="C294" s="43"/>
      <c r="D294" s="43"/>
    </row>
    <row r="295" spans="3:4">
      <c r="C295" s="43"/>
      <c r="D295" s="43"/>
    </row>
    <row r="296" spans="3:4">
      <c r="C296" s="43"/>
      <c r="D296" s="43"/>
    </row>
    <row r="297" spans="3:4">
      <c r="C297" s="43"/>
      <c r="D297" s="43"/>
    </row>
    <row r="298" spans="3:4">
      <c r="C298" s="43"/>
      <c r="D298" s="43"/>
    </row>
    <row r="299" spans="3:4">
      <c r="C299" s="43"/>
      <c r="D299" s="43"/>
    </row>
    <row r="300" spans="3:4">
      <c r="C300" s="43"/>
      <c r="D300" s="43"/>
    </row>
    <row r="301" spans="3:4">
      <c r="C301" s="43"/>
      <c r="D301" s="43"/>
    </row>
    <row r="302" spans="3:4">
      <c r="C302" s="43"/>
      <c r="D302" s="43"/>
    </row>
    <row r="303" spans="3:4">
      <c r="C303" s="43"/>
      <c r="D303" s="43"/>
    </row>
    <row r="304" spans="3:4">
      <c r="C304" s="43"/>
      <c r="D304" s="43"/>
    </row>
    <row r="305" spans="3:4">
      <c r="C305" s="43"/>
      <c r="D305" s="43"/>
    </row>
    <row r="306" spans="3:4">
      <c r="C306" s="43"/>
      <c r="D306" s="43"/>
    </row>
    <row r="307" spans="3:4">
      <c r="C307" s="43"/>
      <c r="D307" s="43"/>
    </row>
    <row r="308" spans="3:4">
      <c r="C308" s="43"/>
      <c r="D308" s="43"/>
    </row>
    <row r="309" spans="3:4">
      <c r="C309" s="43"/>
      <c r="D309" s="43"/>
    </row>
    <row r="310" spans="3:4">
      <c r="C310" s="43"/>
      <c r="D310" s="43"/>
    </row>
    <row r="311" spans="3:4">
      <c r="C311" s="43"/>
      <c r="D311" s="43"/>
    </row>
    <row r="312" spans="3:4">
      <c r="C312" s="43"/>
      <c r="D312" s="43"/>
    </row>
    <row r="313" spans="3:4">
      <c r="C313" s="43"/>
      <c r="D313" s="43"/>
    </row>
    <row r="314" spans="3:4">
      <c r="C314" s="43"/>
      <c r="D314" s="43"/>
    </row>
    <row r="315" spans="3:4">
      <c r="C315" s="43"/>
      <c r="D315" s="43"/>
    </row>
    <row r="316" spans="3:4">
      <c r="C316" s="43"/>
      <c r="D316" s="43"/>
    </row>
    <row r="317" spans="3:4">
      <c r="C317" s="43"/>
      <c r="D317" s="43"/>
    </row>
    <row r="318" spans="3:4">
      <c r="C318" s="43"/>
      <c r="D318" s="43"/>
    </row>
    <row r="319" spans="3:4">
      <c r="C319" s="43"/>
      <c r="D319" s="43"/>
    </row>
    <row r="320" spans="3:4">
      <c r="C320" s="43"/>
      <c r="D320" s="43"/>
    </row>
    <row r="321" spans="3:4">
      <c r="C321" s="43"/>
      <c r="D321" s="43"/>
    </row>
    <row r="322" spans="3:4">
      <c r="C322" s="43"/>
      <c r="D322" s="43"/>
    </row>
    <row r="323" spans="3:4">
      <c r="C323" s="43"/>
      <c r="D323" s="43"/>
    </row>
    <row r="324" spans="3:4">
      <c r="C324" s="43"/>
      <c r="D324" s="43"/>
    </row>
    <row r="325" spans="3:4">
      <c r="C325" s="43"/>
      <c r="D325" s="43"/>
    </row>
    <row r="326" spans="3:4">
      <c r="C326" s="43"/>
      <c r="D326" s="43"/>
    </row>
    <row r="327" spans="3:4">
      <c r="C327" s="43"/>
      <c r="D327" s="43"/>
    </row>
    <row r="328" spans="3:4">
      <c r="C328" s="43"/>
      <c r="D328" s="43"/>
    </row>
    <row r="329" spans="3:4">
      <c r="C329" s="43"/>
      <c r="D329" s="43"/>
    </row>
    <row r="330" spans="3:4">
      <c r="C330" s="43"/>
      <c r="D330" s="43"/>
    </row>
    <row r="331" spans="3:4">
      <c r="C331" s="43"/>
      <c r="D331" s="43"/>
    </row>
    <row r="332" spans="3:4">
      <c r="C332" s="43"/>
      <c r="D332" s="43"/>
    </row>
    <row r="333" spans="3:4">
      <c r="C333" s="43"/>
      <c r="D333" s="43"/>
    </row>
    <row r="334" spans="3:4">
      <c r="C334" s="43"/>
      <c r="D334" s="43"/>
    </row>
    <row r="335" spans="3:4">
      <c r="C335" s="43"/>
      <c r="D335" s="43"/>
    </row>
    <row r="336" spans="3:4">
      <c r="C336" s="43"/>
      <c r="D336" s="43"/>
    </row>
    <row r="337" spans="3:4">
      <c r="C337" s="43"/>
      <c r="D337" s="43"/>
    </row>
    <row r="338" spans="3:4">
      <c r="C338" s="43"/>
      <c r="D338" s="43"/>
    </row>
    <row r="339" spans="3:4">
      <c r="C339" s="43"/>
      <c r="D339" s="43"/>
    </row>
    <row r="340" spans="3:4">
      <c r="C340" s="43"/>
      <c r="D340" s="43"/>
    </row>
    <row r="341" spans="3:4">
      <c r="C341" s="43"/>
      <c r="D341" s="43"/>
    </row>
    <row r="342" spans="3:4">
      <c r="C342" s="43"/>
      <c r="D342" s="43"/>
    </row>
    <row r="343" spans="3:4">
      <c r="C343" s="43"/>
      <c r="D343" s="43"/>
    </row>
    <row r="344" spans="3:4">
      <c r="C344" s="43"/>
      <c r="D344" s="43"/>
    </row>
    <row r="345" spans="3:4">
      <c r="C345" s="43"/>
      <c r="D345" s="43"/>
    </row>
    <row r="346" spans="3:4">
      <c r="C346" s="43"/>
      <c r="D346" s="43"/>
    </row>
    <row r="347" spans="3:4">
      <c r="C347" s="43"/>
      <c r="D347" s="43"/>
    </row>
    <row r="348" spans="3:4">
      <c r="C348" s="43"/>
      <c r="D348" s="43"/>
    </row>
    <row r="349" spans="3:4">
      <c r="C349" s="43"/>
      <c r="D349" s="43"/>
    </row>
    <row r="350" spans="3:4">
      <c r="C350" s="43"/>
      <c r="D350" s="43"/>
    </row>
    <row r="351" spans="3:4">
      <c r="C351" s="43"/>
      <c r="D351" s="43"/>
    </row>
    <row r="352" spans="3:4">
      <c r="C352" s="43"/>
      <c r="D352" s="43"/>
    </row>
    <row r="353" spans="3:4">
      <c r="C353" s="43"/>
      <c r="D353" s="43"/>
    </row>
    <row r="354" spans="3:4">
      <c r="C354" s="43"/>
      <c r="D354" s="43"/>
    </row>
    <row r="355" spans="3:4">
      <c r="C355" s="43"/>
      <c r="D355" s="43"/>
    </row>
    <row r="356" spans="3:4">
      <c r="C356" s="43"/>
      <c r="D356" s="43"/>
    </row>
    <row r="357" spans="3:4">
      <c r="C357" s="43"/>
      <c r="D357" s="43"/>
    </row>
    <row r="358" spans="3:4">
      <c r="C358" s="43"/>
      <c r="D358" s="43"/>
    </row>
    <row r="359" spans="3:4">
      <c r="C359" s="43"/>
      <c r="D359" s="43"/>
    </row>
    <row r="360" spans="3:4">
      <c r="C360" s="43"/>
      <c r="D360" s="43"/>
    </row>
    <row r="361" spans="3:4">
      <c r="C361" s="43"/>
      <c r="D361" s="43"/>
    </row>
    <row r="362" spans="3:4">
      <c r="C362" s="43"/>
      <c r="D362" s="43"/>
    </row>
    <row r="363" spans="3:4">
      <c r="C363" s="43"/>
      <c r="D363" s="43"/>
    </row>
    <row r="364" spans="3:4">
      <c r="C364" s="43"/>
      <c r="D364" s="43"/>
    </row>
    <row r="365" spans="3:4">
      <c r="C365" s="43"/>
      <c r="D365" s="43"/>
    </row>
    <row r="366" spans="3:4">
      <c r="C366" s="43"/>
      <c r="D366" s="43"/>
    </row>
    <row r="367" spans="3:4">
      <c r="C367" s="43"/>
      <c r="D367" s="43"/>
    </row>
    <row r="368" spans="3:4">
      <c r="C368" s="43"/>
      <c r="D368" s="43"/>
    </row>
    <row r="369" spans="3:4">
      <c r="C369" s="43"/>
      <c r="D369" s="43"/>
    </row>
    <row r="370" spans="3:4">
      <c r="C370" s="43"/>
      <c r="D370" s="43"/>
    </row>
    <row r="371" spans="3:4">
      <c r="C371" s="43"/>
      <c r="D371" s="43"/>
    </row>
    <row r="372" spans="3:4">
      <c r="C372" s="43"/>
      <c r="D372" s="43"/>
    </row>
    <row r="373" spans="3:4">
      <c r="C373" s="43"/>
      <c r="D373" s="43"/>
    </row>
    <row r="374" spans="3:4">
      <c r="C374" s="43"/>
      <c r="D374" s="43"/>
    </row>
    <row r="375" spans="3:4">
      <c r="C375" s="43"/>
      <c r="D375" s="43"/>
    </row>
    <row r="376" spans="3:4">
      <c r="C376" s="43"/>
      <c r="D376" s="43"/>
    </row>
    <row r="377" spans="3:4">
      <c r="C377" s="43"/>
      <c r="D377" s="43"/>
    </row>
    <row r="378" spans="3:4">
      <c r="C378" s="43"/>
      <c r="D378" s="43"/>
    </row>
    <row r="379" spans="3:4">
      <c r="C379" s="43"/>
      <c r="D379" s="43"/>
    </row>
    <row r="380" spans="3:4">
      <c r="C380" s="43"/>
      <c r="D380" s="43"/>
    </row>
    <row r="381" spans="3:4">
      <c r="C381" s="43"/>
      <c r="D381" s="43"/>
    </row>
    <row r="382" spans="3:4">
      <c r="C382" s="43"/>
      <c r="D382" s="43"/>
    </row>
    <row r="383" spans="3:4">
      <c r="C383" s="43"/>
      <c r="D383" s="43"/>
    </row>
    <row r="384" spans="3:4">
      <c r="C384" s="43"/>
      <c r="D384" s="43"/>
    </row>
    <row r="385" spans="3:4">
      <c r="C385" s="43"/>
      <c r="D385" s="43"/>
    </row>
    <row r="386" spans="3:4">
      <c r="C386" s="43"/>
      <c r="D386" s="43"/>
    </row>
    <row r="387" spans="3:4">
      <c r="C387" s="43"/>
      <c r="D387" s="43"/>
    </row>
    <row r="388" spans="3:4">
      <c r="C388" s="43"/>
      <c r="D388" s="43"/>
    </row>
    <row r="389" spans="3:4">
      <c r="C389" s="43"/>
      <c r="D389" s="43"/>
    </row>
    <row r="390" spans="3:4">
      <c r="C390" s="43"/>
      <c r="D390" s="43"/>
    </row>
    <row r="391" spans="3:4">
      <c r="C391" s="43"/>
      <c r="D391" s="43"/>
    </row>
    <row r="392" spans="3:4">
      <c r="C392" s="43"/>
      <c r="D392" s="43"/>
    </row>
    <row r="393" spans="3:4">
      <c r="C393" s="43"/>
      <c r="D393" s="43"/>
    </row>
    <row r="394" spans="3:4">
      <c r="C394" s="43"/>
      <c r="D394" s="43"/>
    </row>
    <row r="395" spans="3:4">
      <c r="C395" s="43"/>
      <c r="D395" s="43"/>
    </row>
    <row r="396" spans="3:4">
      <c r="C396" s="43"/>
      <c r="D396" s="43"/>
    </row>
    <row r="397" spans="3:4">
      <c r="C397" s="43"/>
      <c r="D397" s="43"/>
    </row>
    <row r="398" spans="3:4">
      <c r="C398" s="43"/>
      <c r="D398" s="43"/>
    </row>
    <row r="399" spans="3:4">
      <c r="C399" s="43"/>
      <c r="D399" s="43"/>
    </row>
    <row r="400" spans="3:4">
      <c r="C400" s="43"/>
      <c r="D400" s="43"/>
    </row>
    <row r="401" spans="3:4">
      <c r="C401" s="43"/>
      <c r="D401" s="43"/>
    </row>
    <row r="402" spans="3:4">
      <c r="C402" s="43"/>
      <c r="D402" s="43"/>
    </row>
    <row r="403" spans="3:4">
      <c r="C403" s="43"/>
      <c r="D403" s="43"/>
    </row>
    <row r="404" spans="3:4">
      <c r="C404" s="43"/>
      <c r="D404" s="43"/>
    </row>
    <row r="405" spans="3:4">
      <c r="C405" s="43"/>
      <c r="D405" s="43"/>
    </row>
    <row r="406" spans="3:4">
      <c r="C406" s="43"/>
      <c r="D406" s="43"/>
    </row>
    <row r="407" spans="3:4">
      <c r="C407" s="43"/>
      <c r="D407" s="43"/>
    </row>
    <row r="408" spans="3:4">
      <c r="C408" s="43"/>
      <c r="D408" s="43"/>
    </row>
    <row r="409" spans="3:4">
      <c r="C409" s="43"/>
      <c r="D409" s="43"/>
    </row>
    <row r="410" spans="3:4">
      <c r="C410" s="43"/>
      <c r="D410" s="43"/>
    </row>
    <row r="411" spans="3:4">
      <c r="C411" s="43"/>
      <c r="D411" s="43"/>
    </row>
    <row r="412" spans="3:4">
      <c r="C412" s="43"/>
      <c r="D412" s="43"/>
    </row>
    <row r="413" spans="3:4">
      <c r="C413" s="43"/>
      <c r="D413" s="43"/>
    </row>
    <row r="414" spans="3:4">
      <c r="C414" s="43"/>
      <c r="D414" s="43"/>
    </row>
    <row r="415" spans="3:4">
      <c r="C415" s="43"/>
      <c r="D415" s="43"/>
    </row>
    <row r="416" spans="3:4">
      <c r="C416" s="43"/>
      <c r="D416" s="43"/>
    </row>
    <row r="417" spans="3:4">
      <c r="C417" s="43"/>
      <c r="D417" s="43"/>
    </row>
    <row r="418" spans="3:4">
      <c r="C418" s="43"/>
      <c r="D418" s="43"/>
    </row>
    <row r="419" spans="3:4">
      <c r="C419" s="43"/>
      <c r="D419" s="43"/>
    </row>
    <row r="420" spans="3:4">
      <c r="C420" s="43"/>
      <c r="D420" s="43"/>
    </row>
    <row r="421" spans="3:4">
      <c r="C421" s="43"/>
      <c r="D421" s="43"/>
    </row>
    <row r="422" spans="3:4">
      <c r="C422" s="43"/>
      <c r="D422" s="43"/>
    </row>
    <row r="423" spans="3:4">
      <c r="C423" s="43"/>
      <c r="D423" s="43"/>
    </row>
    <row r="424" spans="3:4">
      <c r="C424" s="43"/>
      <c r="D424" s="43"/>
    </row>
    <row r="425" spans="3:4">
      <c r="C425" s="43"/>
      <c r="D425" s="43"/>
    </row>
    <row r="426" spans="3:4">
      <c r="C426" s="43"/>
      <c r="D426" s="43"/>
    </row>
    <row r="427" spans="3:4">
      <c r="C427" s="43"/>
      <c r="D427" s="43"/>
    </row>
    <row r="428" spans="3:4">
      <c r="C428" s="43"/>
      <c r="D428" s="43"/>
    </row>
    <row r="429" spans="3:4">
      <c r="C429" s="43"/>
      <c r="D429" s="43"/>
    </row>
    <row r="430" spans="3:4">
      <c r="C430" s="43"/>
      <c r="D430" s="43"/>
    </row>
    <row r="431" spans="3:4">
      <c r="C431" s="43"/>
      <c r="D431" s="43"/>
    </row>
    <row r="432" spans="3:4">
      <c r="C432" s="43"/>
      <c r="D432" s="43"/>
    </row>
    <row r="433" spans="3:4">
      <c r="C433" s="43"/>
      <c r="D433" s="43"/>
    </row>
    <row r="434" spans="3:4">
      <c r="C434" s="43"/>
      <c r="D434" s="43"/>
    </row>
    <row r="435" spans="3:4">
      <c r="C435" s="43"/>
      <c r="D435" s="43"/>
    </row>
    <row r="436" spans="3:4">
      <c r="C436" s="43"/>
      <c r="D436" s="43"/>
    </row>
    <row r="437" spans="3:4">
      <c r="C437" s="43"/>
      <c r="D437" s="43"/>
    </row>
    <row r="438" spans="3:4">
      <c r="C438" s="43"/>
      <c r="D438" s="43"/>
    </row>
    <row r="439" spans="3:4">
      <c r="C439" s="43"/>
      <c r="D439" s="43"/>
    </row>
    <row r="440" spans="3:4">
      <c r="C440" s="43"/>
      <c r="D440" s="43"/>
    </row>
    <row r="441" spans="3:4">
      <c r="C441" s="43"/>
      <c r="D441" s="43"/>
    </row>
    <row r="442" spans="3:4">
      <c r="C442" s="43"/>
      <c r="D442" s="43"/>
    </row>
    <row r="443" spans="3:4">
      <c r="C443" s="43"/>
      <c r="D443" s="43"/>
    </row>
    <row r="444" spans="3:4">
      <c r="C444" s="43"/>
      <c r="D444" s="43"/>
    </row>
    <row r="445" spans="3:4">
      <c r="C445" s="43"/>
      <c r="D445" s="43"/>
    </row>
    <row r="446" spans="3:4">
      <c r="C446" s="43"/>
      <c r="D446" s="43"/>
    </row>
    <row r="447" spans="3:4">
      <c r="C447" s="43"/>
      <c r="D447" s="43"/>
    </row>
    <row r="448" spans="3:4">
      <c r="C448" s="43"/>
      <c r="D448" s="43"/>
    </row>
    <row r="449" spans="3:4">
      <c r="C449" s="43"/>
      <c r="D449" s="43"/>
    </row>
    <row r="450" spans="3:4">
      <c r="C450" s="43"/>
      <c r="D450" s="43"/>
    </row>
    <row r="451" spans="3:4">
      <c r="C451" s="43"/>
      <c r="D451" s="43"/>
    </row>
    <row r="452" spans="3:4">
      <c r="C452" s="43"/>
      <c r="D452" s="43"/>
    </row>
    <row r="453" spans="3:4">
      <c r="C453" s="43"/>
      <c r="D453" s="43"/>
    </row>
    <row r="454" spans="3:4">
      <c r="C454" s="43"/>
      <c r="D454" s="43"/>
    </row>
    <row r="455" spans="3:4">
      <c r="C455" s="43"/>
      <c r="D455" s="43"/>
    </row>
    <row r="456" spans="3:4">
      <c r="C456" s="43"/>
      <c r="D456" s="43"/>
    </row>
    <row r="457" spans="3:4">
      <c r="C457" s="43"/>
      <c r="D457" s="43"/>
    </row>
    <row r="458" spans="3:4">
      <c r="C458" s="43"/>
      <c r="D458" s="43"/>
    </row>
    <row r="459" spans="3:4">
      <c r="C459" s="43"/>
      <c r="D459" s="43"/>
    </row>
    <row r="460" spans="3:4">
      <c r="C460" s="43"/>
      <c r="D460" s="43"/>
    </row>
    <row r="461" spans="3:4">
      <c r="C461" s="43"/>
      <c r="D461" s="43"/>
    </row>
    <row r="462" spans="3:4">
      <c r="C462" s="43"/>
      <c r="D462" s="43"/>
    </row>
    <row r="463" spans="3:4">
      <c r="C463" s="43"/>
      <c r="D463" s="43"/>
    </row>
    <row r="464" spans="3:4">
      <c r="C464" s="43"/>
      <c r="D464" s="43"/>
    </row>
    <row r="465" spans="3:4">
      <c r="C465" s="43"/>
      <c r="D465" s="43"/>
    </row>
    <row r="466" spans="3:4">
      <c r="C466" s="43"/>
      <c r="D466" s="43"/>
    </row>
    <row r="467" spans="3:4">
      <c r="C467" s="43"/>
      <c r="D467" s="43"/>
    </row>
    <row r="468" spans="3:4">
      <c r="C468" s="43"/>
      <c r="D468" s="43"/>
    </row>
    <row r="469" spans="3:4">
      <c r="C469" s="43"/>
      <c r="D469" s="43"/>
    </row>
    <row r="470" spans="3:4">
      <c r="C470" s="43"/>
      <c r="D470" s="43"/>
    </row>
    <row r="471" spans="3:4">
      <c r="C471" s="43"/>
      <c r="D471" s="43"/>
    </row>
    <row r="472" spans="3:4">
      <c r="C472" s="43"/>
      <c r="D472" s="43"/>
    </row>
    <row r="473" spans="3:4">
      <c r="C473" s="43"/>
      <c r="D473" s="43"/>
    </row>
    <row r="474" spans="3:4">
      <c r="C474" s="43"/>
      <c r="D474" s="43"/>
    </row>
    <row r="475" spans="3:4">
      <c r="C475" s="43"/>
      <c r="D475" s="43"/>
    </row>
    <row r="476" spans="3:4">
      <c r="C476" s="43"/>
      <c r="D476" s="43"/>
    </row>
    <row r="477" spans="3:4">
      <c r="C477" s="43"/>
      <c r="D477" s="43"/>
    </row>
    <row r="478" spans="3:4">
      <c r="C478" s="43"/>
      <c r="D478" s="43"/>
    </row>
    <row r="479" spans="3:4">
      <c r="C479" s="43"/>
      <c r="D479" s="43"/>
    </row>
    <row r="480" spans="3:4">
      <c r="C480" s="43"/>
      <c r="D480" s="43"/>
    </row>
    <row r="481" spans="3:4">
      <c r="C481" s="43"/>
      <c r="D481" s="43"/>
    </row>
    <row r="482" spans="3:4">
      <c r="C482" s="43"/>
      <c r="D482" s="43"/>
    </row>
    <row r="483" spans="3:4">
      <c r="C483" s="43"/>
      <c r="D483" s="43"/>
    </row>
    <row r="484" spans="3:4">
      <c r="C484" s="43"/>
      <c r="D484" s="43"/>
    </row>
    <row r="485" spans="3:4">
      <c r="C485" s="43"/>
      <c r="D485" s="43"/>
    </row>
    <row r="486" spans="3:4">
      <c r="C486" s="43"/>
      <c r="D486" s="43"/>
    </row>
    <row r="487" spans="3:4">
      <c r="C487" s="43"/>
      <c r="D487" s="43"/>
    </row>
    <row r="488" spans="3:4">
      <c r="C488" s="43"/>
      <c r="D488" s="43"/>
    </row>
    <row r="489" spans="3:4">
      <c r="C489" s="43"/>
      <c r="D489" s="43"/>
    </row>
    <row r="490" spans="3:4">
      <c r="C490" s="43"/>
      <c r="D490" s="43"/>
    </row>
    <row r="491" spans="3:4">
      <c r="C491" s="43"/>
      <c r="D491" s="43"/>
    </row>
    <row r="492" spans="3:4">
      <c r="C492" s="43"/>
      <c r="D492" s="43"/>
    </row>
    <row r="493" spans="3:4">
      <c r="C493" s="43"/>
      <c r="D493" s="43"/>
    </row>
    <row r="494" spans="3:4">
      <c r="C494" s="43"/>
      <c r="D494" s="43"/>
    </row>
    <row r="495" spans="3:4">
      <c r="C495" s="43"/>
      <c r="D495" s="43"/>
    </row>
    <row r="496" spans="3:4">
      <c r="C496" s="43"/>
      <c r="D496" s="43"/>
    </row>
    <row r="497" spans="3:4">
      <c r="C497" s="43"/>
      <c r="D497" s="43"/>
    </row>
    <row r="498" spans="3:4">
      <c r="C498" s="43"/>
      <c r="D498" s="43"/>
    </row>
    <row r="499" spans="3:4">
      <c r="C499" s="43"/>
      <c r="D499" s="43"/>
    </row>
    <row r="500" spans="3:4">
      <c r="C500" s="43"/>
      <c r="D500" s="43"/>
    </row>
    <row r="501" spans="3:4">
      <c r="C501" s="43"/>
      <c r="D501" s="43"/>
    </row>
    <row r="502" spans="3:4">
      <c r="C502" s="43"/>
      <c r="D502" s="43"/>
    </row>
    <row r="503" spans="3:4">
      <c r="C503" s="43"/>
      <c r="D503" s="43"/>
    </row>
    <row r="504" spans="3:4">
      <c r="C504" s="43"/>
      <c r="D504" s="43"/>
    </row>
    <row r="505" spans="3:4">
      <c r="C505" s="43"/>
      <c r="D505" s="43"/>
    </row>
    <row r="506" spans="3:4">
      <c r="C506" s="43"/>
      <c r="D506" s="43"/>
    </row>
    <row r="507" spans="3:4">
      <c r="C507" s="43"/>
      <c r="D507" s="43"/>
    </row>
    <row r="508" spans="3:4">
      <c r="C508" s="43"/>
      <c r="D508" s="43"/>
    </row>
    <row r="509" spans="3:4">
      <c r="C509" s="43"/>
      <c r="D509" s="43"/>
    </row>
    <row r="510" spans="3:4">
      <c r="C510" s="43"/>
      <c r="D510" s="43"/>
    </row>
    <row r="511" spans="3:4">
      <c r="C511" s="43"/>
      <c r="D511" s="43"/>
    </row>
    <row r="512" spans="3:4">
      <c r="C512" s="43"/>
      <c r="D512" s="43"/>
    </row>
    <row r="513" spans="3:4">
      <c r="C513" s="43"/>
      <c r="D513" s="43"/>
    </row>
    <row r="514" spans="3:4">
      <c r="C514" s="43"/>
      <c r="D514" s="43"/>
    </row>
    <row r="515" spans="3:4">
      <c r="C515" s="43"/>
      <c r="D515" s="43"/>
    </row>
    <row r="516" spans="3:4">
      <c r="C516" s="43"/>
      <c r="D516" s="43"/>
    </row>
    <row r="517" spans="3:4">
      <c r="C517" s="43"/>
      <c r="D517" s="43"/>
    </row>
    <row r="518" spans="3:4">
      <c r="C518" s="43"/>
      <c r="D518" s="43"/>
    </row>
    <row r="519" spans="3:4">
      <c r="C519" s="43"/>
      <c r="D519" s="43"/>
    </row>
    <row r="520" spans="3:4">
      <c r="C520" s="43"/>
      <c r="D520" s="43"/>
    </row>
    <row r="521" spans="3:4">
      <c r="C521" s="43"/>
      <c r="D521" s="43"/>
    </row>
    <row r="522" spans="3:4">
      <c r="C522" s="43"/>
      <c r="D522" s="43"/>
    </row>
    <row r="523" spans="3:4">
      <c r="C523" s="43"/>
      <c r="D523" s="43"/>
    </row>
    <row r="524" spans="3:4">
      <c r="C524" s="43"/>
      <c r="D524" s="43"/>
    </row>
    <row r="525" spans="3:4">
      <c r="C525" s="43"/>
      <c r="D525" s="43"/>
    </row>
    <row r="526" spans="3:4">
      <c r="C526" s="43"/>
      <c r="D526" s="43"/>
    </row>
    <row r="527" spans="3:4">
      <c r="C527" s="43"/>
      <c r="D527" s="43"/>
    </row>
    <row r="528" spans="3:4">
      <c r="C528" s="43"/>
      <c r="D528" s="43"/>
    </row>
    <row r="529" spans="3:4">
      <c r="C529" s="43"/>
      <c r="D529" s="43"/>
    </row>
    <row r="530" spans="3:4">
      <c r="C530" s="43"/>
      <c r="D530" s="43"/>
    </row>
    <row r="531" spans="3:4">
      <c r="C531" s="43"/>
      <c r="D531" s="43"/>
    </row>
    <row r="532" spans="3:4">
      <c r="C532" s="43"/>
      <c r="D532" s="43"/>
    </row>
    <row r="533" spans="3:4">
      <c r="C533" s="43"/>
      <c r="D533" s="43"/>
    </row>
    <row r="534" spans="3:4">
      <c r="C534" s="43"/>
      <c r="D534" s="43"/>
    </row>
    <row r="535" spans="3:4">
      <c r="C535" s="43"/>
      <c r="D535" s="43"/>
    </row>
    <row r="536" spans="3:4">
      <c r="C536" s="43"/>
      <c r="D536" s="43"/>
    </row>
    <row r="537" spans="3:4">
      <c r="C537" s="43"/>
      <c r="D537" s="43"/>
    </row>
    <row r="538" spans="3:4">
      <c r="C538" s="43"/>
      <c r="D538" s="43"/>
    </row>
    <row r="539" spans="3:4">
      <c r="C539" s="43"/>
      <c r="D539" s="43"/>
    </row>
    <row r="540" spans="3:4">
      <c r="C540" s="43"/>
      <c r="D540" s="43"/>
    </row>
    <row r="541" spans="3:4">
      <c r="C541" s="43"/>
      <c r="D541" s="43"/>
    </row>
    <row r="542" spans="3:4">
      <c r="C542" s="43"/>
      <c r="D542" s="43"/>
    </row>
    <row r="543" spans="3:4">
      <c r="C543" s="43"/>
      <c r="D543" s="43"/>
    </row>
    <row r="544" spans="3:4">
      <c r="C544" s="43"/>
      <c r="D544" s="43"/>
    </row>
    <row r="545" spans="3:4">
      <c r="C545" s="43"/>
      <c r="D545" s="43"/>
    </row>
    <row r="546" spans="3:4">
      <c r="C546" s="43"/>
      <c r="D546" s="43"/>
    </row>
    <row r="547" spans="3:4">
      <c r="C547" s="43"/>
      <c r="D547" s="43"/>
    </row>
    <row r="548" spans="3:4">
      <c r="C548" s="43"/>
      <c r="D548" s="43"/>
    </row>
    <row r="549" spans="3:4">
      <c r="C549" s="43"/>
      <c r="D549" s="43"/>
    </row>
    <row r="550" spans="3:4">
      <c r="C550" s="43"/>
      <c r="D550" s="43"/>
    </row>
    <row r="551" spans="3:4">
      <c r="C551" s="43"/>
      <c r="D551" s="43"/>
    </row>
    <row r="552" spans="3:4">
      <c r="C552" s="43"/>
      <c r="D552" s="43"/>
    </row>
    <row r="553" spans="3:4">
      <c r="C553" s="43"/>
      <c r="D553" s="43"/>
    </row>
    <row r="554" spans="3:4">
      <c r="C554" s="43"/>
      <c r="D554" s="43"/>
    </row>
    <row r="555" spans="3:4">
      <c r="C555" s="43"/>
      <c r="D555" s="43"/>
    </row>
    <row r="556" spans="3:4">
      <c r="C556" s="43"/>
      <c r="D556" s="43"/>
    </row>
    <row r="557" spans="3:4">
      <c r="C557" s="43"/>
      <c r="D557" s="43"/>
    </row>
    <row r="558" spans="3:4">
      <c r="C558" s="43"/>
      <c r="D558" s="43"/>
    </row>
    <row r="559" spans="3:4">
      <c r="C559" s="43"/>
      <c r="D559" s="43"/>
    </row>
    <row r="560" spans="3:4">
      <c r="C560" s="43"/>
      <c r="D560" s="43"/>
    </row>
    <row r="561" spans="3:4">
      <c r="C561" s="43"/>
      <c r="D561" s="43"/>
    </row>
    <row r="562" spans="3:4">
      <c r="C562" s="43"/>
      <c r="D562" s="43"/>
    </row>
    <row r="563" spans="3:4">
      <c r="C563" s="43"/>
      <c r="D563" s="43"/>
    </row>
    <row r="564" spans="3:4">
      <c r="C564" s="43"/>
      <c r="D564" s="43"/>
    </row>
    <row r="565" spans="3:4">
      <c r="C565" s="43"/>
      <c r="D565" s="43"/>
    </row>
    <row r="566" spans="3:4">
      <c r="C566" s="43"/>
      <c r="D566" s="43"/>
    </row>
    <row r="567" spans="3:4">
      <c r="C567" s="43"/>
      <c r="D567" s="43"/>
    </row>
    <row r="568" spans="3:4">
      <c r="C568" s="43"/>
      <c r="D568" s="43"/>
    </row>
    <row r="569" spans="3:4">
      <c r="C569" s="43"/>
      <c r="D569" s="43"/>
    </row>
    <row r="570" spans="3:4">
      <c r="C570" s="43"/>
      <c r="D570" s="43"/>
    </row>
    <row r="571" spans="3:4">
      <c r="C571" s="43"/>
      <c r="D571" s="43"/>
    </row>
    <row r="572" spans="3:4">
      <c r="C572" s="43"/>
      <c r="D572" s="43"/>
    </row>
    <row r="573" spans="3:4">
      <c r="C573" s="43"/>
      <c r="D573" s="43"/>
    </row>
    <row r="574" spans="3:4">
      <c r="C574" s="43"/>
      <c r="D574" s="43"/>
    </row>
    <row r="575" spans="3:4">
      <c r="C575" s="43"/>
      <c r="D575" s="43"/>
    </row>
    <row r="576" spans="3:4">
      <c r="C576" s="43"/>
      <c r="D576" s="43"/>
    </row>
    <row r="577" spans="3:4">
      <c r="C577" s="43"/>
      <c r="D577" s="43"/>
    </row>
    <row r="578" spans="3:4">
      <c r="C578" s="43"/>
      <c r="D578" s="43"/>
    </row>
    <row r="579" spans="3:4">
      <c r="C579" s="43"/>
      <c r="D579" s="43"/>
    </row>
    <row r="580" spans="3:4">
      <c r="C580" s="43"/>
      <c r="D580" s="43"/>
    </row>
    <row r="581" spans="3:4">
      <c r="C581" s="43"/>
      <c r="D581" s="43"/>
    </row>
    <row r="582" spans="3:4">
      <c r="C582" s="43"/>
      <c r="D582" s="43"/>
    </row>
    <row r="583" spans="3:4">
      <c r="C583" s="43"/>
      <c r="D583" s="43"/>
    </row>
    <row r="584" spans="3:4">
      <c r="C584" s="43"/>
      <c r="D584" s="43"/>
    </row>
    <row r="585" spans="3:4">
      <c r="C585" s="43"/>
      <c r="D585" s="43"/>
    </row>
    <row r="586" spans="3:4">
      <c r="C586" s="43"/>
      <c r="D586" s="43"/>
    </row>
    <row r="587" spans="3:4">
      <c r="C587" s="43"/>
      <c r="D587" s="43"/>
    </row>
    <row r="588" spans="3:4">
      <c r="C588" s="43"/>
      <c r="D588" s="43"/>
    </row>
    <row r="589" spans="3:4">
      <c r="C589" s="43"/>
      <c r="D589" s="43"/>
    </row>
    <row r="590" spans="3:4">
      <c r="C590" s="43"/>
      <c r="D590" s="43"/>
    </row>
    <row r="591" spans="3:4">
      <c r="C591" s="43"/>
      <c r="D591" s="43"/>
    </row>
    <row r="592" spans="3:4">
      <c r="C592" s="43"/>
      <c r="D592" s="43"/>
    </row>
    <row r="593" spans="3:4">
      <c r="C593" s="43"/>
      <c r="D593" s="43"/>
    </row>
    <row r="594" spans="3:4">
      <c r="C594" s="43"/>
      <c r="D594" s="43"/>
    </row>
    <row r="595" spans="3:4">
      <c r="C595" s="43"/>
      <c r="D595" s="43"/>
    </row>
    <row r="596" spans="3:4">
      <c r="C596" s="43"/>
      <c r="D596" s="43"/>
    </row>
    <row r="597" spans="3:4">
      <c r="C597" s="43"/>
      <c r="D597" s="43"/>
    </row>
    <row r="598" spans="3:4">
      <c r="C598" s="43"/>
      <c r="D598" s="43"/>
    </row>
    <row r="599" spans="3:4">
      <c r="C599" s="43"/>
      <c r="D599" s="43"/>
    </row>
    <row r="600" spans="3:4">
      <c r="C600" s="43"/>
      <c r="D600" s="43"/>
    </row>
    <row r="601" spans="3:4">
      <c r="C601" s="43"/>
      <c r="D601" s="43"/>
    </row>
    <row r="602" spans="3:4">
      <c r="C602" s="43"/>
      <c r="D602" s="43"/>
    </row>
    <row r="603" spans="3:4">
      <c r="C603" s="43"/>
      <c r="D603" s="43"/>
    </row>
    <row r="604" spans="3:4">
      <c r="C604" s="43"/>
      <c r="D604" s="43"/>
    </row>
    <row r="605" spans="3:4">
      <c r="C605" s="43"/>
      <c r="D605" s="43"/>
    </row>
    <row r="606" spans="3:4">
      <c r="C606" s="43"/>
      <c r="D606" s="43"/>
    </row>
    <row r="607" spans="3:4">
      <c r="C607" s="43"/>
      <c r="D607" s="43"/>
    </row>
    <row r="608" spans="3:4">
      <c r="C608" s="43"/>
      <c r="D608" s="43"/>
    </row>
    <row r="609" spans="3:4">
      <c r="C609" s="43"/>
      <c r="D609" s="43"/>
    </row>
    <row r="610" spans="3:4">
      <c r="C610" s="43"/>
      <c r="D610" s="43"/>
    </row>
    <row r="611" spans="3:4">
      <c r="C611" s="43"/>
      <c r="D611" s="43"/>
    </row>
    <row r="612" spans="3:4">
      <c r="C612" s="43"/>
      <c r="D612" s="43"/>
    </row>
    <row r="613" spans="3:4">
      <c r="C613" s="43"/>
      <c r="D613" s="43"/>
    </row>
    <row r="614" spans="3:4">
      <c r="C614" s="43"/>
      <c r="D614" s="43"/>
    </row>
    <row r="615" spans="3:4">
      <c r="C615" s="43"/>
      <c r="D615" s="43"/>
    </row>
    <row r="616" spans="3:4">
      <c r="C616" s="43"/>
      <c r="D616" s="43"/>
    </row>
    <row r="617" spans="3:4">
      <c r="C617" s="43"/>
      <c r="D617" s="43"/>
    </row>
    <row r="618" spans="3:4">
      <c r="C618" s="43"/>
      <c r="D618" s="43"/>
    </row>
    <row r="619" spans="3:4">
      <c r="C619" s="43"/>
      <c r="D619" s="43"/>
    </row>
    <row r="620" spans="3:4">
      <c r="C620" s="43"/>
      <c r="D620" s="43"/>
    </row>
    <row r="621" spans="3:4">
      <c r="C621" s="43"/>
      <c r="D621" s="43"/>
    </row>
    <row r="622" spans="3:4">
      <c r="C622" s="43"/>
      <c r="D622" s="43"/>
    </row>
    <row r="623" spans="3:4">
      <c r="C623" s="43"/>
      <c r="D623" s="43"/>
    </row>
    <row r="624" spans="3:4">
      <c r="C624" s="43"/>
      <c r="D624" s="43"/>
    </row>
    <row r="625" spans="3:4">
      <c r="C625" s="43"/>
      <c r="D625" s="43"/>
    </row>
    <row r="626" spans="3:4">
      <c r="C626" s="43"/>
      <c r="D626" s="43"/>
    </row>
    <row r="627" spans="3:4">
      <c r="C627" s="43"/>
      <c r="D627" s="43"/>
    </row>
    <row r="628" spans="3:4">
      <c r="C628" s="43"/>
      <c r="D628" s="43"/>
    </row>
    <row r="629" spans="3:4">
      <c r="C629" s="43"/>
      <c r="D629" s="43"/>
    </row>
    <row r="630" spans="3:4">
      <c r="C630" s="43"/>
      <c r="D630" s="43"/>
    </row>
    <row r="631" spans="3:4">
      <c r="C631" s="43"/>
      <c r="D631" s="43"/>
    </row>
    <row r="632" spans="3:4">
      <c r="C632" s="43"/>
      <c r="D632" s="43"/>
    </row>
    <row r="633" spans="3:4">
      <c r="C633" s="43"/>
      <c r="D633" s="43"/>
    </row>
    <row r="634" spans="3:4">
      <c r="C634" s="43"/>
      <c r="D634" s="43"/>
    </row>
    <row r="635" spans="3:4">
      <c r="C635" s="43"/>
      <c r="D635" s="43"/>
    </row>
    <row r="636" spans="3:4">
      <c r="C636" s="43"/>
      <c r="D636" s="43"/>
    </row>
    <row r="637" spans="3:4">
      <c r="C637" s="43"/>
      <c r="D637" s="43"/>
    </row>
    <row r="638" spans="3:4">
      <c r="C638" s="43"/>
      <c r="D638" s="43"/>
    </row>
    <row r="639" spans="3:4">
      <c r="C639" s="43"/>
      <c r="D639" s="43"/>
    </row>
    <row r="640" spans="3:4">
      <c r="C640" s="43"/>
      <c r="D640" s="43"/>
    </row>
    <row r="641" spans="3:4">
      <c r="C641" s="43"/>
      <c r="D641" s="43"/>
    </row>
    <row r="642" spans="3:4">
      <c r="C642" s="43"/>
      <c r="D642" s="43"/>
    </row>
    <row r="643" spans="3:4">
      <c r="C643" s="43"/>
      <c r="D643" s="43"/>
    </row>
    <row r="644" spans="3:4">
      <c r="C644" s="43"/>
      <c r="D644" s="43"/>
    </row>
    <row r="645" spans="3:4">
      <c r="C645" s="43"/>
      <c r="D645" s="43"/>
    </row>
    <row r="646" spans="3:4">
      <c r="C646" s="43"/>
      <c r="D646" s="43"/>
    </row>
    <row r="647" spans="3:4">
      <c r="C647" s="43"/>
      <c r="D647" s="43"/>
    </row>
    <row r="648" spans="3:4">
      <c r="C648" s="43"/>
      <c r="D648" s="43"/>
    </row>
    <row r="649" spans="3:4">
      <c r="C649" s="43"/>
      <c r="D649" s="43"/>
    </row>
    <row r="650" spans="3:4">
      <c r="C650" s="43"/>
      <c r="D650" s="43"/>
    </row>
    <row r="651" spans="3:4">
      <c r="C651" s="43"/>
      <c r="D651" s="43"/>
    </row>
    <row r="652" spans="3:4">
      <c r="C652" s="43"/>
      <c r="D652" s="43"/>
    </row>
    <row r="653" spans="3:4">
      <c r="C653" s="43"/>
      <c r="D653" s="43"/>
    </row>
    <row r="654" spans="3:4">
      <c r="C654" s="43"/>
      <c r="D654" s="43"/>
    </row>
    <row r="655" spans="3:4">
      <c r="C655" s="43"/>
      <c r="D655" s="43"/>
    </row>
    <row r="656" spans="3:4">
      <c r="C656" s="43"/>
      <c r="D656" s="43"/>
    </row>
    <row r="657" spans="3:4">
      <c r="C657" s="43"/>
      <c r="D657" s="43"/>
    </row>
    <row r="658" spans="3:4">
      <c r="C658" s="43"/>
      <c r="D658" s="43"/>
    </row>
    <row r="659" spans="3:4">
      <c r="C659" s="43"/>
      <c r="D659" s="43"/>
    </row>
    <row r="660" spans="3:4">
      <c r="C660" s="43"/>
      <c r="D660" s="43"/>
    </row>
    <row r="661" spans="3:4">
      <c r="C661" s="43"/>
      <c r="D661" s="43"/>
    </row>
    <row r="662" spans="3:4">
      <c r="C662" s="43"/>
      <c r="D662" s="43"/>
    </row>
    <row r="663" spans="3:4">
      <c r="C663" s="43"/>
      <c r="D663" s="43"/>
    </row>
    <row r="664" spans="3:4">
      <c r="C664" s="43"/>
      <c r="D664" s="43"/>
    </row>
    <row r="665" spans="3:4">
      <c r="C665" s="43"/>
      <c r="D665" s="43"/>
    </row>
    <row r="666" spans="3:4">
      <c r="C666" s="43"/>
      <c r="D666" s="43"/>
    </row>
    <row r="667" spans="3:4">
      <c r="C667" s="43"/>
      <c r="D667" s="43"/>
    </row>
    <row r="668" spans="3:4">
      <c r="C668" s="43"/>
      <c r="D668" s="43"/>
    </row>
    <row r="669" spans="3:4">
      <c r="C669" s="43"/>
      <c r="D669" s="43"/>
    </row>
    <row r="670" spans="3:4">
      <c r="C670" s="43"/>
      <c r="D670" s="43"/>
    </row>
    <row r="671" spans="3:4">
      <c r="C671" s="43"/>
      <c r="D671" s="43"/>
    </row>
    <row r="672" spans="3:4">
      <c r="C672" s="43"/>
      <c r="D672" s="43"/>
    </row>
    <row r="673" spans="3:4">
      <c r="C673" s="43"/>
      <c r="D673" s="43"/>
    </row>
    <row r="674" spans="3:4">
      <c r="C674" s="43"/>
      <c r="D674" s="43"/>
    </row>
    <row r="675" spans="3:4">
      <c r="C675" s="43"/>
      <c r="D675" s="43"/>
    </row>
    <row r="676" spans="3:4">
      <c r="C676" s="43"/>
      <c r="D676" s="43"/>
    </row>
    <row r="677" spans="3:4">
      <c r="C677" s="43"/>
      <c r="D677" s="43"/>
    </row>
    <row r="678" spans="3:4">
      <c r="C678" s="43"/>
      <c r="D678" s="43"/>
    </row>
    <row r="679" spans="3:4">
      <c r="C679" s="43"/>
      <c r="D679" s="43"/>
    </row>
    <row r="680" spans="3:4">
      <c r="C680" s="43"/>
      <c r="D680" s="43"/>
    </row>
    <row r="681" spans="3:4">
      <c r="C681" s="43"/>
      <c r="D681" s="43"/>
    </row>
    <row r="682" spans="3:4">
      <c r="C682" s="43"/>
      <c r="D682" s="43"/>
    </row>
    <row r="683" spans="3:4">
      <c r="C683" s="43"/>
      <c r="D683" s="43"/>
    </row>
    <row r="684" spans="3:4">
      <c r="C684" s="43"/>
      <c r="D684" s="43"/>
    </row>
    <row r="685" spans="3:4">
      <c r="C685" s="43"/>
      <c r="D685" s="43"/>
    </row>
    <row r="686" spans="3:4">
      <c r="C686" s="43"/>
      <c r="D686" s="43"/>
    </row>
    <row r="687" spans="3:4">
      <c r="C687" s="43"/>
      <c r="D687" s="43"/>
    </row>
    <row r="688" spans="3:4">
      <c r="C688" s="43"/>
      <c r="D688" s="43"/>
    </row>
    <row r="689" spans="3:4">
      <c r="C689" s="43"/>
      <c r="D689" s="43"/>
    </row>
    <row r="690" spans="3:4">
      <c r="C690" s="43"/>
      <c r="D690" s="43"/>
    </row>
    <row r="691" spans="3:4">
      <c r="C691" s="43"/>
      <c r="D691" s="43"/>
    </row>
    <row r="692" spans="3:4">
      <c r="C692" s="43"/>
      <c r="D692" s="43"/>
    </row>
    <row r="693" spans="3:4">
      <c r="C693" s="43"/>
      <c r="D693" s="43"/>
    </row>
    <row r="694" spans="3:4">
      <c r="C694" s="43"/>
      <c r="D694" s="43"/>
    </row>
    <row r="695" spans="3:4">
      <c r="C695" s="43"/>
      <c r="D695" s="43"/>
    </row>
    <row r="696" spans="3:4">
      <c r="C696" s="43"/>
      <c r="D696" s="43"/>
    </row>
    <row r="697" spans="3:4">
      <c r="C697" s="43"/>
      <c r="D697" s="43"/>
    </row>
    <row r="698" spans="3:4">
      <c r="C698" s="43"/>
      <c r="D698" s="43"/>
    </row>
    <row r="699" spans="3:4">
      <c r="C699" s="43"/>
      <c r="D699" s="43"/>
    </row>
    <row r="700" spans="3:4">
      <c r="C700" s="43"/>
      <c r="D700" s="43"/>
    </row>
    <row r="701" spans="3:4">
      <c r="C701" s="43"/>
      <c r="D701" s="43"/>
    </row>
    <row r="702" spans="3:4">
      <c r="C702" s="43"/>
      <c r="D702" s="43"/>
    </row>
    <row r="703" spans="3:4">
      <c r="C703" s="43"/>
      <c r="D703" s="43"/>
    </row>
    <row r="704" spans="3:4">
      <c r="C704" s="43"/>
      <c r="D704" s="43"/>
    </row>
    <row r="705" spans="3:4">
      <c r="C705" s="43"/>
      <c r="D705" s="43"/>
    </row>
    <row r="706" spans="3:4">
      <c r="C706" s="43"/>
      <c r="D706" s="43"/>
    </row>
    <row r="707" spans="3:4">
      <c r="C707" s="43"/>
      <c r="D707" s="43"/>
    </row>
    <row r="708" spans="3:4">
      <c r="C708" s="43"/>
      <c r="D708" s="43"/>
    </row>
    <row r="709" spans="3:4">
      <c r="C709" s="43"/>
      <c r="D709" s="43"/>
    </row>
    <row r="710" spans="3:4">
      <c r="C710" s="43"/>
      <c r="D710" s="43"/>
    </row>
    <row r="711" spans="3:4">
      <c r="C711" s="43"/>
      <c r="D711" s="43"/>
    </row>
    <row r="712" spans="3:4">
      <c r="C712" s="43"/>
      <c r="D712" s="43"/>
    </row>
    <row r="713" spans="3:4">
      <c r="C713" s="43"/>
      <c r="D713" s="43"/>
    </row>
    <row r="714" spans="3:4">
      <c r="C714" s="43"/>
      <c r="D714" s="43"/>
    </row>
    <row r="715" spans="3:4">
      <c r="C715" s="43"/>
      <c r="D715" s="43"/>
    </row>
    <row r="716" spans="3:4">
      <c r="C716" s="43"/>
      <c r="D716" s="43"/>
    </row>
    <row r="717" spans="3:4">
      <c r="C717" s="43"/>
      <c r="D717" s="43"/>
    </row>
    <row r="718" spans="3:4">
      <c r="C718" s="43"/>
      <c r="D718" s="43"/>
    </row>
    <row r="719" spans="3:4">
      <c r="C719" s="43"/>
      <c r="D719" s="43"/>
    </row>
    <row r="720" spans="3:4">
      <c r="C720" s="43"/>
      <c r="D720" s="43"/>
    </row>
    <row r="721" spans="3:4">
      <c r="C721" s="43"/>
      <c r="D721" s="43"/>
    </row>
    <row r="722" spans="3:4">
      <c r="C722" s="43"/>
      <c r="D722" s="43"/>
    </row>
    <row r="723" spans="3:4">
      <c r="C723" s="43"/>
      <c r="D723" s="43"/>
    </row>
    <row r="724" spans="3:4">
      <c r="C724" s="43"/>
      <c r="D724" s="43"/>
    </row>
    <row r="725" spans="3:4">
      <c r="C725" s="43"/>
      <c r="D725" s="43"/>
    </row>
    <row r="726" spans="3:4">
      <c r="C726" s="43"/>
      <c r="D726" s="43"/>
    </row>
    <row r="727" spans="3:4">
      <c r="C727" s="43"/>
      <c r="D727" s="43"/>
    </row>
    <row r="728" spans="3:4">
      <c r="C728" s="43"/>
      <c r="D728" s="43"/>
    </row>
    <row r="729" spans="3:4">
      <c r="C729" s="43"/>
      <c r="D729" s="43"/>
    </row>
    <row r="730" spans="3:4">
      <c r="C730" s="43"/>
      <c r="D730" s="43"/>
    </row>
    <row r="731" spans="3:4">
      <c r="C731" s="43"/>
      <c r="D731" s="43"/>
    </row>
    <row r="732" spans="3:4">
      <c r="C732" s="43"/>
      <c r="D732" s="43"/>
    </row>
    <row r="733" spans="3:4">
      <c r="C733" s="43"/>
      <c r="D733" s="43"/>
    </row>
    <row r="734" spans="3:4">
      <c r="C734" s="43"/>
      <c r="D734" s="43"/>
    </row>
    <row r="735" spans="3:4">
      <c r="C735" s="43"/>
      <c r="D735" s="43"/>
    </row>
    <row r="736" spans="3:4">
      <c r="C736" s="43"/>
      <c r="D736" s="43"/>
    </row>
    <row r="737" spans="3:4">
      <c r="C737" s="43"/>
      <c r="D737" s="43"/>
    </row>
    <row r="738" spans="3:4">
      <c r="C738" s="43"/>
      <c r="D738" s="43"/>
    </row>
    <row r="739" spans="3:4">
      <c r="C739" s="43"/>
      <c r="D739" s="43"/>
    </row>
    <row r="740" spans="3:4">
      <c r="C740" s="43"/>
      <c r="D740" s="43"/>
    </row>
    <row r="741" spans="3:4">
      <c r="C741" s="43"/>
      <c r="D741" s="43"/>
    </row>
    <row r="742" spans="3:4">
      <c r="C742" s="43"/>
      <c r="D742" s="43"/>
    </row>
    <row r="743" spans="3:4">
      <c r="C743" s="43"/>
      <c r="D743" s="43"/>
    </row>
    <row r="744" spans="3:4">
      <c r="C744" s="43"/>
      <c r="D744" s="43"/>
    </row>
    <row r="745" spans="3:4">
      <c r="C745" s="43"/>
      <c r="D745" s="43"/>
    </row>
    <row r="746" spans="3:4">
      <c r="C746" s="43"/>
      <c r="D746" s="43"/>
    </row>
    <row r="747" spans="3:4">
      <c r="C747" s="43"/>
      <c r="D747" s="43"/>
    </row>
    <row r="748" spans="3:4">
      <c r="C748" s="43"/>
      <c r="D748" s="43"/>
    </row>
    <row r="749" spans="3:4">
      <c r="C749" s="43"/>
      <c r="D749" s="43"/>
    </row>
    <row r="750" spans="3:4">
      <c r="C750" s="43"/>
      <c r="D750" s="43"/>
    </row>
    <row r="751" spans="3:4">
      <c r="C751" s="43"/>
      <c r="D751" s="43"/>
    </row>
    <row r="752" spans="3:4">
      <c r="C752" s="43"/>
      <c r="D752" s="43"/>
    </row>
    <row r="753" spans="3:4">
      <c r="C753" s="43"/>
      <c r="D753" s="43"/>
    </row>
    <row r="754" spans="3:4">
      <c r="C754" s="43"/>
      <c r="D754" s="43"/>
    </row>
    <row r="755" spans="3:4">
      <c r="C755" s="43"/>
      <c r="D755" s="43"/>
    </row>
    <row r="756" spans="3:4">
      <c r="C756" s="43"/>
      <c r="D756" s="43"/>
    </row>
    <row r="757" spans="3:4">
      <c r="C757" s="43"/>
      <c r="D757" s="43"/>
    </row>
    <row r="758" spans="3:4">
      <c r="C758" s="43"/>
      <c r="D758" s="43"/>
    </row>
    <row r="759" spans="3:4">
      <c r="C759" s="43"/>
      <c r="D759" s="43"/>
    </row>
    <row r="760" spans="3:4">
      <c r="C760" s="43"/>
      <c r="D760" s="43"/>
    </row>
    <row r="761" spans="3:4">
      <c r="C761" s="43"/>
      <c r="D761" s="43"/>
    </row>
    <row r="762" spans="3:4">
      <c r="C762" s="43"/>
      <c r="D762" s="43"/>
    </row>
    <row r="763" spans="3:4">
      <c r="C763" s="43"/>
      <c r="D763" s="43"/>
    </row>
    <row r="764" spans="3:4">
      <c r="C764" s="43"/>
      <c r="D764" s="43"/>
    </row>
    <row r="765" spans="3:4">
      <c r="C765" s="43"/>
      <c r="D765" s="43"/>
    </row>
    <row r="766" spans="3:4">
      <c r="C766" s="43"/>
      <c r="D766" s="43"/>
    </row>
    <row r="767" spans="3:4">
      <c r="C767" s="43"/>
      <c r="D767" s="43"/>
    </row>
    <row r="768" spans="3:4">
      <c r="C768" s="43"/>
      <c r="D768" s="43"/>
    </row>
    <row r="769" spans="3:4">
      <c r="C769" s="43"/>
      <c r="D769" s="43"/>
    </row>
    <row r="770" spans="3:4">
      <c r="C770" s="43"/>
      <c r="D770" s="43"/>
    </row>
    <row r="771" spans="3:4">
      <c r="C771" s="43"/>
      <c r="D771" s="43"/>
    </row>
    <row r="772" spans="3:4">
      <c r="C772" s="43"/>
      <c r="D772" s="43"/>
    </row>
    <row r="773" spans="3:4">
      <c r="C773" s="43"/>
      <c r="D773" s="43"/>
    </row>
    <row r="774" spans="3:4">
      <c r="C774" s="43"/>
      <c r="D774" s="43"/>
    </row>
    <row r="775" spans="3:4">
      <c r="C775" s="43"/>
      <c r="D775" s="43"/>
    </row>
    <row r="776" spans="3:4">
      <c r="C776" s="43"/>
      <c r="D776" s="43"/>
    </row>
    <row r="777" spans="3:4">
      <c r="C777" s="43"/>
      <c r="D777" s="43"/>
    </row>
    <row r="778" spans="3:4">
      <c r="C778" s="43"/>
      <c r="D778" s="43"/>
    </row>
    <row r="779" spans="3:4">
      <c r="C779" s="43"/>
      <c r="D779" s="43"/>
    </row>
    <row r="780" spans="3:4">
      <c r="C780" s="43"/>
      <c r="D780" s="43"/>
    </row>
    <row r="781" spans="3:4">
      <c r="C781" s="43"/>
      <c r="D781" s="43"/>
    </row>
    <row r="782" spans="3:4">
      <c r="C782" s="43"/>
      <c r="D782" s="43"/>
    </row>
    <row r="783" spans="3:4">
      <c r="C783" s="43"/>
      <c r="D783" s="43"/>
    </row>
    <row r="784" spans="3:4">
      <c r="C784" s="43"/>
      <c r="D784" s="43"/>
    </row>
    <row r="785" spans="3:4">
      <c r="C785" s="43"/>
      <c r="D785" s="43"/>
    </row>
    <row r="786" spans="3:4">
      <c r="C786" s="43"/>
      <c r="D786" s="43"/>
    </row>
    <row r="787" spans="3:4">
      <c r="C787" s="43"/>
      <c r="D787" s="43"/>
    </row>
    <row r="788" spans="3:4">
      <c r="C788" s="43"/>
      <c r="D788" s="43"/>
    </row>
    <row r="789" spans="3:4">
      <c r="C789" s="43"/>
      <c r="D789" s="43"/>
    </row>
    <row r="790" spans="3:4">
      <c r="C790" s="43"/>
      <c r="D790" s="43"/>
    </row>
    <row r="791" spans="3:4">
      <c r="C791" s="43"/>
      <c r="D791" s="43"/>
    </row>
    <row r="792" spans="3:4">
      <c r="C792" s="43"/>
      <c r="D792" s="43"/>
    </row>
    <row r="793" spans="3:4">
      <c r="C793" s="43"/>
      <c r="D793" s="43"/>
    </row>
    <row r="794" spans="3:4">
      <c r="C794" s="43"/>
      <c r="D794" s="43"/>
    </row>
    <row r="795" spans="3:4">
      <c r="C795" s="43"/>
      <c r="D795" s="43"/>
    </row>
    <row r="796" spans="3:4">
      <c r="C796" s="43"/>
      <c r="D796" s="43"/>
    </row>
    <row r="797" spans="3:4">
      <c r="C797" s="43"/>
      <c r="D797" s="43"/>
    </row>
    <row r="798" spans="3:4">
      <c r="C798" s="43"/>
      <c r="D798" s="43"/>
    </row>
    <row r="799" spans="3:4">
      <c r="C799" s="43"/>
      <c r="D799" s="43"/>
    </row>
    <row r="800" spans="3:4">
      <c r="C800" s="43"/>
      <c r="D800" s="43"/>
    </row>
    <row r="801" spans="3:4">
      <c r="C801" s="43"/>
      <c r="D801" s="43"/>
    </row>
    <row r="802" spans="3:4">
      <c r="C802" s="43"/>
      <c r="D802" s="43"/>
    </row>
    <row r="803" spans="3:4">
      <c r="C803" s="43"/>
      <c r="D803" s="43"/>
    </row>
    <row r="804" spans="3:4">
      <c r="C804" s="43"/>
      <c r="D804" s="43"/>
    </row>
    <row r="805" spans="3:4">
      <c r="C805" s="43"/>
      <c r="D805" s="43"/>
    </row>
    <row r="806" spans="3:4">
      <c r="C806" s="43"/>
      <c r="D806" s="43"/>
    </row>
    <row r="807" spans="3:4">
      <c r="C807" s="43"/>
      <c r="D807" s="43"/>
    </row>
    <row r="808" spans="3:4">
      <c r="C808" s="43"/>
      <c r="D808" s="43"/>
    </row>
    <row r="809" spans="3:4">
      <c r="C809" s="43"/>
      <c r="D809" s="43"/>
    </row>
    <row r="810" spans="3:4">
      <c r="C810" s="43"/>
      <c r="D810" s="43"/>
    </row>
    <row r="811" spans="3:4">
      <c r="C811" s="43"/>
      <c r="D811" s="43"/>
    </row>
    <row r="812" spans="3:4">
      <c r="C812" s="43"/>
      <c r="D812" s="43"/>
    </row>
    <row r="813" spans="3:4">
      <c r="C813" s="43"/>
      <c r="D813" s="43"/>
    </row>
    <row r="814" spans="3:4">
      <c r="C814" s="43"/>
      <c r="D814" s="43"/>
    </row>
    <row r="815" spans="3:4">
      <c r="C815" s="43"/>
      <c r="D815" s="43"/>
    </row>
    <row r="816" spans="3:4">
      <c r="C816" s="43"/>
      <c r="D816" s="43"/>
    </row>
    <row r="817" spans="3:4">
      <c r="C817" s="43"/>
      <c r="D817" s="43"/>
    </row>
    <row r="818" spans="3:4">
      <c r="C818" s="43"/>
      <c r="D818" s="43"/>
    </row>
    <row r="819" spans="3:4">
      <c r="C819" s="43"/>
      <c r="D819" s="43"/>
    </row>
    <row r="820" spans="3:4">
      <c r="C820" s="43"/>
      <c r="D820" s="43"/>
    </row>
    <row r="821" spans="3:4">
      <c r="C821" s="43"/>
      <c r="D821" s="43"/>
    </row>
    <row r="822" spans="3:4">
      <c r="C822" s="43"/>
      <c r="D822" s="43"/>
    </row>
    <row r="823" spans="3:4">
      <c r="C823" s="43"/>
      <c r="D823" s="43"/>
    </row>
    <row r="824" spans="3:4">
      <c r="C824" s="43"/>
      <c r="D824" s="43"/>
    </row>
    <row r="825" spans="3:4">
      <c r="C825" s="43"/>
      <c r="D825" s="43"/>
    </row>
    <row r="826" spans="3:4">
      <c r="C826" s="43"/>
      <c r="D826" s="43"/>
    </row>
    <row r="827" spans="3:4">
      <c r="C827" s="43"/>
      <c r="D827" s="43"/>
    </row>
    <row r="828" spans="3:4">
      <c r="C828" s="43"/>
      <c r="D828" s="43"/>
    </row>
    <row r="829" spans="3:4">
      <c r="C829" s="43"/>
      <c r="D829" s="43"/>
    </row>
    <row r="830" spans="3:4">
      <c r="C830" s="43"/>
      <c r="D830" s="43"/>
    </row>
    <row r="831" spans="3:4">
      <c r="C831" s="43"/>
      <c r="D831" s="43"/>
    </row>
    <row r="832" spans="3:4">
      <c r="C832" s="43"/>
      <c r="D832" s="43"/>
    </row>
    <row r="833" spans="3:4">
      <c r="C833" s="43"/>
      <c r="D833" s="43"/>
    </row>
    <row r="834" spans="3:4">
      <c r="C834" s="43"/>
      <c r="D834" s="43"/>
    </row>
    <row r="835" spans="3:4">
      <c r="C835" s="43"/>
      <c r="D835" s="43"/>
    </row>
    <row r="836" spans="3:4">
      <c r="C836" s="43"/>
      <c r="D836" s="43"/>
    </row>
    <row r="837" spans="3:4">
      <c r="C837" s="43"/>
      <c r="D837" s="43"/>
    </row>
    <row r="838" spans="3:4">
      <c r="C838" s="43"/>
      <c r="D838" s="43"/>
    </row>
    <row r="839" spans="3:4">
      <c r="C839" s="43"/>
      <c r="D839" s="43"/>
    </row>
    <row r="840" spans="3:4">
      <c r="C840" s="43"/>
      <c r="D840" s="43"/>
    </row>
    <row r="841" spans="3:4">
      <c r="C841" s="43"/>
      <c r="D841" s="43"/>
    </row>
    <row r="842" spans="3:4">
      <c r="C842" s="43"/>
      <c r="D842" s="43"/>
    </row>
    <row r="843" spans="3:4">
      <c r="C843" s="43"/>
      <c r="D843" s="43"/>
    </row>
    <row r="844" spans="3:4">
      <c r="C844" s="43"/>
      <c r="D844" s="43"/>
    </row>
    <row r="845" spans="3:4">
      <c r="C845" s="43"/>
      <c r="D845" s="43"/>
    </row>
    <row r="846" spans="3:4">
      <c r="C846" s="43"/>
      <c r="D846" s="43"/>
    </row>
    <row r="847" spans="3:4">
      <c r="C847" s="43"/>
      <c r="D847" s="43"/>
    </row>
    <row r="848" spans="3:4">
      <c r="C848" s="43"/>
      <c r="D848" s="43"/>
    </row>
    <row r="849" spans="3:4">
      <c r="C849" s="43"/>
      <c r="D849" s="43"/>
    </row>
    <row r="850" spans="3:4">
      <c r="C850" s="43"/>
      <c r="D850" s="43"/>
    </row>
    <row r="851" spans="3:4">
      <c r="C851" s="43"/>
      <c r="D851" s="43"/>
    </row>
    <row r="852" spans="3:4">
      <c r="C852" s="43"/>
      <c r="D852" s="43"/>
    </row>
    <row r="853" spans="3:4">
      <c r="C853" s="43"/>
      <c r="D853" s="43"/>
    </row>
    <row r="854" spans="3:4">
      <c r="C854" s="43"/>
      <c r="D854" s="43"/>
    </row>
    <row r="855" spans="3:4">
      <c r="C855" s="43"/>
      <c r="D855" s="43"/>
    </row>
    <row r="856" spans="3:4">
      <c r="C856" s="43"/>
      <c r="D856" s="43"/>
    </row>
    <row r="857" spans="3:4">
      <c r="C857" s="43"/>
      <c r="D857" s="43"/>
    </row>
    <row r="858" spans="3:4">
      <c r="C858" s="43"/>
      <c r="D858" s="43"/>
    </row>
    <row r="859" spans="3:4">
      <c r="C859" s="43"/>
      <c r="D859" s="43"/>
    </row>
    <row r="860" spans="3:4">
      <c r="C860" s="43"/>
      <c r="D860" s="43"/>
    </row>
    <row r="861" spans="3:4">
      <c r="C861" s="43"/>
      <c r="D861" s="43"/>
    </row>
    <row r="862" spans="3:4">
      <c r="C862" s="43"/>
      <c r="D862" s="43"/>
    </row>
    <row r="863" spans="3:4">
      <c r="C863" s="43"/>
      <c r="D863" s="43"/>
    </row>
    <row r="864" spans="3:4">
      <c r="C864" s="42"/>
      <c r="D864" s="42"/>
    </row>
    <row r="865" spans="3:4">
      <c r="C865" s="43"/>
      <c r="D865" s="43"/>
    </row>
    <row r="866" spans="3:4">
      <c r="C866" s="43"/>
      <c r="D866" s="43"/>
    </row>
    <row r="867" spans="3:4">
      <c r="C867" s="43"/>
      <c r="D867" s="43"/>
    </row>
    <row r="868" spans="3:4">
      <c r="C868" s="43"/>
      <c r="D868" s="43"/>
    </row>
    <row r="869" spans="3:4">
      <c r="C869" s="43"/>
      <c r="D869" s="43"/>
    </row>
    <row r="870" spans="3:4">
      <c r="C870" s="43"/>
      <c r="D870" s="43"/>
    </row>
    <row r="871" spans="3:4">
      <c r="C871" s="43"/>
      <c r="D871" s="43"/>
    </row>
    <row r="872" spans="3:4">
      <c r="C872" s="43"/>
      <c r="D872" s="43"/>
    </row>
    <row r="873" spans="3:4">
      <c r="C873" s="43"/>
      <c r="D873" s="43"/>
    </row>
    <row r="874" spans="3:4">
      <c r="C874" s="43"/>
      <c r="D874" s="43"/>
    </row>
    <row r="875" spans="3:4">
      <c r="C875" s="43"/>
      <c r="D875" s="43"/>
    </row>
    <row r="876" spans="3:4">
      <c r="C876" s="43"/>
      <c r="D876" s="43"/>
    </row>
    <row r="877" spans="3:4">
      <c r="C877" s="43"/>
      <c r="D877" s="43"/>
    </row>
    <row r="878" spans="3:4">
      <c r="C878" s="43"/>
      <c r="D878" s="43"/>
    </row>
    <row r="879" spans="3:4">
      <c r="C879" s="43"/>
      <c r="D879" s="43"/>
    </row>
    <row r="880" spans="3:4">
      <c r="C880" s="43"/>
      <c r="D880" s="43"/>
    </row>
    <row r="881" spans="3:4">
      <c r="C881" s="43"/>
      <c r="D881" s="43"/>
    </row>
    <row r="882" spans="3:4">
      <c r="C882" s="43"/>
      <c r="D882" s="43"/>
    </row>
    <row r="883" spans="3:4">
      <c r="C883" s="43"/>
      <c r="D883" s="43"/>
    </row>
    <row r="884" spans="3:4">
      <c r="C884" s="43"/>
      <c r="D884" s="43"/>
    </row>
    <row r="885" spans="3:4">
      <c r="C885" s="43"/>
      <c r="D885" s="43"/>
    </row>
    <row r="886" spans="3:4">
      <c r="C886" s="43"/>
      <c r="D886" s="43"/>
    </row>
    <row r="887" spans="3:4">
      <c r="C887" s="43"/>
      <c r="D887" s="43"/>
    </row>
    <row r="888" spans="3:4">
      <c r="C888" s="43"/>
      <c r="D888" s="43"/>
    </row>
    <row r="889" spans="3:4">
      <c r="C889" s="43"/>
      <c r="D889" s="43"/>
    </row>
    <row r="890" spans="3:4">
      <c r="C890" s="43"/>
      <c r="D890" s="43"/>
    </row>
    <row r="891" spans="3:4">
      <c r="C891" s="43"/>
      <c r="D891" s="43"/>
    </row>
    <row r="892" spans="3:4">
      <c r="C892" s="43"/>
      <c r="D892" s="43"/>
    </row>
    <row r="893" spans="3:4">
      <c r="C893" s="43"/>
      <c r="D893" s="43"/>
    </row>
    <row r="894" spans="3:4">
      <c r="C894" s="43"/>
      <c r="D894" s="43"/>
    </row>
    <row r="895" spans="3:4">
      <c r="C895" s="43"/>
      <c r="D895" s="43"/>
    </row>
    <row r="896" spans="3:4">
      <c r="C896" s="43"/>
      <c r="D896" s="43"/>
    </row>
    <row r="897" spans="3:4">
      <c r="C897" s="43"/>
      <c r="D897" s="43"/>
    </row>
    <row r="898" spans="3:4">
      <c r="C898" s="43"/>
      <c r="D898" s="43"/>
    </row>
    <row r="899" spans="3:4">
      <c r="C899" s="43"/>
      <c r="D899" s="43"/>
    </row>
    <row r="900" spans="3:4">
      <c r="C900" s="43"/>
      <c r="D900" s="43"/>
    </row>
    <row r="901" spans="3:4">
      <c r="C901" s="43"/>
      <c r="D901" s="43"/>
    </row>
    <row r="902" spans="3:4">
      <c r="C902" s="43"/>
      <c r="D902" s="43"/>
    </row>
    <row r="903" spans="3:4">
      <c r="C903" s="43"/>
      <c r="D903" s="43"/>
    </row>
    <row r="904" spans="3:4">
      <c r="C904" s="43"/>
      <c r="D904" s="43"/>
    </row>
    <row r="905" spans="3:4">
      <c r="C905" s="43"/>
      <c r="D905" s="43"/>
    </row>
    <row r="906" spans="3:4">
      <c r="C906" s="43"/>
      <c r="D906" s="43"/>
    </row>
    <row r="907" spans="3:4">
      <c r="C907" s="43"/>
      <c r="D907" s="43"/>
    </row>
    <row r="908" spans="3:4">
      <c r="C908" s="43"/>
      <c r="D908" s="43"/>
    </row>
    <row r="909" spans="3:4">
      <c r="C909" s="43"/>
      <c r="D909" s="43"/>
    </row>
    <row r="910" spans="3:4">
      <c r="C910" s="43"/>
      <c r="D910" s="43"/>
    </row>
    <row r="911" spans="3:4">
      <c r="C911" s="43"/>
      <c r="D911" s="43"/>
    </row>
    <row r="912" spans="3:4">
      <c r="C912" s="43"/>
      <c r="D912" s="43"/>
    </row>
    <row r="913" spans="3:4">
      <c r="C913" s="43"/>
      <c r="D913" s="43"/>
    </row>
    <row r="914" spans="3:4">
      <c r="C914" s="43"/>
      <c r="D914" s="43"/>
    </row>
    <row r="915" spans="3:4">
      <c r="C915" s="43"/>
      <c r="D915" s="43"/>
    </row>
    <row r="916" spans="3:4">
      <c r="C916" s="43"/>
      <c r="D916" s="43"/>
    </row>
    <row r="917" spans="3:4">
      <c r="C917" s="43"/>
      <c r="D917" s="43"/>
    </row>
    <row r="918" spans="3:4">
      <c r="C918" s="43"/>
      <c r="D918" s="43"/>
    </row>
    <row r="919" spans="3:4">
      <c r="C919" s="43"/>
      <c r="D919" s="43"/>
    </row>
    <row r="920" spans="3:4">
      <c r="C920" s="43"/>
      <c r="D920" s="43"/>
    </row>
    <row r="921" spans="3:4">
      <c r="C921" s="43"/>
      <c r="D921" s="43"/>
    </row>
    <row r="922" spans="3:4">
      <c r="C922" s="43"/>
      <c r="D922" s="43"/>
    </row>
    <row r="923" spans="3:4">
      <c r="C923" s="43"/>
      <c r="D923" s="43"/>
    </row>
    <row r="924" spans="3:4">
      <c r="C924" s="43"/>
      <c r="D924" s="43"/>
    </row>
    <row r="925" spans="3:4">
      <c r="C925" s="43"/>
      <c r="D925" s="43"/>
    </row>
    <row r="926" spans="3:4">
      <c r="C926" s="43"/>
      <c r="D926" s="43"/>
    </row>
    <row r="927" spans="3:4">
      <c r="C927" s="43"/>
      <c r="D927" s="43"/>
    </row>
    <row r="928" spans="3:4">
      <c r="C928" s="43"/>
      <c r="D928" s="43"/>
    </row>
    <row r="929" spans="3:4">
      <c r="C929" s="43"/>
      <c r="D929" s="43"/>
    </row>
    <row r="930" spans="3:4">
      <c r="C930" s="43"/>
      <c r="D930" s="43"/>
    </row>
    <row r="931" spans="3:4">
      <c r="C931" s="43"/>
      <c r="D931" s="43"/>
    </row>
    <row r="932" spans="3:4">
      <c r="C932" s="43"/>
      <c r="D932" s="43"/>
    </row>
    <row r="933" spans="3:4">
      <c r="C933" s="43"/>
      <c r="D933" s="43"/>
    </row>
    <row r="934" spans="3:4">
      <c r="C934" s="43"/>
      <c r="D934" s="43"/>
    </row>
    <row r="935" spans="3:4">
      <c r="C935" s="43"/>
      <c r="D935" s="43"/>
    </row>
    <row r="936" spans="3:4">
      <c r="C936" s="43"/>
      <c r="D936" s="43"/>
    </row>
    <row r="937" spans="3:4">
      <c r="C937" s="43"/>
      <c r="D937" s="43"/>
    </row>
    <row r="938" spans="3:4">
      <c r="C938" s="43"/>
      <c r="D938" s="43"/>
    </row>
    <row r="939" spans="3:4">
      <c r="C939" s="43"/>
      <c r="D939" s="43"/>
    </row>
    <row r="940" spans="3:4">
      <c r="C940" s="43"/>
      <c r="D940" s="43"/>
    </row>
    <row r="941" spans="3:4">
      <c r="C941" s="43"/>
      <c r="D941" s="43"/>
    </row>
    <row r="942" spans="3:4">
      <c r="C942" s="43"/>
      <c r="D942" s="43"/>
    </row>
    <row r="943" spans="3:4">
      <c r="C943" s="43"/>
      <c r="D943" s="43"/>
    </row>
    <row r="944" spans="3:4">
      <c r="C944" s="43"/>
      <c r="D944" s="43"/>
    </row>
    <row r="945" spans="3:4">
      <c r="C945" s="43"/>
      <c r="D945" s="43"/>
    </row>
    <row r="946" spans="3:4">
      <c r="C946" s="43"/>
      <c r="D946" s="43"/>
    </row>
    <row r="947" spans="3:4">
      <c r="C947" s="43"/>
      <c r="D947" s="43"/>
    </row>
    <row r="948" spans="3:4">
      <c r="C948" s="43"/>
      <c r="D948" s="43"/>
    </row>
    <row r="949" spans="3:4">
      <c r="C949" s="43"/>
      <c r="D949" s="43"/>
    </row>
    <row r="950" spans="3:4">
      <c r="C950" s="43"/>
      <c r="D950" s="43"/>
    </row>
    <row r="951" spans="3:4">
      <c r="C951" s="43"/>
      <c r="D951" s="43"/>
    </row>
    <row r="952" spans="3:4">
      <c r="C952" s="43"/>
      <c r="D952" s="43"/>
    </row>
    <row r="953" spans="3:4">
      <c r="C953" s="43"/>
      <c r="D953" s="43"/>
    </row>
    <row r="954" spans="3:4">
      <c r="C954" s="43"/>
      <c r="D954" s="43"/>
    </row>
    <row r="955" spans="3:4">
      <c r="C955" s="43"/>
      <c r="D955" s="43"/>
    </row>
    <row r="956" spans="3:4">
      <c r="C956" s="43"/>
      <c r="D956" s="43"/>
    </row>
    <row r="957" spans="3:4">
      <c r="C957" s="43"/>
      <c r="D957" s="43"/>
    </row>
    <row r="958" spans="3:4">
      <c r="C958" s="43"/>
      <c r="D958" s="43"/>
    </row>
    <row r="959" spans="3:4">
      <c r="C959" s="43"/>
      <c r="D959" s="43"/>
    </row>
    <row r="960" spans="3:4">
      <c r="C960" s="43"/>
      <c r="D960" s="43"/>
    </row>
    <row r="961" spans="3:4">
      <c r="C961" s="43"/>
      <c r="D961" s="43"/>
    </row>
    <row r="962" spans="3:4">
      <c r="C962" s="43"/>
      <c r="D962" s="43"/>
    </row>
    <row r="963" spans="3:4">
      <c r="C963" s="43"/>
      <c r="D963" s="43"/>
    </row>
    <row r="964" spans="3:4">
      <c r="C964" s="43"/>
      <c r="D964" s="43"/>
    </row>
    <row r="965" spans="3:4">
      <c r="C965" s="43"/>
      <c r="D965" s="43"/>
    </row>
    <row r="966" spans="3:4">
      <c r="C966" s="43"/>
      <c r="D966" s="43"/>
    </row>
    <row r="967" spans="3:4">
      <c r="C967" s="43"/>
      <c r="D967" s="43"/>
    </row>
    <row r="968" spans="3:4">
      <c r="C968" s="43"/>
      <c r="D968" s="43"/>
    </row>
    <row r="969" spans="3:4">
      <c r="C969" s="43"/>
      <c r="D969" s="43"/>
    </row>
    <row r="970" spans="3:4">
      <c r="C970" s="43"/>
      <c r="D970" s="43"/>
    </row>
    <row r="971" spans="3:4">
      <c r="C971" s="43"/>
      <c r="D971" s="43"/>
    </row>
    <row r="972" spans="3:4">
      <c r="C972" s="43"/>
      <c r="D972" s="43"/>
    </row>
    <row r="973" spans="3:4">
      <c r="C973" s="43"/>
      <c r="D973" s="43"/>
    </row>
    <row r="974" spans="3:4">
      <c r="C974" s="43"/>
      <c r="D974" s="43"/>
    </row>
    <row r="975" spans="3:4">
      <c r="C975" s="43"/>
      <c r="D975" s="43"/>
    </row>
    <row r="976" spans="3:4">
      <c r="C976" s="43"/>
      <c r="D976" s="43"/>
    </row>
    <row r="977" spans="3:4">
      <c r="C977" s="43"/>
      <c r="D977" s="43"/>
    </row>
    <row r="978" spans="3:4">
      <c r="C978" s="43"/>
      <c r="D978" s="43"/>
    </row>
    <row r="979" spans="3:4">
      <c r="C979" s="43"/>
      <c r="D979" s="43"/>
    </row>
    <row r="980" spans="3:4">
      <c r="C980" s="43"/>
      <c r="D980" s="43"/>
    </row>
    <row r="981" spans="3:4">
      <c r="C981" s="43"/>
      <c r="D981" s="43"/>
    </row>
    <row r="982" spans="3:4">
      <c r="C982" s="43"/>
      <c r="D982" s="43"/>
    </row>
    <row r="983" spans="3:4">
      <c r="C983" s="43"/>
      <c r="D983" s="43"/>
    </row>
    <row r="984" spans="3:4">
      <c r="C984" s="43"/>
      <c r="D984" s="43"/>
    </row>
    <row r="985" spans="3:4">
      <c r="C985" s="43"/>
      <c r="D985" s="43"/>
    </row>
    <row r="986" spans="3:4">
      <c r="C986" s="43"/>
      <c r="D986" s="43"/>
    </row>
    <row r="987" spans="3:4">
      <c r="C987" s="43"/>
      <c r="D987" s="43"/>
    </row>
    <row r="988" spans="3:4">
      <c r="C988" s="43"/>
      <c r="D988" s="43"/>
    </row>
    <row r="989" spans="3:4">
      <c r="C989" s="43"/>
      <c r="D989" s="43"/>
    </row>
    <row r="990" spans="3:4">
      <c r="C990" s="43"/>
      <c r="D990" s="43"/>
    </row>
    <row r="991" spans="3:4">
      <c r="C991" s="43"/>
      <c r="D991" s="43"/>
    </row>
    <row r="992" spans="3:4">
      <c r="C992" s="43"/>
      <c r="D992" s="43"/>
    </row>
    <row r="993" spans="3:4">
      <c r="C993" s="43"/>
      <c r="D993" s="43"/>
    </row>
    <row r="994" spans="3:4">
      <c r="C994" s="43"/>
      <c r="D994" s="43"/>
    </row>
    <row r="995" spans="3:4">
      <c r="C995" s="43"/>
      <c r="D995" s="43"/>
    </row>
    <row r="996" spans="3:4">
      <c r="C996" s="43"/>
      <c r="D996" s="43"/>
    </row>
    <row r="997" spans="3:4">
      <c r="C997" s="43"/>
      <c r="D997" s="43"/>
    </row>
    <row r="998" spans="3:4">
      <c r="C998" s="43"/>
      <c r="D998" s="43"/>
    </row>
    <row r="999" spans="3:4">
      <c r="C999" s="43"/>
      <c r="D999" s="43"/>
    </row>
    <row r="1000" spans="3:4">
      <c r="C1000" s="43"/>
      <c r="D1000" s="43"/>
    </row>
    <row r="1001" spans="3:4">
      <c r="C1001" s="43"/>
      <c r="D1001" s="43"/>
    </row>
    <row r="1002" spans="3:4">
      <c r="C1002" s="43"/>
      <c r="D1002" s="43"/>
    </row>
    <row r="1003" spans="3:4">
      <c r="C1003" s="43"/>
      <c r="D1003" s="43"/>
    </row>
    <row r="1004" spans="3:4">
      <c r="C1004" s="43"/>
      <c r="D1004" s="43"/>
    </row>
    <row r="1005" spans="3:4">
      <c r="C1005" s="43"/>
      <c r="D1005" s="43"/>
    </row>
    <row r="1006" spans="3:4">
      <c r="C1006" s="43"/>
      <c r="D1006" s="43"/>
    </row>
    <row r="1007" spans="3:4">
      <c r="C1007" s="43"/>
      <c r="D1007" s="43"/>
    </row>
    <row r="1008" spans="3:4">
      <c r="C1008" s="43"/>
      <c r="D1008" s="43"/>
    </row>
    <row r="1009" spans="3:4">
      <c r="C1009" s="43"/>
      <c r="D1009" s="43"/>
    </row>
    <row r="1010" spans="3:4">
      <c r="C1010" s="43"/>
      <c r="D1010" s="43"/>
    </row>
    <row r="1011" spans="3:4">
      <c r="C1011" s="43"/>
      <c r="D1011" s="43"/>
    </row>
    <row r="1012" spans="3:4">
      <c r="C1012" s="43"/>
      <c r="D1012" s="43"/>
    </row>
    <row r="1013" spans="3:4">
      <c r="C1013" s="43"/>
      <c r="D1013" s="43"/>
    </row>
    <row r="1014" spans="3:4">
      <c r="C1014" s="43"/>
      <c r="D1014" s="43"/>
    </row>
    <row r="1015" spans="3:4">
      <c r="C1015" s="43"/>
      <c r="D1015" s="43"/>
    </row>
    <row r="1016" spans="3:4">
      <c r="C1016" s="43"/>
      <c r="D1016" s="43"/>
    </row>
    <row r="1017" spans="3:4">
      <c r="C1017" s="43"/>
      <c r="D1017" s="43"/>
    </row>
    <row r="1018" spans="3:4">
      <c r="C1018" s="43"/>
      <c r="D1018" s="43"/>
    </row>
    <row r="1019" spans="3:4">
      <c r="C1019" s="43"/>
      <c r="D1019" s="43"/>
    </row>
    <row r="1020" spans="3:4">
      <c r="C1020" s="43"/>
      <c r="D1020" s="43"/>
    </row>
    <row r="1021" spans="3:4">
      <c r="C1021" s="43"/>
      <c r="D1021" s="43"/>
    </row>
    <row r="1022" spans="3:4">
      <c r="C1022" s="43"/>
      <c r="D1022" s="43"/>
    </row>
    <row r="1023" spans="3:4">
      <c r="C1023" s="43"/>
      <c r="D1023" s="43"/>
    </row>
    <row r="1024" spans="3:4">
      <c r="C1024" s="43"/>
      <c r="D1024" s="43"/>
    </row>
    <row r="1025" spans="3:4">
      <c r="C1025" s="43"/>
      <c r="D1025" s="43"/>
    </row>
    <row r="1026" spans="3:4">
      <c r="C1026" s="43"/>
      <c r="D1026" s="43"/>
    </row>
    <row r="1027" spans="3:4">
      <c r="C1027" s="43"/>
      <c r="D1027" s="43"/>
    </row>
    <row r="1028" spans="3:4">
      <c r="C1028" s="43"/>
      <c r="D1028" s="43"/>
    </row>
    <row r="1029" spans="3:4">
      <c r="C1029" s="43"/>
      <c r="D1029" s="43"/>
    </row>
    <row r="1030" spans="3:4">
      <c r="C1030" s="43"/>
      <c r="D1030" s="43"/>
    </row>
    <row r="1031" spans="3:4">
      <c r="C1031" s="43"/>
      <c r="D1031" s="43"/>
    </row>
    <row r="1032" spans="3:4">
      <c r="C1032" s="43"/>
      <c r="D1032" s="43"/>
    </row>
    <row r="1033" spans="3:4">
      <c r="C1033" s="43"/>
      <c r="D1033" s="43"/>
    </row>
    <row r="1034" spans="3:4">
      <c r="C1034" s="43"/>
      <c r="D1034" s="43"/>
    </row>
    <row r="1035" spans="3:4">
      <c r="C1035" s="43"/>
      <c r="D1035" s="43"/>
    </row>
    <row r="1036" spans="3:4">
      <c r="C1036" s="43"/>
      <c r="D1036" s="43"/>
    </row>
    <row r="1037" spans="3:4">
      <c r="C1037" s="43"/>
      <c r="D1037" s="43"/>
    </row>
    <row r="1038" spans="3:4">
      <c r="C1038" s="43"/>
      <c r="D1038" s="43"/>
    </row>
    <row r="1039" spans="3:4">
      <c r="C1039" s="43"/>
      <c r="D1039" s="43"/>
    </row>
    <row r="1040" spans="3:4">
      <c r="C1040" s="43"/>
      <c r="D1040" s="43"/>
    </row>
    <row r="1041" spans="3:4">
      <c r="C1041" s="43"/>
      <c r="D1041" s="43"/>
    </row>
    <row r="1042" spans="3:4">
      <c r="C1042" s="43"/>
      <c r="D1042" s="43"/>
    </row>
    <row r="1043" spans="3:4">
      <c r="C1043" s="43"/>
      <c r="D1043" s="43"/>
    </row>
    <row r="1044" spans="3:4">
      <c r="C1044" s="43"/>
      <c r="D1044" s="43"/>
    </row>
    <row r="1045" spans="3:4">
      <c r="C1045" s="43"/>
      <c r="D1045" s="43"/>
    </row>
    <row r="1046" spans="3:4">
      <c r="C1046" s="43"/>
      <c r="D1046" s="43"/>
    </row>
    <row r="1047" spans="3:4">
      <c r="C1047" s="43"/>
      <c r="D1047" s="43"/>
    </row>
    <row r="1048" spans="3:4">
      <c r="C1048" s="42"/>
      <c r="D1048" s="42"/>
    </row>
    <row r="1049" spans="3:4">
      <c r="C1049" s="43"/>
      <c r="D1049" s="43"/>
    </row>
    <row r="1050" spans="3:4">
      <c r="C1050" s="43"/>
      <c r="D1050" s="43"/>
    </row>
    <row r="1051" spans="3:4">
      <c r="C1051" s="43"/>
      <c r="D1051" s="43"/>
    </row>
    <row r="1052" spans="3:4">
      <c r="C1052" s="43"/>
      <c r="D1052" s="43"/>
    </row>
    <row r="1053" spans="3:4">
      <c r="C1053" s="43"/>
      <c r="D1053" s="43"/>
    </row>
    <row r="1054" spans="3:4">
      <c r="C1054" s="43"/>
      <c r="D1054" s="43"/>
    </row>
    <row r="1055" spans="3:4">
      <c r="C1055" s="43"/>
      <c r="D1055" s="43"/>
    </row>
    <row r="1056" spans="3:4">
      <c r="C1056" s="43"/>
      <c r="D1056" s="43"/>
    </row>
    <row r="1057" spans="3:4">
      <c r="C1057" s="43"/>
      <c r="D1057" s="43"/>
    </row>
    <row r="1058" spans="3:4">
      <c r="C1058" s="43"/>
      <c r="D1058" s="43"/>
    </row>
    <row r="1059" spans="3:4">
      <c r="C1059" s="43"/>
      <c r="D1059" s="43"/>
    </row>
    <row r="1060" spans="3:4">
      <c r="C1060" s="43"/>
      <c r="D1060" s="43"/>
    </row>
    <row r="1061" spans="3:4">
      <c r="C1061" s="43"/>
      <c r="D1061" s="43"/>
    </row>
    <row r="1062" spans="3:4">
      <c r="C1062" s="43"/>
      <c r="D1062" s="43"/>
    </row>
    <row r="1063" spans="3:4">
      <c r="C1063" s="43"/>
      <c r="D1063" s="43"/>
    </row>
    <row r="1064" spans="3:4">
      <c r="C1064" s="43"/>
      <c r="D1064" s="43"/>
    </row>
    <row r="1065" spans="3:4">
      <c r="C1065" s="43"/>
      <c r="D1065" s="43"/>
    </row>
    <row r="1066" spans="3:4">
      <c r="C1066" s="43"/>
      <c r="D1066" s="43"/>
    </row>
    <row r="1067" spans="3:4">
      <c r="C1067" s="43"/>
      <c r="D1067" s="43"/>
    </row>
    <row r="1068" spans="3:4">
      <c r="C1068" s="43"/>
      <c r="D1068" s="43"/>
    </row>
    <row r="1069" spans="3:4">
      <c r="C1069" s="43"/>
      <c r="D1069" s="43"/>
    </row>
    <row r="1070" spans="3:4">
      <c r="C1070" s="43"/>
      <c r="D1070" s="43"/>
    </row>
    <row r="1071" spans="3:4">
      <c r="C1071" s="43"/>
      <c r="D1071" s="43"/>
    </row>
    <row r="1072" spans="3:4">
      <c r="C1072" s="43"/>
      <c r="D1072" s="43"/>
    </row>
    <row r="1073" spans="3:4">
      <c r="C1073" s="43"/>
      <c r="D1073" s="43"/>
    </row>
    <row r="1074" spans="3:4">
      <c r="C1074" s="43"/>
      <c r="D1074" s="43"/>
    </row>
    <row r="1075" spans="3:4">
      <c r="C1075" s="43"/>
      <c r="D1075" s="43"/>
    </row>
    <row r="1076" spans="3:4">
      <c r="C1076" s="43"/>
      <c r="D1076" s="43"/>
    </row>
    <row r="1077" spans="3:4">
      <c r="C1077" s="43"/>
      <c r="D1077" s="43"/>
    </row>
    <row r="1078" spans="3:4">
      <c r="C1078" s="43"/>
      <c r="D1078" s="43"/>
    </row>
    <row r="1079" spans="3:4">
      <c r="C1079" s="43"/>
      <c r="D1079" s="43"/>
    </row>
    <row r="1080" spans="3:4">
      <c r="C1080" s="43"/>
      <c r="D1080" s="43"/>
    </row>
    <row r="1081" spans="3:4">
      <c r="C1081" s="43"/>
      <c r="D1081" s="43"/>
    </row>
    <row r="1082" spans="3:4">
      <c r="C1082" s="43"/>
      <c r="D1082" s="43"/>
    </row>
    <row r="1083" spans="3:4">
      <c r="C1083" s="43"/>
      <c r="D1083" s="43"/>
    </row>
    <row r="1084" spans="3:4">
      <c r="C1084" s="43"/>
      <c r="D1084" s="43"/>
    </row>
    <row r="1085" spans="3:4">
      <c r="C1085" s="43"/>
      <c r="D1085" s="43"/>
    </row>
    <row r="1086" spans="3:4">
      <c r="C1086" s="43"/>
      <c r="D1086" s="43"/>
    </row>
    <row r="1087" spans="3:4">
      <c r="C1087" s="43"/>
      <c r="D1087" s="43"/>
    </row>
    <row r="1088" spans="3:4">
      <c r="C1088" s="43"/>
      <c r="D1088" s="43"/>
    </row>
    <row r="1089" spans="3:4">
      <c r="C1089" s="43"/>
      <c r="D1089" s="43"/>
    </row>
    <row r="1090" spans="3:4">
      <c r="C1090" s="43"/>
      <c r="D1090" s="43"/>
    </row>
    <row r="1091" spans="3:4">
      <c r="C1091" s="43"/>
      <c r="D1091" s="43"/>
    </row>
    <row r="1092" spans="3:4">
      <c r="C1092" s="43"/>
      <c r="D1092" s="43"/>
    </row>
    <row r="1093" spans="3:4">
      <c r="C1093" s="43"/>
      <c r="D1093" s="43"/>
    </row>
    <row r="1094" spans="3:4">
      <c r="C1094" s="43"/>
      <c r="D1094" s="43"/>
    </row>
    <row r="1095" spans="3:4">
      <c r="C1095" s="43"/>
      <c r="D1095" s="43"/>
    </row>
    <row r="1096" spans="3:4">
      <c r="C1096" s="43"/>
      <c r="D1096" s="43"/>
    </row>
    <row r="1097" spans="3:4">
      <c r="C1097" s="43"/>
      <c r="D1097" s="43"/>
    </row>
    <row r="1098" spans="3:4">
      <c r="C1098" s="43"/>
      <c r="D1098" s="43"/>
    </row>
    <row r="1099" spans="3:4">
      <c r="C1099" s="43"/>
      <c r="D1099" s="43"/>
    </row>
    <row r="1100" spans="3:4">
      <c r="C1100" s="43"/>
      <c r="D1100" s="43"/>
    </row>
    <row r="1101" spans="3:4">
      <c r="C1101" s="43"/>
      <c r="D1101" s="43"/>
    </row>
    <row r="1102" spans="3:4">
      <c r="C1102" s="43"/>
      <c r="D1102" s="43"/>
    </row>
    <row r="1103" spans="3:4">
      <c r="C1103" s="43"/>
      <c r="D1103" s="43"/>
    </row>
    <row r="1104" spans="3:4">
      <c r="C1104" s="43"/>
      <c r="D1104" s="43"/>
    </row>
    <row r="1105" spans="3:4">
      <c r="C1105" s="43"/>
      <c r="D1105" s="43"/>
    </row>
    <row r="1106" spans="3:4">
      <c r="C1106" s="43"/>
      <c r="D1106" s="43"/>
    </row>
    <row r="1107" spans="3:4">
      <c r="C1107" s="43"/>
      <c r="D1107" s="43"/>
    </row>
    <row r="1108" spans="3:4">
      <c r="C1108" s="43"/>
      <c r="D1108" s="43"/>
    </row>
    <row r="1109" spans="3:4">
      <c r="C1109" s="43"/>
      <c r="D1109" s="43"/>
    </row>
    <row r="1110" spans="3:4">
      <c r="C1110" s="43"/>
      <c r="D1110" s="43"/>
    </row>
    <row r="1111" spans="3:4">
      <c r="C1111" s="43"/>
      <c r="D1111" s="43"/>
    </row>
    <row r="1112" spans="3:4">
      <c r="C1112" s="43"/>
      <c r="D1112" s="43"/>
    </row>
    <row r="1113" spans="3:4">
      <c r="C1113" s="43"/>
      <c r="D1113" s="43"/>
    </row>
    <row r="1114" spans="3:4">
      <c r="C1114" s="43"/>
      <c r="D1114" s="43"/>
    </row>
    <row r="1115" spans="3:4">
      <c r="C1115" s="43"/>
      <c r="D1115" s="43"/>
    </row>
    <row r="1116" spans="3:4">
      <c r="C1116" s="43"/>
      <c r="D1116" s="43"/>
    </row>
    <row r="1117" spans="3:4">
      <c r="C1117" s="43"/>
      <c r="D1117" s="43"/>
    </row>
    <row r="1118" spans="3:4">
      <c r="C1118" s="43"/>
      <c r="D1118" s="43"/>
    </row>
    <row r="1119" spans="3:4">
      <c r="C1119" s="43"/>
      <c r="D1119" s="43"/>
    </row>
    <row r="1120" spans="3:4">
      <c r="C1120" s="43"/>
      <c r="D1120" s="43"/>
    </row>
    <row r="1121" spans="3:4">
      <c r="C1121" s="43"/>
      <c r="D1121" s="43"/>
    </row>
    <row r="1122" spans="3:4">
      <c r="C1122" s="43"/>
      <c r="D1122" s="43"/>
    </row>
    <row r="1123" spans="3:4">
      <c r="C1123" s="43"/>
      <c r="D1123" s="43"/>
    </row>
    <row r="1124" spans="3:4">
      <c r="C1124" s="43"/>
      <c r="D1124" s="43"/>
    </row>
    <row r="1125" spans="3:4">
      <c r="C1125" s="43"/>
      <c r="D1125" s="43"/>
    </row>
    <row r="1126" spans="3:4">
      <c r="C1126" s="43"/>
      <c r="D1126" s="43"/>
    </row>
    <row r="1127" spans="3:4">
      <c r="C1127" s="43"/>
      <c r="D1127" s="43"/>
    </row>
    <row r="1128" spans="3:4">
      <c r="C1128" s="43"/>
      <c r="D1128" s="43"/>
    </row>
    <row r="1129" spans="3:4">
      <c r="C1129" s="43"/>
      <c r="D1129" s="43"/>
    </row>
    <row r="1130" spans="3:4">
      <c r="C1130" s="43"/>
      <c r="D1130" s="43"/>
    </row>
    <row r="1131" spans="3:4">
      <c r="C1131" s="43"/>
      <c r="D1131" s="43"/>
    </row>
    <row r="1132" spans="3:4">
      <c r="C1132" s="43"/>
      <c r="D1132" s="43"/>
    </row>
    <row r="1133" spans="3:4">
      <c r="C1133" s="43"/>
      <c r="D1133" s="43"/>
    </row>
    <row r="1134" spans="3:4">
      <c r="C1134" s="43"/>
      <c r="D1134" s="43"/>
    </row>
    <row r="1135" spans="3:4">
      <c r="C1135" s="43"/>
      <c r="D1135" s="43"/>
    </row>
    <row r="1136" spans="3:4">
      <c r="C1136" s="43"/>
      <c r="D1136" s="43"/>
    </row>
    <row r="1137" spans="3:4">
      <c r="C1137" s="43"/>
      <c r="D1137" s="43"/>
    </row>
    <row r="1138" spans="3:4">
      <c r="C1138" s="43"/>
      <c r="D1138" s="43"/>
    </row>
    <row r="1139" spans="3:4">
      <c r="C1139" s="43"/>
      <c r="D1139" s="43"/>
    </row>
    <row r="1140" spans="3:4">
      <c r="C1140" s="43"/>
      <c r="D1140" s="43"/>
    </row>
    <row r="1141" spans="3:4">
      <c r="C1141" s="43"/>
      <c r="D1141" s="43"/>
    </row>
    <row r="1142" spans="3:4">
      <c r="C1142" s="43"/>
      <c r="D1142" s="43"/>
    </row>
    <row r="1143" spans="3:4">
      <c r="C1143" s="43"/>
      <c r="D1143" s="43"/>
    </row>
    <row r="1144" spans="3:4">
      <c r="C1144" s="43"/>
      <c r="D1144" s="43"/>
    </row>
    <row r="1145" spans="3:4">
      <c r="C1145" s="43"/>
      <c r="D1145" s="43"/>
    </row>
    <row r="1146" spans="3:4">
      <c r="C1146" s="43"/>
      <c r="D1146" s="43"/>
    </row>
    <row r="1147" spans="3:4">
      <c r="C1147" s="43"/>
      <c r="D1147" s="43"/>
    </row>
    <row r="1148" spans="3:4">
      <c r="C1148" s="43"/>
      <c r="D1148" s="43"/>
    </row>
    <row r="1149" spans="3:4">
      <c r="C1149" s="43"/>
      <c r="D1149" s="43"/>
    </row>
    <row r="1150" spans="3:4">
      <c r="C1150" s="43"/>
      <c r="D1150" s="43"/>
    </row>
    <row r="1151" spans="3:4">
      <c r="C1151" s="43"/>
      <c r="D1151" s="43"/>
    </row>
    <row r="1152" spans="3:4">
      <c r="C1152" s="43"/>
      <c r="D1152" s="43"/>
    </row>
    <row r="1153" spans="3:4">
      <c r="C1153" s="43"/>
      <c r="D1153" s="43"/>
    </row>
    <row r="1154" spans="3:4">
      <c r="C1154" s="43"/>
      <c r="D1154" s="43"/>
    </row>
    <row r="1155" spans="3:4">
      <c r="C1155" s="43"/>
      <c r="D1155" s="43"/>
    </row>
    <row r="1156" spans="3:4">
      <c r="C1156" s="43"/>
      <c r="D1156" s="43"/>
    </row>
    <row r="1157" spans="3:4">
      <c r="C1157" s="43"/>
      <c r="D1157" s="43"/>
    </row>
    <row r="1158" spans="3:4">
      <c r="C1158" s="43"/>
      <c r="D1158" s="43"/>
    </row>
    <row r="1159" spans="3:4">
      <c r="C1159" s="43"/>
      <c r="D1159" s="43"/>
    </row>
    <row r="1160" spans="3:4">
      <c r="C1160" s="43"/>
      <c r="D1160" s="43"/>
    </row>
    <row r="1161" spans="3:4">
      <c r="C1161" s="43"/>
      <c r="D1161" s="43"/>
    </row>
    <row r="1162" spans="3:4">
      <c r="C1162" s="43"/>
      <c r="D1162" s="43"/>
    </row>
    <row r="1163" spans="3:4">
      <c r="C1163" s="43"/>
      <c r="D1163" s="43"/>
    </row>
    <row r="1164" spans="3:4">
      <c r="C1164" s="43"/>
      <c r="D1164" s="43"/>
    </row>
    <row r="1165" spans="3:4">
      <c r="C1165" s="43"/>
      <c r="D1165" s="43"/>
    </row>
    <row r="1166" spans="3:4">
      <c r="C1166" s="43"/>
      <c r="D1166" s="43"/>
    </row>
    <row r="1167" spans="3:4">
      <c r="C1167" s="43"/>
      <c r="D1167" s="43"/>
    </row>
    <row r="1168" spans="3:4">
      <c r="C1168" s="43"/>
      <c r="D1168" s="43"/>
    </row>
    <row r="1169" spans="3:4">
      <c r="C1169" s="43"/>
      <c r="D1169" s="43"/>
    </row>
    <row r="1170" spans="3:4">
      <c r="C1170" s="43"/>
      <c r="D1170" s="43"/>
    </row>
    <row r="1171" spans="3:4">
      <c r="C1171" s="43"/>
      <c r="D1171" s="43"/>
    </row>
    <row r="1172" spans="3:4">
      <c r="C1172" s="43"/>
      <c r="D1172" s="43"/>
    </row>
    <row r="1173" spans="3:4">
      <c r="C1173" s="43"/>
      <c r="D1173" s="43"/>
    </row>
    <row r="1174" spans="3:4">
      <c r="C1174" s="43"/>
      <c r="D1174" s="43"/>
    </row>
    <row r="1175" spans="3:4">
      <c r="C1175" s="43"/>
      <c r="D1175" s="43"/>
    </row>
    <row r="1176" spans="3:4">
      <c r="C1176" s="43"/>
      <c r="D1176" s="43"/>
    </row>
    <row r="1177" spans="3:4">
      <c r="C1177" s="43"/>
      <c r="D1177" s="43"/>
    </row>
    <row r="1178" spans="3:4">
      <c r="C1178" s="43"/>
      <c r="D1178" s="43"/>
    </row>
    <row r="1179" spans="3:4">
      <c r="C1179" s="43"/>
      <c r="D1179" s="43"/>
    </row>
    <row r="1180" spans="3:4">
      <c r="C1180" s="43"/>
      <c r="D1180" s="43"/>
    </row>
    <row r="1181" spans="3:4">
      <c r="C1181" s="43"/>
      <c r="D1181" s="43"/>
    </row>
    <row r="1182" spans="3:4">
      <c r="C1182" s="43"/>
      <c r="D1182" s="43"/>
    </row>
    <row r="1183" spans="3:4">
      <c r="C1183" s="43"/>
      <c r="D1183" s="43"/>
    </row>
    <row r="1184" spans="3:4">
      <c r="C1184" s="43"/>
      <c r="D1184" s="43"/>
    </row>
    <row r="1185" spans="3:4">
      <c r="C1185" s="43"/>
      <c r="D1185" s="43"/>
    </row>
    <row r="1186" spans="3:4">
      <c r="C1186" s="43"/>
      <c r="D1186" s="43"/>
    </row>
    <row r="1187" spans="3:4">
      <c r="C1187" s="43"/>
      <c r="D1187" s="43"/>
    </row>
    <row r="1188" spans="3:4">
      <c r="C1188" s="43"/>
      <c r="D1188" s="43"/>
    </row>
    <row r="1189" spans="3:4">
      <c r="C1189" s="43"/>
      <c r="D1189" s="43"/>
    </row>
    <row r="1190" spans="3:4">
      <c r="C1190" s="43"/>
      <c r="D1190" s="43"/>
    </row>
    <row r="1191" spans="3:4">
      <c r="C1191" s="43"/>
      <c r="D1191" s="43"/>
    </row>
    <row r="1192" spans="3:4">
      <c r="C1192" s="43"/>
      <c r="D1192" s="43"/>
    </row>
    <row r="1193" spans="3:4">
      <c r="C1193" s="43"/>
      <c r="D1193" s="43"/>
    </row>
    <row r="1194" spans="3:4">
      <c r="C1194" s="43"/>
      <c r="D1194" s="43"/>
    </row>
    <row r="1195" spans="3:4">
      <c r="C1195" s="43"/>
      <c r="D1195" s="43"/>
    </row>
    <row r="1196" spans="3:4">
      <c r="C1196" s="43"/>
      <c r="D1196" s="43"/>
    </row>
    <row r="1197" spans="3:4">
      <c r="C1197" s="43"/>
      <c r="D1197" s="43"/>
    </row>
    <row r="1198" spans="3:4">
      <c r="C1198" s="43"/>
      <c r="D1198" s="43"/>
    </row>
    <row r="1199" spans="3:4">
      <c r="C1199" s="43"/>
      <c r="D1199" s="43"/>
    </row>
    <row r="1200" spans="3:4">
      <c r="C1200" s="43"/>
      <c r="D1200" s="43"/>
    </row>
    <row r="1201" spans="3:4">
      <c r="C1201" s="43"/>
      <c r="D1201" s="43"/>
    </row>
    <row r="1202" spans="3:4">
      <c r="C1202" s="43"/>
      <c r="D1202" s="43"/>
    </row>
    <row r="1203" spans="3:4">
      <c r="C1203" s="43"/>
      <c r="D1203" s="43"/>
    </row>
    <row r="1204" spans="3:4">
      <c r="C1204" s="43"/>
      <c r="D1204" s="43"/>
    </row>
    <row r="1205" spans="3:4">
      <c r="C1205" s="43"/>
      <c r="D1205" s="43"/>
    </row>
    <row r="1206" spans="3:4">
      <c r="C1206" s="43"/>
      <c r="D1206" s="43"/>
    </row>
    <row r="1207" spans="3:4">
      <c r="C1207" s="43"/>
      <c r="D1207" s="43"/>
    </row>
    <row r="1208" spans="3:4">
      <c r="C1208" s="43"/>
      <c r="D1208" s="43"/>
    </row>
    <row r="1209" spans="3:4">
      <c r="C1209" s="43"/>
      <c r="D1209" s="43"/>
    </row>
    <row r="1210" spans="3:4">
      <c r="C1210" s="43"/>
      <c r="D1210" s="43"/>
    </row>
    <row r="1211" spans="3:4">
      <c r="C1211" s="43"/>
      <c r="D1211" s="43"/>
    </row>
    <row r="1212" spans="3:4">
      <c r="C1212" s="43"/>
      <c r="D1212" s="43"/>
    </row>
    <row r="1213" spans="3:4">
      <c r="C1213" s="43"/>
      <c r="D1213" s="43"/>
    </row>
    <row r="1214" spans="3:4">
      <c r="C1214" s="43"/>
      <c r="D1214" s="43"/>
    </row>
    <row r="1215" spans="3:4">
      <c r="C1215" s="43"/>
      <c r="D1215" s="43"/>
    </row>
    <row r="1216" spans="3:4">
      <c r="C1216" s="43"/>
      <c r="D1216" s="43"/>
    </row>
    <row r="1217" spans="3:4">
      <c r="C1217" s="43"/>
      <c r="D1217" s="43"/>
    </row>
    <row r="1218" spans="3:4">
      <c r="C1218" s="43"/>
      <c r="D1218" s="43"/>
    </row>
    <row r="1219" spans="3:4">
      <c r="C1219" s="43"/>
      <c r="D1219" s="43"/>
    </row>
    <row r="1220" spans="3:4">
      <c r="C1220" s="43"/>
      <c r="D1220" s="43"/>
    </row>
    <row r="1221" spans="3:4">
      <c r="C1221" s="43"/>
      <c r="D1221" s="43"/>
    </row>
    <row r="1222" spans="3:4">
      <c r="C1222" s="43"/>
      <c r="D1222" s="43"/>
    </row>
    <row r="1223" spans="3:4">
      <c r="C1223" s="43"/>
      <c r="D1223" s="43"/>
    </row>
    <row r="1224" spans="3:4">
      <c r="C1224" s="43"/>
      <c r="D1224" s="43"/>
    </row>
    <row r="1225" spans="3:4">
      <c r="C1225" s="43"/>
      <c r="D1225" s="43"/>
    </row>
    <row r="1226" spans="3:4">
      <c r="C1226" s="43"/>
      <c r="D1226" s="43"/>
    </row>
    <row r="1227" spans="3:4">
      <c r="C1227" s="43"/>
      <c r="D1227" s="43"/>
    </row>
    <row r="1228" spans="3:4">
      <c r="C1228" s="43"/>
      <c r="D1228" s="43"/>
    </row>
    <row r="1229" spans="3:4">
      <c r="C1229" s="43"/>
      <c r="D1229" s="43"/>
    </row>
    <row r="1230" spans="3:4">
      <c r="C1230" s="43"/>
      <c r="D1230" s="43"/>
    </row>
    <row r="1231" spans="3:4">
      <c r="C1231" s="43"/>
      <c r="D1231" s="43"/>
    </row>
    <row r="1232" spans="3:4">
      <c r="C1232" s="43"/>
      <c r="D1232" s="43"/>
    </row>
    <row r="1233" spans="3:4">
      <c r="C1233" s="43"/>
      <c r="D1233" s="43"/>
    </row>
    <row r="1234" spans="3:4">
      <c r="C1234" s="43"/>
      <c r="D1234" s="43"/>
    </row>
    <row r="1235" spans="3:4">
      <c r="C1235" s="43"/>
      <c r="D1235" s="43"/>
    </row>
    <row r="1236" spans="3:4">
      <c r="C1236" s="43"/>
      <c r="D1236" s="43"/>
    </row>
    <row r="1237" spans="3:4">
      <c r="C1237" s="43"/>
      <c r="D1237" s="43"/>
    </row>
    <row r="1238" spans="3:4">
      <c r="C1238" s="43"/>
      <c r="D1238" s="43"/>
    </row>
    <row r="1239" spans="3:4">
      <c r="C1239" s="43"/>
      <c r="D1239" s="43"/>
    </row>
    <row r="1240" spans="3:4">
      <c r="C1240" s="43"/>
      <c r="D1240" s="43"/>
    </row>
    <row r="1241" spans="3:4">
      <c r="C1241" s="43"/>
      <c r="D1241" s="43"/>
    </row>
    <row r="1242" spans="3:4">
      <c r="C1242" s="43"/>
      <c r="D1242" s="43"/>
    </row>
    <row r="1243" spans="3:4">
      <c r="C1243" s="43"/>
      <c r="D1243" s="43"/>
    </row>
    <row r="1244" spans="3:4">
      <c r="C1244" s="43"/>
      <c r="D1244" s="43"/>
    </row>
    <row r="1245" spans="3:4">
      <c r="C1245" s="43"/>
      <c r="D1245" s="43"/>
    </row>
    <row r="1246" spans="3:4">
      <c r="C1246" s="43"/>
      <c r="D1246" s="43"/>
    </row>
    <row r="1247" spans="3:4">
      <c r="C1247" s="43"/>
      <c r="D1247" s="43"/>
    </row>
    <row r="1248" spans="3:4">
      <c r="C1248" s="43"/>
      <c r="D1248" s="43"/>
    </row>
    <row r="1249" spans="3:4">
      <c r="C1249" s="43"/>
      <c r="D1249" s="43"/>
    </row>
    <row r="1250" spans="3:4">
      <c r="C1250" s="43"/>
      <c r="D1250" s="43"/>
    </row>
    <row r="1251" spans="3:4">
      <c r="C1251" s="43"/>
      <c r="D1251" s="43"/>
    </row>
    <row r="1252" spans="3:4">
      <c r="C1252" s="43"/>
      <c r="D1252" s="43"/>
    </row>
    <row r="1253" spans="3:4">
      <c r="C1253" s="43"/>
      <c r="D1253" s="43"/>
    </row>
    <row r="1254" spans="3:4">
      <c r="C1254" s="43"/>
      <c r="D1254" s="43"/>
    </row>
    <row r="1255" spans="3:4">
      <c r="C1255" s="43"/>
      <c r="D1255" s="43"/>
    </row>
    <row r="1256" spans="3:4">
      <c r="C1256" s="43"/>
      <c r="D1256" s="43"/>
    </row>
    <row r="1257" spans="3:4">
      <c r="C1257" s="43"/>
      <c r="D1257" s="43"/>
    </row>
    <row r="1258" spans="3:4">
      <c r="C1258" s="43"/>
      <c r="D1258" s="43"/>
    </row>
    <row r="1259" spans="3:4">
      <c r="C1259" s="43"/>
      <c r="D1259" s="43"/>
    </row>
    <row r="1260" spans="3:4">
      <c r="C1260" s="43"/>
      <c r="D1260" s="43"/>
    </row>
    <row r="1261" spans="3:4">
      <c r="C1261" s="43"/>
      <c r="D1261" s="43"/>
    </row>
    <row r="1262" spans="3:4">
      <c r="C1262" s="43"/>
      <c r="D1262" s="43"/>
    </row>
    <row r="1263" spans="3:4">
      <c r="C1263" s="43"/>
      <c r="D1263" s="43"/>
    </row>
    <row r="1264" spans="3:4">
      <c r="C1264" s="43"/>
      <c r="D1264" s="43"/>
    </row>
    <row r="1265" spans="3:4">
      <c r="C1265" s="43"/>
      <c r="D1265" s="43"/>
    </row>
    <row r="1266" spans="3:4">
      <c r="C1266" s="43"/>
      <c r="D1266" s="43"/>
    </row>
    <row r="1267" spans="3:4">
      <c r="C1267" s="43"/>
      <c r="D1267" s="43"/>
    </row>
    <row r="1268" spans="3:4">
      <c r="C1268" s="43"/>
      <c r="D1268" s="43"/>
    </row>
    <row r="1269" spans="3:4">
      <c r="C1269" s="43"/>
      <c r="D1269" s="43"/>
    </row>
    <row r="1270" spans="3:4">
      <c r="C1270" s="43"/>
      <c r="D1270" s="43"/>
    </row>
    <row r="1271" spans="3:4">
      <c r="C1271" s="43"/>
      <c r="D1271" s="43"/>
    </row>
    <row r="1272" spans="3:4">
      <c r="C1272" s="43"/>
      <c r="D1272" s="43"/>
    </row>
    <row r="1273" spans="3:4">
      <c r="C1273" s="43"/>
      <c r="D1273" s="43"/>
    </row>
    <row r="1274" spans="3:4">
      <c r="C1274" s="43"/>
      <c r="D1274" s="43"/>
    </row>
    <row r="1275" spans="3:4">
      <c r="C1275" s="43"/>
      <c r="D1275" s="43"/>
    </row>
    <row r="1276" spans="3:4">
      <c r="C1276" s="43"/>
      <c r="D1276" s="43"/>
    </row>
    <row r="1277" spans="3:4">
      <c r="C1277" s="43"/>
      <c r="D1277" s="43"/>
    </row>
    <row r="1278" spans="3:4">
      <c r="C1278" s="43"/>
      <c r="D1278" s="43"/>
    </row>
    <row r="1279" spans="3:4">
      <c r="C1279" s="43"/>
      <c r="D1279" s="43"/>
    </row>
    <row r="1280" spans="3:4">
      <c r="C1280" s="43"/>
      <c r="D1280" s="43"/>
    </row>
    <row r="1281" spans="3:4">
      <c r="C1281" s="43"/>
      <c r="D1281" s="43"/>
    </row>
    <row r="1282" spans="3:4">
      <c r="C1282" s="43"/>
      <c r="D1282" s="43"/>
    </row>
    <row r="1283" spans="3:4">
      <c r="C1283" s="43"/>
      <c r="D1283" s="43"/>
    </row>
    <row r="1284" spans="3:4">
      <c r="C1284" s="43"/>
      <c r="D1284" s="43"/>
    </row>
    <row r="1285" spans="3:4">
      <c r="C1285" s="43"/>
      <c r="D1285" s="43"/>
    </row>
    <row r="1286" spans="3:4">
      <c r="C1286" s="43"/>
      <c r="D1286" s="43"/>
    </row>
    <row r="1287" spans="3:4">
      <c r="C1287" s="43"/>
      <c r="D1287" s="43"/>
    </row>
    <row r="1288" spans="3:4">
      <c r="C1288" s="43"/>
      <c r="D1288" s="43"/>
    </row>
    <row r="1289" spans="3:4">
      <c r="C1289" s="43"/>
      <c r="D1289" s="43"/>
    </row>
    <row r="1290" spans="3:4">
      <c r="C1290" s="43"/>
      <c r="D1290" s="43"/>
    </row>
    <row r="1291" spans="3:4">
      <c r="C1291" s="43"/>
      <c r="D1291" s="43"/>
    </row>
    <row r="1292" spans="3:4">
      <c r="C1292" s="43"/>
      <c r="D1292" s="43"/>
    </row>
    <row r="1293" spans="3:4">
      <c r="C1293" s="43"/>
      <c r="D1293" s="43"/>
    </row>
    <row r="1294" spans="3:4">
      <c r="C1294" s="43"/>
      <c r="D1294" s="43"/>
    </row>
    <row r="1295" spans="3:4">
      <c r="C1295" s="43"/>
      <c r="D1295" s="43"/>
    </row>
    <row r="1296" spans="3:4">
      <c r="C1296" s="43"/>
      <c r="D1296" s="43"/>
    </row>
    <row r="1297" spans="3:4">
      <c r="C1297" s="43"/>
      <c r="D1297" s="43"/>
    </row>
    <row r="1298" spans="3:4">
      <c r="C1298" s="43"/>
      <c r="D1298" s="43"/>
    </row>
    <row r="1299" spans="3:4">
      <c r="C1299" s="43"/>
      <c r="D1299" s="43"/>
    </row>
    <row r="1300" spans="3:4">
      <c r="C1300" s="43"/>
      <c r="D1300" s="43"/>
    </row>
    <row r="1301" spans="3:4">
      <c r="C1301" s="43"/>
      <c r="D1301" s="43"/>
    </row>
    <row r="1302" spans="3:4">
      <c r="C1302" s="43"/>
      <c r="D1302" s="43"/>
    </row>
    <row r="1303" spans="3:4">
      <c r="C1303" s="43"/>
      <c r="D1303" s="43"/>
    </row>
    <row r="1304" spans="3:4">
      <c r="C1304" s="43"/>
      <c r="D1304" s="43"/>
    </row>
    <row r="1305" spans="3:4">
      <c r="C1305" s="43"/>
      <c r="D1305" s="43"/>
    </row>
    <row r="1306" spans="3:4">
      <c r="C1306" s="43"/>
      <c r="D1306" s="43"/>
    </row>
    <row r="1307" spans="3:4">
      <c r="C1307" s="43"/>
      <c r="D1307" s="43"/>
    </row>
    <row r="1308" spans="3:4">
      <c r="C1308" s="43"/>
      <c r="D1308" s="43"/>
    </row>
    <row r="1309" spans="3:4">
      <c r="C1309" s="43"/>
      <c r="D1309" s="43"/>
    </row>
    <row r="1310" spans="3:4">
      <c r="C1310" s="43"/>
      <c r="D1310" s="43"/>
    </row>
    <row r="1311" spans="3:4">
      <c r="C1311" s="43"/>
      <c r="D1311" s="43"/>
    </row>
    <row r="1312" spans="3:4">
      <c r="C1312" s="43"/>
      <c r="D1312" s="43"/>
    </row>
    <row r="1313" spans="3:4">
      <c r="C1313" s="43"/>
      <c r="D1313" s="43"/>
    </row>
    <row r="1314" spans="3:4">
      <c r="C1314" s="43"/>
      <c r="D1314" s="43"/>
    </row>
    <row r="1315" spans="3:4">
      <c r="C1315" s="43"/>
      <c r="D1315" s="43"/>
    </row>
    <row r="1316" spans="3:4">
      <c r="C1316" s="43"/>
      <c r="D1316" s="43"/>
    </row>
    <row r="1317" spans="3:4">
      <c r="C1317" s="43"/>
      <c r="D1317" s="43"/>
    </row>
    <row r="1318" spans="3:4">
      <c r="C1318" s="43"/>
      <c r="D1318" s="43"/>
    </row>
    <row r="1319" spans="3:4">
      <c r="C1319" s="43"/>
      <c r="D1319" s="43"/>
    </row>
    <row r="1320" spans="3:4">
      <c r="C1320" s="43"/>
      <c r="D1320" s="43"/>
    </row>
    <row r="1321" spans="3:4">
      <c r="C1321" s="43"/>
      <c r="D1321" s="43"/>
    </row>
    <row r="1322" spans="3:4">
      <c r="C1322" s="43"/>
      <c r="D1322" s="43"/>
    </row>
    <row r="1323" spans="3:4">
      <c r="C1323" s="43"/>
      <c r="D1323" s="43"/>
    </row>
    <row r="1324" spans="3:4">
      <c r="C1324" s="43"/>
      <c r="D1324" s="43"/>
    </row>
    <row r="1325" spans="3:4">
      <c r="C1325" s="43"/>
      <c r="D1325" s="43"/>
    </row>
    <row r="1326" spans="3:4">
      <c r="C1326" s="43"/>
      <c r="D1326" s="43"/>
    </row>
    <row r="1327" spans="3:4">
      <c r="C1327" s="43"/>
      <c r="D1327" s="43"/>
    </row>
    <row r="1328" spans="3:4">
      <c r="C1328" s="43"/>
      <c r="D1328" s="43"/>
    </row>
    <row r="1329" spans="3:4">
      <c r="C1329" s="43"/>
      <c r="D1329" s="43"/>
    </row>
    <row r="1330" spans="3:4">
      <c r="C1330" s="43"/>
      <c r="D1330" s="43"/>
    </row>
    <row r="1331" spans="3:4">
      <c r="C1331" s="43"/>
      <c r="D1331" s="43"/>
    </row>
    <row r="1332" spans="3:4">
      <c r="C1332" s="43"/>
      <c r="D1332" s="43"/>
    </row>
    <row r="1333" spans="3:4">
      <c r="C1333" s="43"/>
      <c r="D1333" s="43"/>
    </row>
    <row r="1334" spans="3:4">
      <c r="C1334" s="43"/>
      <c r="D1334" s="43"/>
    </row>
    <row r="1335" spans="3:4">
      <c r="C1335" s="43"/>
      <c r="D1335" s="43"/>
    </row>
    <row r="1336" spans="3:4">
      <c r="C1336" s="43"/>
      <c r="D1336" s="43"/>
    </row>
    <row r="1337" spans="3:4">
      <c r="C1337" s="43"/>
      <c r="D1337" s="43"/>
    </row>
    <row r="1338" spans="3:4">
      <c r="C1338" s="43"/>
      <c r="D1338" s="43"/>
    </row>
    <row r="1339" spans="3:4">
      <c r="C1339" s="43"/>
      <c r="D1339" s="43"/>
    </row>
    <row r="1340" spans="3:4">
      <c r="C1340" s="43"/>
      <c r="D1340" s="43"/>
    </row>
    <row r="1341" spans="3:4">
      <c r="C1341" s="43"/>
      <c r="D1341" s="43"/>
    </row>
    <row r="1342" spans="3:4">
      <c r="C1342" s="43"/>
      <c r="D1342" s="43"/>
    </row>
    <row r="1343" spans="3:4">
      <c r="C1343" s="43"/>
      <c r="D1343" s="43"/>
    </row>
    <row r="1344" spans="3:4">
      <c r="C1344" s="43"/>
      <c r="D1344" s="43"/>
    </row>
    <row r="1345" spans="3:4">
      <c r="C1345" s="43"/>
      <c r="D1345" s="43"/>
    </row>
    <row r="1346" spans="3:4">
      <c r="C1346" s="43"/>
      <c r="D1346" s="43"/>
    </row>
    <row r="1347" spans="3:4">
      <c r="C1347" s="43"/>
      <c r="D1347" s="43"/>
    </row>
    <row r="1348" spans="3:4">
      <c r="C1348" s="43"/>
      <c r="D1348" s="43"/>
    </row>
    <row r="1349" spans="3:4">
      <c r="C1349" s="43"/>
      <c r="D1349" s="43"/>
    </row>
    <row r="1350" spans="3:4">
      <c r="C1350" s="43"/>
      <c r="D1350" s="43"/>
    </row>
    <row r="1351" spans="3:4">
      <c r="C1351" s="43"/>
      <c r="D1351" s="43"/>
    </row>
    <row r="1352" spans="3:4">
      <c r="C1352" s="43"/>
      <c r="D1352" s="43"/>
    </row>
    <row r="1353" spans="3:4">
      <c r="C1353" s="43"/>
      <c r="D1353" s="43"/>
    </row>
    <row r="1354" spans="3:4">
      <c r="C1354" s="43"/>
      <c r="D1354" s="43"/>
    </row>
    <row r="1355" spans="3:4">
      <c r="C1355" s="43"/>
      <c r="D1355" s="43"/>
    </row>
    <row r="1356" spans="3:4">
      <c r="C1356" s="43"/>
      <c r="D1356" s="43"/>
    </row>
    <row r="1357" spans="3:4">
      <c r="C1357" s="43"/>
      <c r="D1357" s="43"/>
    </row>
    <row r="1358" spans="3:4">
      <c r="C1358" s="43"/>
      <c r="D1358" s="43"/>
    </row>
    <row r="1359" spans="3:4">
      <c r="C1359" s="43"/>
      <c r="D1359" s="43"/>
    </row>
    <row r="1360" spans="3:4">
      <c r="C1360" s="43"/>
      <c r="D1360" s="43"/>
    </row>
    <row r="1361" spans="3:4">
      <c r="C1361" s="43"/>
      <c r="D1361" s="43"/>
    </row>
    <row r="1362" spans="3:4">
      <c r="C1362" s="43"/>
      <c r="D1362" s="43"/>
    </row>
    <row r="1363" spans="3:4">
      <c r="C1363" s="43"/>
      <c r="D1363" s="43"/>
    </row>
    <row r="1364" spans="3:4">
      <c r="C1364" s="43"/>
      <c r="D1364" s="43"/>
    </row>
    <row r="1365" spans="3:4">
      <c r="C1365" s="43"/>
      <c r="D1365" s="43"/>
    </row>
    <row r="1366" spans="3:4">
      <c r="C1366" s="43"/>
      <c r="D1366" s="43"/>
    </row>
    <row r="1367" spans="3:4">
      <c r="C1367" s="43"/>
      <c r="D1367" s="43"/>
    </row>
    <row r="1368" spans="3:4">
      <c r="C1368" s="43"/>
      <c r="D1368" s="43"/>
    </row>
    <row r="1369" spans="3:4">
      <c r="C1369" s="43"/>
      <c r="D1369" s="43"/>
    </row>
    <row r="1370" spans="3:4">
      <c r="C1370" s="43"/>
      <c r="D1370" s="43"/>
    </row>
    <row r="1371" spans="3:4">
      <c r="C1371" s="43"/>
      <c r="D1371" s="43"/>
    </row>
    <row r="1372" spans="3:4">
      <c r="C1372" s="43"/>
      <c r="D1372" s="43"/>
    </row>
    <row r="1373" spans="3:4">
      <c r="C1373" s="43"/>
      <c r="D1373" s="43"/>
    </row>
    <row r="1374" spans="3:4">
      <c r="C1374" s="43"/>
      <c r="D1374" s="43"/>
    </row>
    <row r="1375" spans="3:4">
      <c r="C1375" s="43"/>
      <c r="D1375" s="43"/>
    </row>
    <row r="1376" spans="3:4">
      <c r="C1376" s="43"/>
      <c r="D1376" s="43"/>
    </row>
    <row r="1377" spans="3:4">
      <c r="C1377" s="43"/>
      <c r="D1377" s="43"/>
    </row>
    <row r="1378" spans="3:4">
      <c r="C1378" s="43"/>
      <c r="D1378" s="43"/>
    </row>
    <row r="1379" spans="3:4">
      <c r="C1379" s="43"/>
      <c r="D1379" s="43"/>
    </row>
    <row r="1380" spans="3:4">
      <c r="C1380" s="43"/>
      <c r="D1380" s="43"/>
    </row>
    <row r="1381" spans="3:4">
      <c r="C1381" s="43"/>
      <c r="D1381" s="43"/>
    </row>
    <row r="1382" spans="3:4">
      <c r="C1382" s="43"/>
      <c r="D1382" s="43"/>
    </row>
    <row r="1383" spans="3:4">
      <c r="C1383" s="43"/>
      <c r="D1383" s="43"/>
    </row>
    <row r="1384" spans="3:4">
      <c r="C1384" s="43"/>
      <c r="D1384" s="43"/>
    </row>
    <row r="1385" spans="3:4">
      <c r="C1385" s="43"/>
      <c r="D1385" s="43"/>
    </row>
    <row r="1386" spans="3:4">
      <c r="C1386" s="43"/>
      <c r="D1386" s="43"/>
    </row>
    <row r="1387" spans="3:4">
      <c r="C1387" s="43"/>
      <c r="D1387" s="43"/>
    </row>
    <row r="1388" spans="3:4">
      <c r="C1388" s="43"/>
      <c r="D1388" s="43"/>
    </row>
    <row r="1389" spans="3:4">
      <c r="C1389" s="43"/>
      <c r="D1389" s="43"/>
    </row>
    <row r="1390" spans="3:4">
      <c r="C1390" s="43"/>
      <c r="D1390" s="43"/>
    </row>
    <row r="1391" spans="3:4">
      <c r="C1391" s="43"/>
      <c r="D1391" s="43"/>
    </row>
    <row r="1392" spans="3:4">
      <c r="C1392" s="43"/>
      <c r="D1392" s="43"/>
    </row>
  </sheetData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4</vt:i4>
      </vt:variant>
    </vt:vector>
  </HeadingPairs>
  <TitlesOfParts>
    <vt:vector size="8" baseType="lpstr">
      <vt:lpstr>Blad1</vt:lpstr>
      <vt:lpstr>Release Notes</vt:lpstr>
      <vt:lpstr>Instellingen</vt:lpstr>
      <vt:lpstr>Transacties</vt:lpstr>
      <vt:lpstr>Aantal_Ingevulde_IBANnummers</vt:lpstr>
      <vt:lpstr>MaximumBedrag</vt:lpstr>
      <vt:lpstr>MinimumBedrag</vt:lpstr>
      <vt:lpstr>VakantieDagen</vt:lpstr>
    </vt:vector>
  </TitlesOfParts>
  <Company>TemplateBuilding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TemplateBuilding</dc:creator>
  <cp:lastModifiedBy>John</cp:lastModifiedBy>
  <cp:lastPrinted>2007-03-27T12:09:15Z</cp:lastPrinted>
  <dcterms:created xsi:type="dcterms:W3CDTF">2005-03-11T10:27:31Z</dcterms:created>
  <dcterms:modified xsi:type="dcterms:W3CDTF">2019-10-21T15:44:49Z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910809173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h.bijlsma@minlnv.nl</vt:lpwstr>
  </property>
  <property fmtid="{D5CDD505-2E9C-101B-9397-08002B2CF9AE}" pid="6" name="_AuthorEmailDisplayName">
    <vt:lpwstr>Bijlsma, H. (Hessel)</vt:lpwstr>
  </property>
  <property fmtid="{D5CDD505-2E9C-101B-9397-08002B2CF9AE}" pid="7" name="_ReviewingToolsShownOnce">
    <vt:lpwstr/>
  </property>
</Properties>
</file>