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29861debd7d4633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VakTec, Jannes de Boer\"/>
    </mc:Choice>
  </mc:AlternateContent>
  <xr:revisionPtr revIDLastSave="0" documentId="13_ncr:1_{154829C3-9507-4A51-85EA-454E0C33D11C}" xr6:coauthVersionLast="46" xr6:coauthVersionMax="46" xr10:uidLastSave="{00000000-0000-0000-0000-000000000000}"/>
  <bookViews>
    <workbookView xWindow="5955" yWindow="1605" windowWidth="21600" windowHeight="11385" tabRatio="797" activeTab="1" xr2:uid="{00000000-000D-0000-FFFF-FFFF00000000}"/>
  </bookViews>
  <sheets>
    <sheet name="Versus begroting" sheetId="52" r:id="rId1"/>
    <sheet name="W (1)" sheetId="167" r:id="rId2"/>
  </sheets>
  <definedNames>
    <definedName name="_xlnm._FilterDatabase" localSheetId="1" hidden="1">'W (1)'!$A$2:$Z$19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52" l="1"/>
  <c r="B13" i="52"/>
  <c r="B56" i="52"/>
  <c r="B50" i="52"/>
  <c r="B49" i="52"/>
  <c r="B48" i="52"/>
  <c r="B62" i="52" s="1"/>
  <c r="B35" i="52"/>
  <c r="B37" i="52" s="1"/>
  <c r="B29" i="52"/>
  <c r="B8" i="52" s="1"/>
  <c r="B28" i="52"/>
  <c r="B7" i="52" s="1"/>
  <c r="B27" i="52"/>
  <c r="B6" i="52" s="1"/>
  <c r="B20" i="52" s="1"/>
  <c r="L23" i="167"/>
  <c r="L24" i="167" s="1"/>
  <c r="K23" i="167"/>
  <c r="K24" i="167" s="1"/>
  <c r="J23" i="167"/>
  <c r="J24" i="167" s="1"/>
  <c r="I23" i="167"/>
  <c r="I24" i="167" s="1"/>
  <c r="R22" i="167"/>
  <c r="R24" i="167" s="1"/>
  <c r="P22" i="167"/>
  <c r="P24" i="167" s="1"/>
  <c r="O22" i="167"/>
  <c r="O24" i="167" s="1"/>
  <c r="N22" i="167"/>
  <c r="N24" i="167" s="1"/>
  <c r="L22" i="167" l="1"/>
  <c r="B63" i="52"/>
  <c r="B38" i="52"/>
  <c r="B14" i="52"/>
  <c r="B21" i="52" s="1"/>
  <c r="B58" i="52"/>
  <c r="B41" i="52"/>
  <c r="B42" i="52"/>
  <c r="B59" i="52" l="1"/>
  <c r="B16" i="52"/>
  <c r="B17" i="52"/>
  <c r="T19" i="167" l="1"/>
  <c r="H19" i="167"/>
  <c r="F19" i="167"/>
  <c r="T18" i="167"/>
  <c r="H18" i="167"/>
  <c r="F18" i="167"/>
  <c r="T17" i="167"/>
  <c r="H17" i="167"/>
  <c r="E17" i="167" s="1"/>
  <c r="F17" i="167"/>
  <c r="T16" i="167"/>
  <c r="H16" i="167"/>
  <c r="F16" i="167"/>
  <c r="T15" i="167"/>
  <c r="H15" i="167"/>
  <c r="F15" i="167"/>
  <c r="T14" i="167"/>
  <c r="H14" i="167"/>
  <c r="F14" i="167"/>
  <c r="T13" i="167"/>
  <c r="H13" i="167"/>
  <c r="F13" i="167"/>
  <c r="T12" i="167"/>
  <c r="H12" i="167"/>
  <c r="F12" i="167"/>
  <c r="T11" i="167"/>
  <c r="H11" i="167"/>
  <c r="F11" i="167"/>
  <c r="T10" i="167"/>
  <c r="H10" i="167"/>
  <c r="F10" i="167"/>
  <c r="T9" i="167"/>
  <c r="H9" i="167"/>
  <c r="F9" i="167"/>
  <c r="T8" i="167"/>
  <c r="H8" i="167"/>
  <c r="F8" i="167"/>
  <c r="T7" i="167"/>
  <c r="H7" i="167"/>
  <c r="F7" i="167"/>
  <c r="T6" i="167"/>
  <c r="H6" i="167"/>
  <c r="F6" i="167"/>
  <c r="T5" i="167"/>
  <c r="H5" i="167"/>
  <c r="F5" i="167"/>
  <c r="T4" i="167"/>
  <c r="H4" i="167"/>
  <c r="F4" i="167"/>
  <c r="T3" i="167"/>
  <c r="H3" i="167"/>
  <c r="F3" i="167"/>
  <c r="E3" i="167" l="1"/>
  <c r="E11" i="167"/>
  <c r="E5" i="167"/>
  <c r="M5" i="167" s="1"/>
  <c r="Q5" i="167" s="1"/>
  <c r="E4" i="167"/>
  <c r="M4" i="167" s="1"/>
  <c r="Q4" i="167" s="1"/>
  <c r="E8" i="167"/>
  <c r="M8" i="167" s="1"/>
  <c r="Q8" i="167" s="1"/>
  <c r="E9" i="167"/>
  <c r="M9" i="167" s="1"/>
  <c r="Q9" i="167" s="1"/>
  <c r="E10" i="167"/>
  <c r="M10" i="167" s="1"/>
  <c r="Q10" i="167" s="1"/>
  <c r="E15" i="167"/>
  <c r="M15" i="167" s="1"/>
  <c r="Q15" i="167" s="1"/>
  <c r="E19" i="167"/>
  <c r="M17" i="167"/>
  <c r="Q17" i="167" s="1"/>
  <c r="M3" i="167"/>
  <c r="E13" i="167"/>
  <c r="M13" i="167" s="1"/>
  <c r="Q13" i="167" s="1"/>
  <c r="E6" i="167"/>
  <c r="M6" i="167" s="1"/>
  <c r="Q6" i="167" s="1"/>
  <c r="E7" i="167"/>
  <c r="M7" i="167" s="1"/>
  <c r="Q7" i="167" s="1"/>
  <c r="E12" i="167"/>
  <c r="C29" i="167" s="1"/>
  <c r="E16" i="167"/>
  <c r="M16" i="167" s="1"/>
  <c r="Q16" i="167" s="1"/>
  <c r="E14" i="167"/>
  <c r="M14" i="167" s="1"/>
  <c r="Q14" i="167" s="1"/>
  <c r="M11" i="167"/>
  <c r="Q11" i="167" s="1"/>
  <c r="M19" i="167"/>
  <c r="Q19" i="167" s="1"/>
  <c r="E18" i="167"/>
  <c r="M18" i="167" s="1"/>
  <c r="Q18" i="167" s="1"/>
  <c r="M12" i="167" l="1"/>
  <c r="C30" i="167"/>
  <c r="C23" i="167"/>
  <c r="C24" i="167" s="1"/>
  <c r="Q3" i="167"/>
  <c r="Q22" i="167" s="1"/>
  <c r="Q24" i="167" s="1"/>
  <c r="D29" i="167"/>
  <c r="E29" i="167" s="1"/>
  <c r="M22" i="167"/>
  <c r="M24" i="167" s="1"/>
  <c r="D23" i="167"/>
  <c r="C31" i="167"/>
  <c r="C32" i="167" s="1"/>
  <c r="Q12" i="167"/>
  <c r="C33" i="167" l="1"/>
  <c r="C34" i="167"/>
  <c r="C35" i="167" s="1"/>
  <c r="D30" i="167"/>
  <c r="D31" i="167" s="1"/>
  <c r="E31" i="167" s="1"/>
  <c r="F23" i="167"/>
  <c r="D24" i="167"/>
  <c r="F24" i="167" s="1"/>
  <c r="G24" i="167" l="1"/>
  <c r="B30" i="52"/>
  <c r="G23" i="167"/>
  <c r="B51" i="52"/>
  <c r="E30" i="167"/>
  <c r="D32" i="167"/>
  <c r="C36" i="167"/>
  <c r="B52" i="52" l="1"/>
  <c r="B65" i="52" s="1"/>
  <c r="B64" i="52"/>
  <c r="E32" i="167"/>
  <c r="C37" i="167"/>
  <c r="C38" i="167" s="1"/>
  <c r="C39" i="167" s="1"/>
  <c r="B31" i="52"/>
  <c r="B9" i="52"/>
  <c r="B22" i="52" s="1"/>
  <c r="D33" i="167"/>
  <c r="B44" i="52" l="1"/>
  <c r="B43" i="52"/>
  <c r="B10" i="52"/>
  <c r="B23" i="52" s="1"/>
  <c r="E33" i="167"/>
  <c r="D34" i="167"/>
  <c r="D35" i="167" s="1"/>
  <c r="E35" i="167" l="1"/>
  <c r="D36" i="167"/>
  <c r="E36" i="167" s="1"/>
  <c r="E34" i="167"/>
  <c r="D37" i="167" l="1"/>
  <c r="E37" i="167" l="1"/>
  <c r="D38" i="167"/>
  <c r="E38" i="167" s="1"/>
</calcChain>
</file>

<file path=xl/sharedStrings.xml><?xml version="1.0" encoding="utf-8"?>
<sst xmlns="http://schemas.openxmlformats.org/spreadsheetml/2006/main" count="150" uniqueCount="56">
  <si>
    <t>Klant</t>
  </si>
  <si>
    <t>Olie en Gas</t>
  </si>
  <si>
    <t>Bouw</t>
  </si>
  <si>
    <t>week</t>
  </si>
  <si>
    <t>werkbare dagen</t>
  </si>
  <si>
    <t>CUMULATIEF</t>
  </si>
  <si>
    <t>Werkelijk</t>
  </si>
  <si>
    <t>aantal UK's</t>
  </si>
  <si>
    <t>aantal uren per week (38 uur)</t>
  </si>
  <si>
    <t>marge per week (excl. Btw)</t>
  </si>
  <si>
    <t>cum. marge (excl. Btw)</t>
  </si>
  <si>
    <t>Begroot</t>
  </si>
  <si>
    <t>Verschil</t>
  </si>
  <si>
    <t>Nr</t>
  </si>
  <si>
    <t>Uitzendkrachten</t>
  </si>
  <si>
    <t>Omzet</t>
  </si>
  <si>
    <t>Loonkosten</t>
  </si>
  <si>
    <t>Aantal Zak.km</t>
  </si>
  <si>
    <t>Zakelijke km</t>
  </si>
  <si>
    <t>Overnachting</t>
  </si>
  <si>
    <t>fee Recruiter</t>
  </si>
  <si>
    <t>Netto-winst</t>
  </si>
  <si>
    <t>Uren</t>
  </si>
  <si>
    <t>Marge/uur voorcalc</t>
  </si>
  <si>
    <t>Winst/uur</t>
  </si>
  <si>
    <t>Uurloon</t>
  </si>
  <si>
    <t>Tarief</t>
  </si>
  <si>
    <t>Gem. marge per uur</t>
  </si>
  <si>
    <t>Gem. aantal uren per week (38 uur)</t>
  </si>
  <si>
    <t>Gem. marge per week (excl. Btw)</t>
  </si>
  <si>
    <t>Winst per week (excl. Btw)</t>
  </si>
  <si>
    <t>Factor berekening loonkosten</t>
  </si>
  <si>
    <t>Afdeling</t>
  </si>
  <si>
    <t>Auto / km woon werk</t>
  </si>
  <si>
    <t>Overig</t>
  </si>
  <si>
    <t>1</t>
  </si>
  <si>
    <t>omzet</t>
  </si>
  <si>
    <t>bruto-marge werkenden</t>
  </si>
  <si>
    <t>kosten wel gemaakt, niet werkende</t>
  </si>
  <si>
    <t>totale bruto marge</t>
  </si>
  <si>
    <t>percentage brutomarge</t>
  </si>
  <si>
    <t>totaal overnachting</t>
  </si>
  <si>
    <t>totaal auto</t>
  </si>
  <si>
    <t>totaal materiaal</t>
  </si>
  <si>
    <t>Totaal</t>
  </si>
  <si>
    <t>Naam X</t>
  </si>
  <si>
    <t>Klant X1</t>
  </si>
  <si>
    <t>Klant X2</t>
  </si>
  <si>
    <t>Klant X3</t>
  </si>
  <si>
    <t>Klant X4</t>
  </si>
  <si>
    <t>Klant X5</t>
  </si>
  <si>
    <t>Klant X6</t>
  </si>
  <si>
    <t>Klant X7</t>
  </si>
  <si>
    <t>Klant X8</t>
  </si>
  <si>
    <t>Klant X9</t>
  </si>
  <si>
    <t>Klant X10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</si>
</sst>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 &quot;€&quot;\ * #,##0.00_ ;_ &quot;€&quot;\ * \-#,##0.00_ ;_ &quot;€&quot;\ * &quot;-&quot;??_ ;_ @_ "/>
    <numFmt numFmtId="164" formatCode="_-&quot;€&quot;* #,##0.00_-;\-&quot;€&quot;* #,##0.00_-;_-&quot;€&quot;* &quot;-&quot;??_-;_-@_-"/>
    <numFmt numFmtId="165" formatCode="_-* #,##0.00_-;\-* #,##0.00_-;_-* &quot;-&quot;??_-;_-@_-"/>
    <numFmt numFmtId="166" formatCode="_-&quot;€&quot;\ * #,##0.00_-;_-&quot;€&quot;\ * #,##0.00\-;_-&quot;€&quot;\ * &quot;-&quot;??_-;_-@_-"/>
    <numFmt numFmtId="167" formatCode="_-* #,##0.00_-;_-* #,##0.00\-;_-* &quot;-&quot;??_-;_-@_-"/>
    <numFmt numFmtId="168" formatCode="_-* #,##0_-;_-* #,##0\-;_-* &quot;-&quot;??_-;_-@_-"/>
    <numFmt numFmtId="169" formatCode="_(&quot;$&quot;* #,##0.00_);_(&quot;$&quot;* \(#,##0.00\);_(&quot;$&quot;* &quot;-&quot;??_);_(@_)"/>
    <numFmt numFmtId="170" formatCode="0.0"/>
    <numFmt numFmtId="171" formatCode="_-&quot;ˆ&quot;\ * #,##0.00_-;_-&quot;ˆ&quot;\ * #,##0.00\-;_-&quot;ˆ&quot;\ * &quot;-&quot;??_-;_-@_-"/>
    <numFmt numFmtId="172" formatCode="_ [$ˆ-413]\ * #,##0.00_ ;_ [$ˆ-413]\ * \-#,##0.00_ ;_ [$ˆ-413]\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Times New Roman"/>
      <family val="1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  <fill>
      <patternFill patternType="solid">
        <fgColor rgb="FFFA7400"/>
        <bgColor theme="5"/>
      </patternFill>
    </fill>
  </fills>
  <borders count="4">
    <border>
      <left/>
      <right/>
      <top/>
      <bottom/>
      <diagonal/>
    </border>
    <border>
      <left/>
      <right/>
      <top style="thin">
        <color theme="3" tint="0.39991454817346722"/>
      </top>
      <bottom style="double">
        <color theme="3" tint="0.39991454817346722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ck">
        <color theme="0"/>
      </bottom>
      <diagonal/>
    </border>
  </borders>
  <cellStyleXfs count="12">
    <xf numFmtId="0" fontId="0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5" fillId="0" borderId="0" applyFont="0" applyFill="0" applyBorder="0" applyAlignment="0" applyProtection="0"/>
    <xf numFmtId="0" fontId="5" fillId="0" borderId="0"/>
    <xf numFmtId="0" fontId="5" fillId="0" borderId="0"/>
    <xf numFmtId="16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50">
    <xf numFmtId="0" fontId="0" fillId="0" borderId="0" xfId="0"/>
    <xf numFmtId="0" fontId="2" fillId="0" borderId="0" xfId="0" applyFont="1"/>
    <xf numFmtId="166" fontId="0" fillId="0" borderId="0" xfId="4" applyFont="1"/>
    <xf numFmtId="168" fontId="3" fillId="0" borderId="0" xfId="1" applyNumberFormat="1" applyFont="1"/>
    <xf numFmtId="0" fontId="3" fillId="0" borderId="0" xfId="0" applyFont="1"/>
    <xf numFmtId="166" fontId="3" fillId="0" borderId="0" xfId="4" applyFont="1"/>
    <xf numFmtId="1" fontId="3" fillId="0" borderId="0" xfId="1" applyNumberFormat="1" applyFont="1" applyAlignment="1">
      <alignment horizontal="right"/>
    </xf>
    <xf numFmtId="167" fontId="3" fillId="0" borderId="0" xfId="1" applyFont="1"/>
    <xf numFmtId="164" fontId="3" fillId="0" borderId="0" xfId="4" applyNumberFormat="1" applyFont="1"/>
    <xf numFmtId="1" fontId="3" fillId="0" borderId="0" xfId="1" applyNumberFormat="1" applyFont="1" applyAlignment="1">
      <alignment horizontal="left"/>
    </xf>
    <xf numFmtId="0" fontId="4" fillId="0" borderId="0" xfId="0" applyFont="1"/>
    <xf numFmtId="0" fontId="0" fillId="0" borderId="0" xfId="0" applyFill="1"/>
    <xf numFmtId="0" fontId="0" fillId="0" borderId="0" xfId="0" applyFont="1"/>
    <xf numFmtId="168" fontId="0" fillId="0" borderId="0" xfId="1" applyNumberFormat="1" applyFont="1"/>
    <xf numFmtId="0" fontId="3" fillId="0" borderId="0" xfId="0" applyFont="1" applyFill="1"/>
    <xf numFmtId="166" fontId="3" fillId="0" borderId="0" xfId="4" applyFont="1" applyFill="1"/>
    <xf numFmtId="9" fontId="3" fillId="0" borderId="0" xfId="3" applyFont="1" applyFill="1"/>
    <xf numFmtId="0" fontId="3" fillId="0" borderId="0" xfId="0" applyFont="1" applyFill="1" applyAlignment="1">
      <alignment horizontal="center"/>
    </xf>
    <xf numFmtId="0" fontId="0" fillId="2" borderId="0" xfId="0" applyFill="1"/>
    <xf numFmtId="171" fontId="0" fillId="0" borderId="0" xfId="0" applyNumberFormat="1"/>
    <xf numFmtId="171" fontId="0" fillId="2" borderId="0" xfId="0" applyNumberFormat="1" applyFill="1"/>
    <xf numFmtId="1" fontId="0" fillId="0" borderId="0" xfId="0" applyNumberFormat="1" applyFont="1" applyFill="1" applyBorder="1" applyAlignment="1">
      <alignment horizontal="center"/>
    </xf>
    <xf numFmtId="166" fontId="1" fillId="0" borderId="0" xfId="4" applyFill="1"/>
    <xf numFmtId="167" fontId="1" fillId="0" borderId="0" xfId="1" applyFill="1"/>
    <xf numFmtId="1" fontId="0" fillId="0" borderId="0" xfId="0" applyNumberFormat="1" applyFill="1"/>
    <xf numFmtId="0" fontId="0" fillId="0" borderId="0" xfId="0" applyFill="1" applyAlignment="1">
      <alignment horizontal="center"/>
    </xf>
    <xf numFmtId="166" fontId="0" fillId="0" borderId="0" xfId="4" applyFont="1" applyFill="1"/>
    <xf numFmtId="164" fontId="0" fillId="0" borderId="0" xfId="0" applyNumberFormat="1" applyFill="1" applyAlignment="1">
      <alignment horizontal="center"/>
    </xf>
    <xf numFmtId="166" fontId="1" fillId="0" borderId="0" xfId="0" applyNumberFormat="1" applyFont="1" applyFill="1"/>
    <xf numFmtId="164" fontId="0" fillId="0" borderId="0" xfId="0" applyNumberFormat="1" applyFill="1"/>
    <xf numFmtId="170" fontId="1" fillId="0" borderId="0" xfId="0" applyNumberFormat="1" applyFont="1" applyFill="1" applyAlignment="1">
      <alignment horizontal="center"/>
    </xf>
    <xf numFmtId="2" fontId="0" fillId="0" borderId="0" xfId="0" applyNumberFormat="1" applyFill="1" applyAlignment="1">
      <alignment horizontal="center"/>
    </xf>
    <xf numFmtId="9" fontId="2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4" fontId="0" fillId="0" borderId="0" xfId="0" applyNumberFormat="1"/>
    <xf numFmtId="44" fontId="0" fillId="0" borderId="0" xfId="4" applyNumberFormat="1" applyFont="1" applyFill="1"/>
    <xf numFmtId="0" fontId="2" fillId="0" borderId="1" xfId="0" applyFont="1" applyBorder="1"/>
    <xf numFmtId="10" fontId="0" fillId="0" borderId="0" xfId="0" applyNumberFormat="1"/>
    <xf numFmtId="171" fontId="2" fillId="0" borderId="1" xfId="0" applyNumberFormat="1" applyFont="1" applyBorder="1"/>
    <xf numFmtId="172" fontId="0" fillId="0" borderId="0" xfId="0" applyNumberFormat="1"/>
    <xf numFmtId="0" fontId="0" fillId="0" borderId="0" xfId="0" applyFill="1" applyAlignment="1">
      <alignment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9" fontId="8" fillId="3" borderId="3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Alignment="1">
      <alignment wrapText="1"/>
    </xf>
    <xf numFmtId="0" fontId="2" fillId="0" borderId="0" xfId="0" applyFont="1" applyAlignment="1">
      <alignment wrapText="1"/>
    </xf>
    <xf numFmtId="171" fontId="0" fillId="0" borderId="0" xfId="0" applyNumberFormat="1" applyAlignment="1">
      <alignment wrapText="1"/>
    </xf>
    <xf numFmtId="3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</cellXfs>
  <cellStyles count="12">
    <cellStyle name="Hyperlink 2" xfId="11" xr:uid="{DFBC1AAF-8664-404D-B3E4-049A7DF9D677}"/>
    <cellStyle name="Komma" xfId="1" builtinId="3"/>
    <cellStyle name="Komma 2" xfId="2" xr:uid="{00000000-0005-0000-0000-000003000000}"/>
    <cellStyle name="Komma 2 2" xfId="7" xr:uid="{00000000-0005-0000-0000-000004000000}"/>
    <cellStyle name="Komma 3" xfId="6" xr:uid="{00000000-0005-0000-0000-000005000000}"/>
    <cellStyle name="Procent" xfId="3" builtinId="5"/>
    <cellStyle name="Standaard" xfId="0" builtinId="0"/>
    <cellStyle name="Standaard 2" xfId="8" xr:uid="{00000000-0005-0000-0000-000008000000}"/>
    <cellStyle name="Standaard 3" xfId="9" xr:uid="{00000000-0005-0000-0000-000009000000}"/>
    <cellStyle name="Valuta" xfId="4" builtinId="4"/>
    <cellStyle name="Valuta 2" xfId="5" xr:uid="{00000000-0005-0000-0000-00000A000000}"/>
    <cellStyle name="Valuta 3" xfId="10" xr:uid="{00000000-0005-0000-0000-00000B000000}"/>
  </cellStyles>
  <dxfs count="0"/>
  <tableStyles count="0" defaultTableStyle="TableStyleMedium9" defaultPivotStyle="PivotStyleLight16"/>
  <colors>
    <mruColors>
      <color rgb="FFFA7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619125</xdr:colOff>
          <xdr:row>0</xdr:row>
          <xdr:rowOff>0</xdr:rowOff>
        </xdr:from>
        <xdr:to>
          <xdr:col>0</xdr:col>
          <xdr:colOff>1924050</xdr:colOff>
          <xdr:row>0</xdr:row>
          <xdr:rowOff>285750</xdr:rowOff>
        </xdr:to>
        <xdr:sp macro="" textlink="">
          <xdr:nvSpPr>
            <xdr:cNvPr id="80897" name="Button 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0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bijwerken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41</xdr:row>
          <xdr:rowOff>76200</xdr:rowOff>
        </xdr:from>
        <xdr:to>
          <xdr:col>1</xdr:col>
          <xdr:colOff>2129790</xdr:colOff>
          <xdr:row>43</xdr:row>
          <xdr:rowOff>34291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01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Nieuwe week toevoegen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228600</xdr:colOff>
          <xdr:row>41</xdr:row>
          <xdr:rowOff>76200</xdr:rowOff>
        </xdr:from>
        <xdr:to>
          <xdr:col>4</xdr:col>
          <xdr:colOff>381000</xdr:colOff>
          <xdr:row>42</xdr:row>
          <xdr:rowOff>186691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01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 regel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76200</xdr:rowOff>
        </xdr:from>
        <xdr:to>
          <xdr:col>3</xdr:col>
          <xdr:colOff>800100</xdr:colOff>
          <xdr:row>45</xdr:row>
          <xdr:rowOff>186691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01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Overzicht maken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2098040</xdr:colOff>
      <xdr:row>0</xdr:row>
      <xdr:rowOff>762000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8ADE5643-F147-4EA1-8803-A9655CED1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9515" cy="762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0"/>
  <dimension ref="A1:EQ86"/>
  <sheetViews>
    <sheetView workbookViewId="0">
      <pane xSplit="1" topLeftCell="B1" activePane="topRight" state="frozen"/>
      <selection activeCell="I16" sqref="I16"/>
      <selection pane="topRight" activeCell="I16" sqref="I16"/>
    </sheetView>
  </sheetViews>
  <sheetFormatPr defaultColWidth="9.140625" defaultRowHeight="15" x14ac:dyDescent="0.25"/>
  <cols>
    <col min="1" max="1" width="29" style="14" bestFit="1" customWidth="1"/>
    <col min="2" max="2" width="16.140625" style="14" bestFit="1" customWidth="1"/>
    <col min="3" max="3" width="13.140625" style="15" bestFit="1" customWidth="1"/>
    <col min="4" max="4" width="13.140625" style="15" customWidth="1"/>
    <col min="5" max="5" width="13.140625" style="16" customWidth="1"/>
    <col min="6" max="6" width="13.140625" style="14" customWidth="1"/>
    <col min="7" max="7" width="13.140625" style="17" customWidth="1"/>
    <col min="8" max="9" width="13.140625" style="14" customWidth="1"/>
    <col min="10" max="40" width="14.7109375" style="14" customWidth="1"/>
    <col min="41" max="41" width="15.42578125" style="14" customWidth="1"/>
    <col min="42" max="44" width="14.7109375" style="14" customWidth="1"/>
    <col min="45" max="53" width="15.7109375" style="14" customWidth="1"/>
    <col min="54" max="55" width="9.140625" style="14" customWidth="1"/>
    <col min="56" max="56" width="13.140625" style="14" customWidth="1"/>
    <col min="57" max="57" width="9.140625" style="14" customWidth="1"/>
    <col min="58" max="16384" width="9.140625" style="14"/>
  </cols>
  <sheetData>
    <row r="1" spans="1:147" s="6" customFormat="1" ht="23.25" customHeight="1" x14ac:dyDescent="0.25">
      <c r="A1" s="9" t="s">
        <v>3</v>
      </c>
      <c r="B1" t="s">
        <v>35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</row>
    <row r="2" spans="1:147" s="6" customFormat="1" x14ac:dyDescent="0.25">
      <c r="A2" s="9" t="s">
        <v>4</v>
      </c>
      <c r="B2" s="18">
        <v>5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</row>
    <row r="3" spans="1:147" s="4" customFormat="1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</row>
    <row r="4" spans="1:147" s="4" customFormat="1" x14ac:dyDescent="0.25">
      <c r="A4" s="12" t="s">
        <v>5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</row>
    <row r="5" spans="1:147" s="4" customFormat="1" x14ac:dyDescent="0.25">
      <c r="A5" s="4" t="s">
        <v>6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</row>
    <row r="6" spans="1:147" s="3" customFormat="1" x14ac:dyDescent="0.25">
      <c r="A6" s="3" t="s">
        <v>7</v>
      </c>
      <c r="B6">
        <f>B27+B48</f>
        <v>17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</row>
    <row r="7" spans="1:147" s="3" customFormat="1" x14ac:dyDescent="0.25">
      <c r="A7" s="13" t="s">
        <v>28</v>
      </c>
      <c r="B7">
        <f>B28+B49</f>
        <v>598.5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</row>
    <row r="8" spans="1:147" s="8" customFormat="1" x14ac:dyDescent="0.25">
      <c r="A8" s="5" t="s">
        <v>27</v>
      </c>
      <c r="B8" s="19">
        <f>(B29+B50)/2</f>
        <v>2.3341176470588239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</row>
    <row r="9" spans="1:147" s="8" customFormat="1" x14ac:dyDescent="0.25">
      <c r="A9" s="2" t="s">
        <v>29</v>
      </c>
      <c r="B9" s="19">
        <f>B30+B51</f>
        <v>488.64849999999961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</row>
    <row r="10" spans="1:147" s="8" customFormat="1" x14ac:dyDescent="0.25">
      <c r="A10" s="2" t="s">
        <v>30</v>
      </c>
      <c r="B10" s="19">
        <f>B31+B52</f>
        <v>488.64849999999961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</row>
    <row r="11" spans="1:147" s="4" customFormat="1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</row>
    <row r="12" spans="1:147" s="4" customFormat="1" x14ac:dyDescent="0.25">
      <c r="A12" s="4" t="s">
        <v>11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</row>
    <row r="13" spans="1:147" s="3" customFormat="1" x14ac:dyDescent="0.25">
      <c r="A13" s="3" t="s">
        <v>7</v>
      </c>
      <c r="B13">
        <f>B34+B55</f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</row>
    <row r="14" spans="1:147" s="3" customFormat="1" x14ac:dyDescent="0.25">
      <c r="A14" s="3" t="s">
        <v>8</v>
      </c>
      <c r="B14">
        <f>B35+B56</f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</row>
    <row r="15" spans="1:147" s="5" customFormat="1" x14ac:dyDescent="0.25">
      <c r="A15" s="2" t="s">
        <v>27</v>
      </c>
      <c r="B15" s="19">
        <f>(B36+B57)/2</f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</row>
    <row r="16" spans="1:147" s="5" customFormat="1" x14ac:dyDescent="0.25">
      <c r="A16" s="2" t="s">
        <v>9</v>
      </c>
      <c r="B16" s="19">
        <f>B37+B58</f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</row>
    <row r="17" spans="1:147" s="5" customFormat="1" x14ac:dyDescent="0.25">
      <c r="A17" s="5" t="s">
        <v>10</v>
      </c>
      <c r="B17" s="19">
        <f>B38+B59</f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</row>
    <row r="18" spans="1:147" s="4" customFormat="1" x14ac:dyDescent="0.2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</row>
    <row r="19" spans="1:147" s="4" customFormat="1" x14ac:dyDescent="0.25">
      <c r="A19" s="4" t="s">
        <v>12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</row>
    <row r="20" spans="1:147" s="3" customFormat="1" x14ac:dyDescent="0.25">
      <c r="A20" s="3" t="s">
        <v>7</v>
      </c>
      <c r="B20">
        <f>B6-B13</f>
        <v>17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</row>
    <row r="21" spans="1:147" s="3" customFormat="1" x14ac:dyDescent="0.25">
      <c r="A21" s="3" t="s">
        <v>8</v>
      </c>
      <c r="B21">
        <f>B7-B14</f>
        <v>598.5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</row>
    <row r="22" spans="1:147" s="5" customFormat="1" x14ac:dyDescent="0.25">
      <c r="A22" s="5" t="s">
        <v>9</v>
      </c>
      <c r="B22" s="19">
        <f>B9-B16</f>
        <v>488.64849999999961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</row>
    <row r="23" spans="1:147" s="5" customFormat="1" x14ac:dyDescent="0.25">
      <c r="A23" s="5" t="s">
        <v>10</v>
      </c>
      <c r="B23" s="19">
        <f>B10-B17</f>
        <v>488.64849999999961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</row>
    <row r="24" spans="1:147" s="4" customFormat="1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</row>
    <row r="25" spans="1:147" s="4" customFormat="1" x14ac:dyDescent="0.25">
      <c r="A25" s="10" t="s">
        <v>2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</row>
    <row r="26" spans="1:147" s="4" customFormat="1" x14ac:dyDescent="0.25">
      <c r="A26" s="4" t="s">
        <v>6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</row>
    <row r="27" spans="1:147" s="7" customFormat="1" x14ac:dyDescent="0.25">
      <c r="A27" s="7" t="s">
        <v>7</v>
      </c>
      <c r="B27">
        <f>COUNTIF('W (1)'!$C$3:$C$19,"Bouw")</f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</row>
    <row r="28" spans="1:147" s="3" customFormat="1" x14ac:dyDescent="0.25">
      <c r="A28" s="3" t="s">
        <v>8</v>
      </c>
      <c r="B28">
        <f>SUMIF('W (1)'!$C$3:$C$19,"Bouw",'W (1)'!$N$3:$N$19)</f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</row>
    <row r="29" spans="1:147" s="5" customFormat="1" x14ac:dyDescent="0.25">
      <c r="A29" s="2" t="s">
        <v>27</v>
      </c>
      <c r="B29" s="19">
        <f>IFERROR(AVERAGEIF('W (1)'!$C$3:$C$19,"Bouw",'W (1)'!$P$3:$P$19),0)</f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</row>
    <row r="30" spans="1:147" s="5" customFormat="1" x14ac:dyDescent="0.25">
      <c r="A30" s="5" t="s">
        <v>9</v>
      </c>
      <c r="B30" s="19">
        <f>IFERROR(VLOOKUP("Bouw",'W (1)'!$B$22:$G$24,5,FALSE),0)</f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</row>
    <row r="31" spans="1:147" s="5" customFormat="1" x14ac:dyDescent="0.25">
      <c r="A31" s="5" t="s">
        <v>10</v>
      </c>
      <c r="B31" s="19">
        <f>B30</f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</row>
    <row r="32" spans="1:147" s="4" customFormat="1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</row>
    <row r="33" spans="1:147" s="4" customFormat="1" x14ac:dyDescent="0.25">
      <c r="A33" s="4" t="s">
        <v>11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</row>
    <row r="34" spans="1:147" s="3" customFormat="1" x14ac:dyDescent="0.25">
      <c r="A34" s="3" t="s">
        <v>7</v>
      </c>
      <c r="B34" s="18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</row>
    <row r="35" spans="1:147" s="3" customFormat="1" x14ac:dyDescent="0.25">
      <c r="A35" s="3" t="s">
        <v>8</v>
      </c>
      <c r="B35">
        <f>B34*38</f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</row>
    <row r="36" spans="1:147" s="5" customFormat="1" x14ac:dyDescent="0.25">
      <c r="A36" s="2" t="s">
        <v>27</v>
      </c>
      <c r="B36" s="20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</row>
    <row r="37" spans="1:147" s="5" customFormat="1" x14ac:dyDescent="0.25">
      <c r="A37" s="2" t="s">
        <v>9</v>
      </c>
      <c r="B37" s="19">
        <f>B36*B35</f>
        <v>0</v>
      </c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</row>
    <row r="38" spans="1:147" s="5" customFormat="1" x14ac:dyDescent="0.25">
      <c r="A38" s="5" t="s">
        <v>10</v>
      </c>
      <c r="B38" s="19">
        <f>B37</f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</row>
    <row r="39" spans="1:147" s="4" customFormat="1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</row>
    <row r="40" spans="1:147" s="4" customFormat="1" x14ac:dyDescent="0.25">
      <c r="A40" s="4" t="s">
        <v>12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</row>
    <row r="41" spans="1:147" s="3" customFormat="1" x14ac:dyDescent="0.25">
      <c r="A41" s="3" t="s">
        <v>7</v>
      </c>
      <c r="B41">
        <f>B27-B34</f>
        <v>0</v>
      </c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</row>
    <row r="42" spans="1:147" s="3" customFormat="1" x14ac:dyDescent="0.25">
      <c r="A42" s="3" t="s">
        <v>8</v>
      </c>
      <c r="B42">
        <f>B28-B35</f>
        <v>0</v>
      </c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</row>
    <row r="43" spans="1:147" s="5" customFormat="1" x14ac:dyDescent="0.25">
      <c r="A43" s="5" t="s">
        <v>9</v>
      </c>
      <c r="B43" s="19">
        <f>B31-B38</f>
        <v>0</v>
      </c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</row>
    <row r="44" spans="1:147" s="5" customFormat="1" x14ac:dyDescent="0.25">
      <c r="A44" s="5" t="s">
        <v>10</v>
      </c>
      <c r="B44" s="19">
        <f>B31-B38</f>
        <v>0</v>
      </c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</row>
    <row r="45" spans="1:147" s="4" customFormat="1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</row>
    <row r="46" spans="1:147" s="4" customFormat="1" x14ac:dyDescent="0.25">
      <c r="A46" s="10" t="s">
        <v>1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</row>
    <row r="47" spans="1:147" s="4" customFormat="1" x14ac:dyDescent="0.25">
      <c r="A47" s="4" t="s">
        <v>6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</row>
    <row r="48" spans="1:147" s="7" customFormat="1" x14ac:dyDescent="0.25">
      <c r="A48" s="7" t="s">
        <v>7</v>
      </c>
      <c r="B48">
        <f>COUNTIF('W (1)'!$C$3:$C$19,"Olie en Gas")</f>
        <v>17</v>
      </c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</row>
    <row r="49" spans="1:147" s="3" customFormat="1" x14ac:dyDescent="0.25">
      <c r="A49" s="3" t="s">
        <v>8</v>
      </c>
      <c r="B49">
        <f>SUMIF('W (1)'!$C$3:$C$19,"Olie en Gas",'W (1)'!$N$3:$N$19)</f>
        <v>598.5</v>
      </c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</row>
    <row r="50" spans="1:147" s="5" customFormat="1" x14ac:dyDescent="0.25">
      <c r="A50" s="5" t="s">
        <v>27</v>
      </c>
      <c r="B50" s="19">
        <f>IFERROR(AVERAGEIF('W (1)'!$C$3:$C$19,"Olie en Gas",'W (1)'!$P$3:$P$19),0)</f>
        <v>4.6682352941176477</v>
      </c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</row>
    <row r="51" spans="1:147" s="5" customFormat="1" x14ac:dyDescent="0.25">
      <c r="A51" s="5" t="s">
        <v>9</v>
      </c>
      <c r="B51" s="19">
        <f>IFERROR(VLOOKUP("Olie en Gas",'W (1)'!$B$22:$G$24,5,FALSE),0)</f>
        <v>488.64849999999961</v>
      </c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</row>
    <row r="52" spans="1:147" s="5" customFormat="1" x14ac:dyDescent="0.25">
      <c r="A52" s="5" t="s">
        <v>10</v>
      </c>
      <c r="B52" s="19">
        <f>B51</f>
        <v>488.64849999999961</v>
      </c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</row>
    <row r="53" spans="1:147" s="4" customFormat="1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</row>
    <row r="54" spans="1:147" s="4" customFormat="1" x14ac:dyDescent="0.25">
      <c r="A54" s="4" t="s">
        <v>11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</row>
    <row r="55" spans="1:147" s="3" customFormat="1" x14ac:dyDescent="0.25">
      <c r="A55" s="3" t="s">
        <v>7</v>
      </c>
      <c r="B55" s="18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</row>
    <row r="56" spans="1:147" s="3" customFormat="1" x14ac:dyDescent="0.25">
      <c r="A56" s="3" t="s">
        <v>8</v>
      </c>
      <c r="B56">
        <f>B55*38</f>
        <v>0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</row>
    <row r="57" spans="1:147" s="5" customFormat="1" x14ac:dyDescent="0.25">
      <c r="A57" s="2" t="s">
        <v>27</v>
      </c>
      <c r="B57" s="20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</row>
    <row r="58" spans="1:147" s="5" customFormat="1" x14ac:dyDescent="0.25">
      <c r="A58" s="2" t="s">
        <v>9</v>
      </c>
      <c r="B58" s="19">
        <f>B56*B57</f>
        <v>0</v>
      </c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</row>
    <row r="59" spans="1:147" s="5" customFormat="1" x14ac:dyDescent="0.25">
      <c r="A59" s="5" t="s">
        <v>10</v>
      </c>
      <c r="B59" s="19">
        <f>B58</f>
        <v>0</v>
      </c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</row>
    <row r="60" spans="1:147" s="4" customFormat="1" x14ac:dyDescent="0.2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</row>
    <row r="61" spans="1:147" s="4" customFormat="1" x14ac:dyDescent="0.25">
      <c r="A61" s="4" t="s">
        <v>12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</row>
    <row r="62" spans="1:147" s="3" customFormat="1" x14ac:dyDescent="0.25">
      <c r="A62" s="3" t="s">
        <v>7</v>
      </c>
      <c r="B62">
        <f>B48-B55</f>
        <v>17</v>
      </c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</row>
    <row r="63" spans="1:147" s="3" customFormat="1" x14ac:dyDescent="0.25">
      <c r="A63" s="3" t="s">
        <v>8</v>
      </c>
      <c r="B63">
        <f>B56-B49</f>
        <v>-598.5</v>
      </c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</row>
    <row r="64" spans="1:147" s="5" customFormat="1" x14ac:dyDescent="0.25">
      <c r="A64" s="5" t="s">
        <v>9</v>
      </c>
      <c r="B64" s="19">
        <f>B58-B51</f>
        <v>-488.64849999999961</v>
      </c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</row>
    <row r="65" spans="1:147" s="5" customFormat="1" x14ac:dyDescent="0.25">
      <c r="A65" s="5" t="s">
        <v>10</v>
      </c>
      <c r="B65" s="19">
        <f>B59-B52</f>
        <v>-488.64849999999961</v>
      </c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</row>
    <row r="66" spans="1:147" s="4" customFormat="1" x14ac:dyDescent="0.2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</row>
    <row r="67" spans="1:147" s="4" customFormat="1" x14ac:dyDescent="0.25">
      <c r="A67" s="1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</row>
    <row r="68" spans="1:147" s="4" customFormat="1" x14ac:dyDescent="0.2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</row>
    <row r="69" spans="1:147" s="7" customFormat="1" x14ac:dyDescent="0.2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</row>
    <row r="70" spans="1:147" s="7" customFormat="1" x14ac:dyDescent="0.2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</row>
    <row r="71" spans="1:147" s="5" customFormat="1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</row>
    <row r="72" spans="1:147" s="5" customFormat="1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</row>
    <row r="73" spans="1:147" s="5" customFormat="1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</row>
    <row r="74" spans="1:147" s="4" customFormat="1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</row>
    <row r="75" spans="1:147" s="4" customFormat="1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</row>
    <row r="76" spans="1:147" s="3" customFormat="1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</row>
    <row r="77" spans="1:147" s="3" customFormat="1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</row>
    <row r="78" spans="1:147" s="5" customFormat="1" x14ac:dyDescent="0.25">
      <c r="A78" s="2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</row>
    <row r="79" spans="1:147" s="5" customFormat="1" x14ac:dyDescent="0.25">
      <c r="A79" s="2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</row>
    <row r="80" spans="1:147" s="5" customFormat="1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</row>
    <row r="81" spans="2:147" s="4" customFormat="1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</row>
    <row r="82" spans="2:147" s="4" customFormat="1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</row>
    <row r="83" spans="2:147" s="3" customFormat="1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</row>
    <row r="84" spans="2:147" s="3" customFormat="1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</row>
    <row r="85" spans="2:147" s="5" customFormat="1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</row>
    <row r="86" spans="2:147" s="5" customFormat="1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4" name="Button 1">
              <controlPr defaultSize="0" print="0" autoFill="0" autoPict="0" macro="[0]!versusCreate">
                <anchor moveWithCells="1" sizeWithCells="1">
                  <from>
                    <xdr:col>0</xdr:col>
                    <xdr:colOff>619125</xdr:colOff>
                    <xdr:row>0</xdr:row>
                    <xdr:rowOff>0</xdr:rowOff>
                  </from>
                  <to>
                    <xdr:col>0</xdr:col>
                    <xdr:colOff>1924050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D05C4-7FE2-42B1-80B2-EE22F075B73F}">
  <sheetPr codeName="Sheet101"/>
  <dimension ref="A1:Z45"/>
  <sheetViews>
    <sheetView showGridLines="0" tabSelected="1" zoomScale="80" zoomScaleNormal="80" workbookViewId="0">
      <pane ySplit="2" topLeftCell="A3" activePane="bottomLeft" state="frozen"/>
      <selection activeCell="I16" sqref="I16"/>
      <selection pane="bottomLeft" activeCell="C5" sqref="C5"/>
    </sheetView>
  </sheetViews>
  <sheetFormatPr defaultColWidth="9.140625" defaultRowHeight="15" x14ac:dyDescent="0.25"/>
  <cols>
    <col min="1" max="1" width="5.5703125" style="24" customWidth="1"/>
    <col min="2" max="2" width="34.5703125" style="11" customWidth="1"/>
    <col min="3" max="3" width="18.28515625" style="11" customWidth="1"/>
    <col min="4" max="4" width="26.85546875" style="25" customWidth="1"/>
    <col min="5" max="5" width="20.42578125" style="11" customWidth="1"/>
    <col min="6" max="6" width="14.42578125" style="11" customWidth="1"/>
    <col min="7" max="7" width="16.42578125" style="11" customWidth="1"/>
    <col min="8" max="9" width="13.42578125" style="11" customWidth="1"/>
    <col min="10" max="10" width="18.28515625" style="35" customWidth="1"/>
    <col min="11" max="11" width="14" style="26" customWidth="1"/>
    <col min="12" max="12" width="14" style="11" customWidth="1"/>
    <col min="13" max="13" width="13.42578125" style="11" customWidth="1"/>
    <col min="14" max="15" width="14.28515625" style="11" customWidth="1"/>
    <col min="16" max="16" width="14.28515625" style="29" customWidth="1"/>
    <col min="17" max="17" width="14.7109375" style="11" customWidth="1"/>
    <col min="18" max="18" width="14" style="11" customWidth="1"/>
    <col min="19" max="19" width="13.42578125" style="11" customWidth="1"/>
    <col min="20" max="20" width="11.85546875" style="11" customWidth="1"/>
    <col min="21" max="21" width="12.85546875" style="11" customWidth="1"/>
    <col min="22" max="22" width="12.42578125" style="11" customWidth="1"/>
    <col min="23" max="23" width="12.140625" style="11" customWidth="1"/>
    <col min="24" max="24" width="12.5703125" style="11" customWidth="1"/>
    <col min="25" max="25" width="10.140625" style="11" customWidth="1"/>
    <col min="26" max="16384" width="9.140625" style="11"/>
  </cols>
  <sheetData>
    <row r="1" spans="1:26" ht="64.5" customHeight="1" x14ac:dyDescent="0.25"/>
    <row r="2" spans="1:26" s="40" customFormat="1" ht="44.1" customHeight="1" thickBot="1" x14ac:dyDescent="0.3">
      <c r="A2" s="41" t="s">
        <v>13</v>
      </c>
      <c r="B2" s="42" t="s">
        <v>14</v>
      </c>
      <c r="C2" s="42" t="s">
        <v>32</v>
      </c>
      <c r="D2" s="42" t="s">
        <v>0</v>
      </c>
      <c r="E2" s="42" t="s">
        <v>15</v>
      </c>
      <c r="F2" s="42" t="s">
        <v>16</v>
      </c>
      <c r="G2" s="42" t="s">
        <v>17</v>
      </c>
      <c r="H2" s="42" t="s">
        <v>18</v>
      </c>
      <c r="I2" s="42" t="s">
        <v>19</v>
      </c>
      <c r="J2" s="42" t="s">
        <v>33</v>
      </c>
      <c r="K2" s="42" t="s">
        <v>34</v>
      </c>
      <c r="L2" s="42" t="s">
        <v>20</v>
      </c>
      <c r="M2" s="42" t="s">
        <v>21</v>
      </c>
      <c r="N2" s="42" t="s">
        <v>22</v>
      </c>
      <c r="O2" s="42" t="s">
        <v>31</v>
      </c>
      <c r="P2" s="42" t="s">
        <v>23</v>
      </c>
      <c r="Q2" s="42" t="s">
        <v>24</v>
      </c>
      <c r="R2" s="42" t="s">
        <v>25</v>
      </c>
      <c r="S2" s="42" t="s">
        <v>26</v>
      </c>
      <c r="T2" s="43">
        <v>1</v>
      </c>
      <c r="U2" s="43">
        <v>1.2</v>
      </c>
      <c r="V2" s="43">
        <v>1.25</v>
      </c>
      <c r="W2" s="43">
        <v>1.3</v>
      </c>
      <c r="X2" s="43">
        <v>0.91500000000000004</v>
      </c>
      <c r="Y2" s="43">
        <v>0.99</v>
      </c>
    </row>
    <row r="3" spans="1:26" ht="15.75" thickTop="1" x14ac:dyDescent="0.25">
      <c r="A3" s="21">
        <v>1</v>
      </c>
      <c r="B3" s="11" t="s">
        <v>45</v>
      </c>
      <c r="C3" s="11" t="s">
        <v>1</v>
      </c>
      <c r="D3" s="11" t="s">
        <v>46</v>
      </c>
      <c r="E3" s="22">
        <f t="shared" ref="E3:E19" si="0">(T3*S3)+(W3*S3*$W$2)+(X3*S3*$X$2)+(Y3*S3*$Y$2)+($V$2*V3*S3)+($U$2*U3*S3)+H3</f>
        <v>1216</v>
      </c>
      <c r="F3" s="22">
        <f t="shared" ref="F3:F19" si="1">N3*R3*O3</f>
        <v>1041.92</v>
      </c>
      <c r="G3" s="23"/>
      <c r="H3" s="22">
        <f t="shared" ref="H3:H19" si="2">G3*0.19</f>
        <v>0</v>
      </c>
      <c r="I3" s="22"/>
      <c r="J3" s="34">
        <v>135.5</v>
      </c>
      <c r="K3" s="22">
        <v>827.66</v>
      </c>
      <c r="L3" s="26"/>
      <c r="M3" s="22">
        <f t="shared" ref="M3:M19" si="3">E3-F3-I3-J3-K3-L3</f>
        <v>-789.08</v>
      </c>
      <c r="N3">
        <v>32</v>
      </c>
      <c r="O3" s="11">
        <v>1.85</v>
      </c>
      <c r="P3" s="27">
        <v>4.66</v>
      </c>
      <c r="Q3" s="28">
        <f t="shared" ref="Q3:Q19" si="4">M3/N3</f>
        <v>-24.658750000000001</v>
      </c>
      <c r="R3" s="28">
        <v>17.600000000000001</v>
      </c>
      <c r="S3" s="22">
        <v>38</v>
      </c>
      <c r="T3" s="30">
        <f t="shared" ref="T3:T19" si="5">N3-W3-X3-U3-V3-Y3</f>
        <v>32</v>
      </c>
      <c r="U3" s="31"/>
      <c r="V3" s="31"/>
      <c r="W3" s="31"/>
      <c r="X3" s="32"/>
      <c r="Y3" s="32"/>
      <c r="Z3" s="33"/>
    </row>
    <row r="4" spans="1:26" s="33" customFormat="1" x14ac:dyDescent="0.25">
      <c r="A4" s="21">
        <v>2</v>
      </c>
      <c r="B4" s="11" t="s">
        <v>45</v>
      </c>
      <c r="C4" s="11" t="s">
        <v>1</v>
      </c>
      <c r="D4" s="11" t="s">
        <v>47</v>
      </c>
      <c r="E4" s="22">
        <f t="shared" si="0"/>
        <v>1776</v>
      </c>
      <c r="F4" s="22">
        <f t="shared" si="1"/>
        <v>1665</v>
      </c>
      <c r="G4" s="23"/>
      <c r="H4" s="22">
        <f t="shared" si="2"/>
        <v>0</v>
      </c>
      <c r="I4" s="22"/>
      <c r="J4" s="34"/>
      <c r="K4" s="22"/>
      <c r="L4" s="22"/>
      <c r="M4" s="22">
        <f t="shared" si="3"/>
        <v>111</v>
      </c>
      <c r="N4">
        <v>37</v>
      </c>
      <c r="O4" s="11">
        <v>1</v>
      </c>
      <c r="P4" s="27">
        <v>3</v>
      </c>
      <c r="Q4" s="28">
        <f t="shared" si="4"/>
        <v>3</v>
      </c>
      <c r="R4" s="28">
        <v>45</v>
      </c>
      <c r="S4" s="22">
        <v>48</v>
      </c>
      <c r="T4" s="30">
        <f t="shared" si="5"/>
        <v>37</v>
      </c>
      <c r="U4" s="31"/>
      <c r="V4" s="31"/>
      <c r="W4" s="31"/>
      <c r="X4" s="11"/>
      <c r="Y4" s="11"/>
    </row>
    <row r="5" spans="1:26" s="33" customFormat="1" x14ac:dyDescent="0.25">
      <c r="A5" s="21">
        <v>3</v>
      </c>
      <c r="B5" s="11" t="s">
        <v>45</v>
      </c>
      <c r="C5" s="11" t="s">
        <v>1</v>
      </c>
      <c r="D5" s="11" t="s">
        <v>48</v>
      </c>
      <c r="E5" s="22">
        <f t="shared" si="0"/>
        <v>1408</v>
      </c>
      <c r="F5" s="22">
        <f t="shared" si="1"/>
        <v>814.11199999999997</v>
      </c>
      <c r="G5" s="23"/>
      <c r="H5" s="22">
        <f t="shared" si="2"/>
        <v>0</v>
      </c>
      <c r="I5" s="22">
        <v>200</v>
      </c>
      <c r="J5" s="34">
        <v>227.53</v>
      </c>
      <c r="K5" s="22"/>
      <c r="L5" s="26"/>
      <c r="M5" s="22">
        <f t="shared" si="3"/>
        <v>166.35800000000003</v>
      </c>
      <c r="N5">
        <v>32</v>
      </c>
      <c r="O5" s="11">
        <v>1.9</v>
      </c>
      <c r="P5" s="27">
        <v>7.28</v>
      </c>
      <c r="Q5" s="28">
        <f t="shared" si="4"/>
        <v>5.198687500000001</v>
      </c>
      <c r="R5" s="28">
        <v>13.39</v>
      </c>
      <c r="S5" s="22">
        <v>44</v>
      </c>
      <c r="T5" s="30">
        <f t="shared" si="5"/>
        <v>32</v>
      </c>
      <c r="U5" s="31"/>
      <c r="V5" s="31"/>
      <c r="W5" s="31"/>
      <c r="X5" s="31"/>
      <c r="Y5" s="11"/>
    </row>
    <row r="6" spans="1:26" x14ac:dyDescent="0.25">
      <c r="A6" s="21">
        <v>4</v>
      </c>
      <c r="B6" s="11" t="s">
        <v>45</v>
      </c>
      <c r="C6" s="11" t="s">
        <v>1</v>
      </c>
      <c r="D6" s="11" t="s">
        <v>49</v>
      </c>
      <c r="E6" s="22">
        <f t="shared" si="0"/>
        <v>1056</v>
      </c>
      <c r="F6" s="22">
        <f t="shared" si="1"/>
        <v>843.59999999999991</v>
      </c>
      <c r="G6" s="23"/>
      <c r="H6" s="22">
        <f t="shared" si="2"/>
        <v>0</v>
      </c>
      <c r="I6" s="22"/>
      <c r="J6" s="34">
        <v>83.22</v>
      </c>
      <c r="K6" s="22"/>
      <c r="L6" s="26"/>
      <c r="M6" s="22">
        <f t="shared" si="3"/>
        <v>129.18000000000009</v>
      </c>
      <c r="N6">
        <v>24</v>
      </c>
      <c r="O6" s="11">
        <v>1.9</v>
      </c>
      <c r="P6" s="27">
        <v>8.48</v>
      </c>
      <c r="Q6" s="28">
        <f t="shared" si="4"/>
        <v>5.3825000000000038</v>
      </c>
      <c r="R6" s="28">
        <v>18.5</v>
      </c>
      <c r="S6" s="22">
        <v>44</v>
      </c>
      <c r="T6" s="30">
        <f t="shared" si="5"/>
        <v>24</v>
      </c>
      <c r="U6" s="31"/>
      <c r="V6" s="31"/>
      <c r="W6" s="31"/>
      <c r="X6" s="31"/>
    </row>
    <row r="7" spans="1:26" x14ac:dyDescent="0.25">
      <c r="A7" s="21">
        <v>5</v>
      </c>
      <c r="B7" s="11" t="s">
        <v>45</v>
      </c>
      <c r="C7" s="11" t="s">
        <v>1</v>
      </c>
      <c r="D7" s="11" t="s">
        <v>50</v>
      </c>
      <c r="E7" s="22">
        <f t="shared" si="0"/>
        <v>1264</v>
      </c>
      <c r="F7" s="22">
        <f t="shared" si="1"/>
        <v>1068.2559999999999</v>
      </c>
      <c r="G7" s="23"/>
      <c r="H7" s="22">
        <f t="shared" si="2"/>
        <v>0</v>
      </c>
      <c r="I7" s="22"/>
      <c r="J7" s="34">
        <v>83.6</v>
      </c>
      <c r="K7" s="22"/>
      <c r="L7" s="26"/>
      <c r="M7" s="22">
        <f t="shared" si="3"/>
        <v>112.14400000000015</v>
      </c>
      <c r="N7">
        <v>32</v>
      </c>
      <c r="O7" s="11">
        <v>1.9</v>
      </c>
      <c r="P7" s="27">
        <v>5.95</v>
      </c>
      <c r="Q7" s="28">
        <f t="shared" si="4"/>
        <v>3.5045000000000046</v>
      </c>
      <c r="R7" s="28">
        <v>17.57</v>
      </c>
      <c r="S7" s="22">
        <v>39.5</v>
      </c>
      <c r="T7" s="30">
        <f t="shared" si="5"/>
        <v>32</v>
      </c>
      <c r="U7" s="31"/>
      <c r="V7" s="31"/>
      <c r="W7" s="31"/>
      <c r="X7" s="31"/>
    </row>
    <row r="8" spans="1:26" x14ac:dyDescent="0.25">
      <c r="A8" s="21">
        <v>6</v>
      </c>
      <c r="B8" s="11" t="s">
        <v>45</v>
      </c>
      <c r="C8" s="11" t="s">
        <v>1</v>
      </c>
      <c r="D8" s="11" t="s">
        <v>51</v>
      </c>
      <c r="E8" s="22">
        <f t="shared" si="0"/>
        <v>1200</v>
      </c>
      <c r="F8" s="22">
        <f t="shared" si="1"/>
        <v>1149.22</v>
      </c>
      <c r="G8" s="23"/>
      <c r="H8" s="22">
        <f t="shared" si="2"/>
        <v>0</v>
      </c>
      <c r="I8" s="22"/>
      <c r="J8" s="34"/>
      <c r="K8" s="22"/>
      <c r="L8" s="26"/>
      <c r="M8" s="22">
        <f t="shared" si="3"/>
        <v>50.779999999999973</v>
      </c>
      <c r="N8">
        <v>40</v>
      </c>
      <c r="O8" s="11">
        <v>1.85</v>
      </c>
      <c r="P8" s="27">
        <v>4.0999999999999996</v>
      </c>
      <c r="Q8" s="28">
        <f t="shared" si="4"/>
        <v>1.2694999999999994</v>
      </c>
      <c r="R8" s="28">
        <v>15.53</v>
      </c>
      <c r="S8" s="22">
        <v>30</v>
      </c>
      <c r="T8" s="30">
        <f t="shared" si="5"/>
        <v>40</v>
      </c>
      <c r="U8" s="31"/>
      <c r="V8" s="31"/>
      <c r="W8" s="31"/>
      <c r="X8" s="31"/>
    </row>
    <row r="9" spans="1:26" x14ac:dyDescent="0.25">
      <c r="A9" s="21">
        <v>7</v>
      </c>
      <c r="B9" s="11" t="s">
        <v>45</v>
      </c>
      <c r="C9" s="11" t="s">
        <v>1</v>
      </c>
      <c r="D9" s="11" t="s">
        <v>52</v>
      </c>
      <c r="E9" s="22">
        <f t="shared" si="0"/>
        <v>1580</v>
      </c>
      <c r="F9" s="22">
        <f t="shared" si="1"/>
        <v>1378.62</v>
      </c>
      <c r="G9" s="23"/>
      <c r="H9" s="22">
        <f t="shared" si="2"/>
        <v>0</v>
      </c>
      <c r="I9" s="22"/>
      <c r="J9" s="34">
        <v>86.26</v>
      </c>
      <c r="K9" s="22"/>
      <c r="L9" s="26"/>
      <c r="M9" s="22">
        <f t="shared" si="3"/>
        <v>115.1200000000001</v>
      </c>
      <c r="N9">
        <v>40</v>
      </c>
      <c r="O9" s="11">
        <v>1.85</v>
      </c>
      <c r="P9" s="27">
        <v>6.08</v>
      </c>
      <c r="Q9" s="28">
        <f>M9/N9</f>
        <v>2.8780000000000028</v>
      </c>
      <c r="R9" s="28">
        <v>18.63</v>
      </c>
      <c r="S9" s="22">
        <v>39.5</v>
      </c>
      <c r="T9" s="30">
        <f t="shared" si="5"/>
        <v>40</v>
      </c>
      <c r="U9" s="31"/>
      <c r="V9" s="31"/>
      <c r="W9" s="31"/>
      <c r="X9" s="31"/>
    </row>
    <row r="10" spans="1:26" x14ac:dyDescent="0.25">
      <c r="A10" s="21">
        <v>8</v>
      </c>
      <c r="B10" s="11" t="s">
        <v>45</v>
      </c>
      <c r="C10" s="11" t="s">
        <v>1</v>
      </c>
      <c r="D10" s="11" t="s">
        <v>53</v>
      </c>
      <c r="E10" s="22">
        <f t="shared" si="0"/>
        <v>1536</v>
      </c>
      <c r="F10" s="22">
        <f t="shared" si="1"/>
        <v>1290.1759999999999</v>
      </c>
      <c r="G10" s="23"/>
      <c r="H10" s="22">
        <f t="shared" si="2"/>
        <v>0</v>
      </c>
      <c r="I10" s="22">
        <v>150</v>
      </c>
      <c r="J10" s="34">
        <v>181.64</v>
      </c>
      <c r="K10" s="22">
        <v>60</v>
      </c>
      <c r="L10" s="26"/>
      <c r="M10" s="22">
        <f t="shared" si="3"/>
        <v>-145.81599999999992</v>
      </c>
      <c r="N10">
        <v>32</v>
      </c>
      <c r="O10" s="11">
        <v>1.9</v>
      </c>
      <c r="P10" s="27">
        <v>0.28000000000000003</v>
      </c>
      <c r="Q10" s="28">
        <f t="shared" si="4"/>
        <v>-4.5567499999999974</v>
      </c>
      <c r="R10" s="28">
        <v>21.22</v>
      </c>
      <c r="S10" s="22">
        <v>48</v>
      </c>
      <c r="T10" s="30">
        <f t="shared" si="5"/>
        <v>32</v>
      </c>
      <c r="U10" s="31"/>
      <c r="V10" s="31"/>
      <c r="W10" s="31"/>
      <c r="X10" s="31"/>
    </row>
    <row r="11" spans="1:26" x14ac:dyDescent="0.25">
      <c r="A11" s="21">
        <v>9</v>
      </c>
      <c r="B11" s="11" t="s">
        <v>45</v>
      </c>
      <c r="C11" s="11" t="s">
        <v>1</v>
      </c>
      <c r="D11" s="11" t="s">
        <v>54</v>
      </c>
      <c r="E11" s="22">
        <f t="shared" si="0"/>
        <v>1251.25</v>
      </c>
      <c r="F11" s="22">
        <f t="shared" si="1"/>
        <v>1160.9675000000002</v>
      </c>
      <c r="G11" s="23"/>
      <c r="H11" s="22">
        <f t="shared" si="2"/>
        <v>0</v>
      </c>
      <c r="I11" s="22"/>
      <c r="J11" s="34"/>
      <c r="K11" s="22"/>
      <c r="L11" s="26"/>
      <c r="M11" s="22">
        <f t="shared" si="3"/>
        <v>90.2824999999998</v>
      </c>
      <c r="N11">
        <v>38.5</v>
      </c>
      <c r="O11" s="11">
        <v>1.85</v>
      </c>
      <c r="P11" s="27">
        <v>4.24</v>
      </c>
      <c r="Q11" s="28">
        <f t="shared" si="4"/>
        <v>2.3449999999999949</v>
      </c>
      <c r="R11" s="28">
        <v>16.3</v>
      </c>
      <c r="S11" s="22">
        <v>32.5</v>
      </c>
      <c r="T11" s="30">
        <f t="shared" si="5"/>
        <v>38.5</v>
      </c>
      <c r="U11" s="31"/>
      <c r="V11" s="31"/>
      <c r="W11" s="31"/>
      <c r="X11" s="31"/>
    </row>
    <row r="12" spans="1:26" x14ac:dyDescent="0.25">
      <c r="A12" s="21">
        <v>10</v>
      </c>
      <c r="B12" s="11" t="s">
        <v>45</v>
      </c>
      <c r="C12" s="11" t="s">
        <v>1</v>
      </c>
      <c r="D12" s="11" t="s">
        <v>55</v>
      </c>
      <c r="E12" s="22">
        <f t="shared" si="0"/>
        <v>2040</v>
      </c>
      <c r="F12" s="22">
        <f t="shared" si="1"/>
        <v>1608.76</v>
      </c>
      <c r="G12" s="23"/>
      <c r="H12" s="22">
        <f t="shared" si="2"/>
        <v>0</v>
      </c>
      <c r="I12" s="22">
        <v>390</v>
      </c>
      <c r="J12" s="34"/>
      <c r="K12" s="22"/>
      <c r="L12" s="26"/>
      <c r="M12" s="22">
        <f t="shared" si="3"/>
        <v>41.240000000000009</v>
      </c>
      <c r="N12">
        <v>40</v>
      </c>
      <c r="O12" s="11">
        <v>1.85</v>
      </c>
      <c r="P12" s="27">
        <v>3.52</v>
      </c>
      <c r="Q12" s="28">
        <f t="shared" si="4"/>
        <v>1.0310000000000001</v>
      </c>
      <c r="R12" s="28">
        <v>21.74</v>
      </c>
      <c r="S12" s="22">
        <v>51</v>
      </c>
      <c r="T12" s="30">
        <f t="shared" si="5"/>
        <v>40</v>
      </c>
      <c r="U12" s="31"/>
      <c r="V12" s="31"/>
      <c r="W12" s="31"/>
      <c r="X12" s="31"/>
    </row>
    <row r="13" spans="1:26" x14ac:dyDescent="0.25">
      <c r="A13" s="21">
        <v>11</v>
      </c>
      <c r="B13" s="11" t="s">
        <v>45</v>
      </c>
      <c r="C13" s="11" t="s">
        <v>1</v>
      </c>
      <c r="D13" s="11" t="s">
        <v>46</v>
      </c>
      <c r="E13" s="22">
        <f t="shared" si="0"/>
        <v>1152</v>
      </c>
      <c r="F13" s="22">
        <f t="shared" si="1"/>
        <v>1032</v>
      </c>
      <c r="G13" s="23"/>
      <c r="H13" s="22">
        <f t="shared" si="2"/>
        <v>0</v>
      </c>
      <c r="I13" s="22"/>
      <c r="J13" s="34"/>
      <c r="K13" s="22"/>
      <c r="L13" s="26"/>
      <c r="M13" s="22">
        <f t="shared" si="3"/>
        <v>120</v>
      </c>
      <c r="N13">
        <v>24</v>
      </c>
      <c r="O13" s="11">
        <v>1</v>
      </c>
      <c r="P13" s="27">
        <v>5</v>
      </c>
      <c r="Q13" s="28">
        <f t="shared" si="4"/>
        <v>5</v>
      </c>
      <c r="R13" s="28">
        <v>43</v>
      </c>
      <c r="S13" s="22">
        <v>48</v>
      </c>
      <c r="T13" s="30">
        <f t="shared" si="5"/>
        <v>24</v>
      </c>
      <c r="U13" s="31"/>
      <c r="V13" s="31"/>
      <c r="W13" s="31"/>
      <c r="X13" s="31"/>
    </row>
    <row r="14" spans="1:26" x14ac:dyDescent="0.25">
      <c r="A14" s="21">
        <v>12</v>
      </c>
      <c r="B14" s="11" t="s">
        <v>45</v>
      </c>
      <c r="C14" s="11" t="s">
        <v>1</v>
      </c>
      <c r="D14" s="11" t="s">
        <v>47</v>
      </c>
      <c r="E14" s="22">
        <f t="shared" si="0"/>
        <v>2090</v>
      </c>
      <c r="F14" s="22">
        <f t="shared" si="1"/>
        <v>1900</v>
      </c>
      <c r="G14" s="23"/>
      <c r="H14" s="22">
        <f t="shared" si="2"/>
        <v>0</v>
      </c>
      <c r="I14" s="22"/>
      <c r="J14" s="34"/>
      <c r="K14" s="22"/>
      <c r="L14" s="26"/>
      <c r="M14" s="22">
        <f t="shared" si="3"/>
        <v>190</v>
      </c>
      <c r="N14">
        <v>38</v>
      </c>
      <c r="O14" s="11">
        <v>1</v>
      </c>
      <c r="P14" s="27">
        <v>5</v>
      </c>
      <c r="Q14" s="28">
        <f t="shared" si="4"/>
        <v>5</v>
      </c>
      <c r="R14" s="28">
        <v>50</v>
      </c>
      <c r="S14" s="22">
        <v>55</v>
      </c>
      <c r="T14" s="30">
        <f t="shared" si="5"/>
        <v>38</v>
      </c>
      <c r="U14" s="31"/>
      <c r="V14" s="31"/>
      <c r="W14" s="31"/>
      <c r="X14" s="31"/>
    </row>
    <row r="15" spans="1:26" x14ac:dyDescent="0.25">
      <c r="A15" s="21">
        <v>13</v>
      </c>
      <c r="B15" s="11" t="s">
        <v>45</v>
      </c>
      <c r="C15" s="11" t="s">
        <v>1</v>
      </c>
      <c r="D15" s="11" t="s">
        <v>48</v>
      </c>
      <c r="E15" s="22">
        <f t="shared" si="0"/>
        <v>1920</v>
      </c>
      <c r="F15" s="22">
        <f t="shared" si="1"/>
        <v>1628</v>
      </c>
      <c r="G15" s="23"/>
      <c r="H15" s="22">
        <f t="shared" si="2"/>
        <v>0</v>
      </c>
      <c r="I15" s="22">
        <v>57.5</v>
      </c>
      <c r="J15" s="34">
        <v>200.45</v>
      </c>
      <c r="K15" s="22">
        <v>60</v>
      </c>
      <c r="L15" s="26"/>
      <c r="M15" s="22">
        <f t="shared" si="3"/>
        <v>-25.949999999999989</v>
      </c>
      <c r="N15">
        <v>40</v>
      </c>
      <c r="O15" s="11">
        <v>1.85</v>
      </c>
      <c r="P15" s="27">
        <v>3.64</v>
      </c>
      <c r="Q15" s="28">
        <f t="shared" si="4"/>
        <v>-0.64874999999999972</v>
      </c>
      <c r="R15" s="28">
        <v>22</v>
      </c>
      <c r="S15" s="22">
        <v>48</v>
      </c>
      <c r="T15" s="30">
        <f t="shared" si="5"/>
        <v>40</v>
      </c>
      <c r="U15" s="31"/>
      <c r="V15" s="31"/>
      <c r="W15" s="31"/>
      <c r="X15" s="31"/>
    </row>
    <row r="16" spans="1:26" x14ac:dyDescent="0.25">
      <c r="A16" s="21">
        <v>14</v>
      </c>
      <c r="B16" s="11" t="s">
        <v>45</v>
      </c>
      <c r="C16" s="11" t="s">
        <v>1</v>
      </c>
      <c r="D16" s="11" t="s">
        <v>49</v>
      </c>
      <c r="E16" s="22">
        <f t="shared" si="0"/>
        <v>1700</v>
      </c>
      <c r="F16" s="22">
        <f t="shared" si="1"/>
        <v>1531.8000000000002</v>
      </c>
      <c r="G16" s="23"/>
      <c r="H16" s="22">
        <f t="shared" si="2"/>
        <v>0</v>
      </c>
      <c r="I16" s="22"/>
      <c r="J16" s="34">
        <v>86.26</v>
      </c>
      <c r="K16" s="22"/>
      <c r="L16" s="26"/>
      <c r="M16" s="22">
        <f t="shared" si="3"/>
        <v>81.939999999999813</v>
      </c>
      <c r="N16">
        <v>40</v>
      </c>
      <c r="O16" s="11">
        <v>1.85</v>
      </c>
      <c r="P16" s="27">
        <v>5.56</v>
      </c>
      <c r="Q16" s="28">
        <f t="shared" si="4"/>
        <v>2.0484999999999953</v>
      </c>
      <c r="R16" s="28">
        <v>20.7</v>
      </c>
      <c r="S16" s="22">
        <v>42.5</v>
      </c>
      <c r="T16" s="30">
        <f t="shared" si="5"/>
        <v>40</v>
      </c>
      <c r="U16" s="31"/>
      <c r="V16" s="31"/>
      <c r="W16" s="31"/>
      <c r="X16" s="31"/>
    </row>
    <row r="17" spans="1:26" x14ac:dyDescent="0.25">
      <c r="A17" s="21">
        <v>15</v>
      </c>
      <c r="B17" s="11" t="s">
        <v>45</v>
      </c>
      <c r="C17" s="11" t="s">
        <v>1</v>
      </c>
      <c r="D17" s="11" t="s">
        <v>50</v>
      </c>
      <c r="E17" s="22">
        <f t="shared" si="0"/>
        <v>2542.5</v>
      </c>
      <c r="F17" s="22">
        <f t="shared" si="1"/>
        <v>2362.5</v>
      </c>
      <c r="G17" s="23"/>
      <c r="H17" s="22">
        <f t="shared" si="2"/>
        <v>0</v>
      </c>
      <c r="I17" s="22"/>
      <c r="J17" s="34"/>
      <c r="K17" s="22"/>
      <c r="L17" s="26"/>
      <c r="M17" s="22">
        <f t="shared" si="3"/>
        <v>180</v>
      </c>
      <c r="N17">
        <v>45</v>
      </c>
      <c r="O17" s="11">
        <v>1</v>
      </c>
      <c r="P17" s="27">
        <v>4</v>
      </c>
      <c r="Q17" s="28">
        <f t="shared" si="4"/>
        <v>4</v>
      </c>
      <c r="R17" s="28">
        <v>52.5</v>
      </c>
      <c r="S17" s="22">
        <v>56.5</v>
      </c>
      <c r="T17" s="30">
        <f t="shared" si="5"/>
        <v>45</v>
      </c>
      <c r="U17" s="31"/>
      <c r="V17" s="31"/>
      <c r="W17" s="31"/>
      <c r="X17" s="31"/>
    </row>
    <row r="18" spans="1:26" x14ac:dyDescent="0.25">
      <c r="A18" s="21">
        <v>16</v>
      </c>
      <c r="B18" s="11" t="s">
        <v>45</v>
      </c>
      <c r="C18" s="11" t="s">
        <v>1</v>
      </c>
      <c r="D18" s="11" t="s">
        <v>51</v>
      </c>
      <c r="E18" s="22">
        <f t="shared" si="0"/>
        <v>1360</v>
      </c>
      <c r="F18" s="22">
        <f t="shared" si="1"/>
        <v>1089.2800000000002</v>
      </c>
      <c r="G18" s="23"/>
      <c r="H18" s="22">
        <f t="shared" si="2"/>
        <v>0</v>
      </c>
      <c r="I18" s="22"/>
      <c r="J18" s="34">
        <v>169.01</v>
      </c>
      <c r="K18" s="22"/>
      <c r="L18" s="26"/>
      <c r="M18" s="22">
        <f t="shared" si="3"/>
        <v>101.70999999999981</v>
      </c>
      <c r="N18">
        <v>40</v>
      </c>
      <c r="O18" s="11">
        <v>1.85</v>
      </c>
      <c r="P18" s="27">
        <v>4.82</v>
      </c>
      <c r="Q18" s="28">
        <f t="shared" si="4"/>
        <v>2.5427499999999954</v>
      </c>
      <c r="R18" s="28">
        <v>14.72</v>
      </c>
      <c r="S18" s="22">
        <v>34</v>
      </c>
      <c r="T18" s="30">
        <f t="shared" si="5"/>
        <v>40</v>
      </c>
      <c r="U18" s="31"/>
      <c r="V18" s="31"/>
      <c r="W18" s="31"/>
      <c r="X18" s="31"/>
    </row>
    <row r="19" spans="1:26" x14ac:dyDescent="0.25">
      <c r="A19" s="21">
        <v>17</v>
      </c>
      <c r="B19" s="11" t="s">
        <v>45</v>
      </c>
      <c r="C19" s="11" t="s">
        <v>1</v>
      </c>
      <c r="D19" s="11" t="s">
        <v>52</v>
      </c>
      <c r="E19" s="22">
        <f t="shared" si="0"/>
        <v>1536</v>
      </c>
      <c r="F19" s="22">
        <f t="shared" si="1"/>
        <v>1531.8000000000002</v>
      </c>
      <c r="G19" s="23"/>
      <c r="H19" s="22">
        <f t="shared" si="2"/>
        <v>0</v>
      </c>
      <c r="I19" s="22"/>
      <c r="J19" s="34">
        <v>44.46</v>
      </c>
      <c r="K19" s="22"/>
      <c r="L19" s="26"/>
      <c r="M19" s="22">
        <f t="shared" si="3"/>
        <v>-40.260000000000183</v>
      </c>
      <c r="N19">
        <v>24</v>
      </c>
      <c r="O19" s="11">
        <v>1.85</v>
      </c>
      <c r="P19" s="27">
        <v>3.75</v>
      </c>
      <c r="Q19" s="28">
        <f t="shared" si="4"/>
        <v>-1.6775000000000075</v>
      </c>
      <c r="R19" s="28">
        <v>34.5</v>
      </c>
      <c r="S19" s="22">
        <v>64</v>
      </c>
      <c r="T19" s="30">
        <f t="shared" si="5"/>
        <v>24</v>
      </c>
      <c r="U19" s="31"/>
      <c r="V19" s="31"/>
      <c r="W19" s="31"/>
      <c r="X19" s="31"/>
    </row>
    <row r="20" spans="1:26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s="49" customFormat="1" ht="30" x14ac:dyDescent="0.25">
      <c r="A22" s="44"/>
      <c r="B22" s="45" t="s">
        <v>32</v>
      </c>
      <c r="C22" s="45" t="s">
        <v>36</v>
      </c>
      <c r="D22" s="45" t="s">
        <v>37</v>
      </c>
      <c r="E22" s="45" t="s">
        <v>38</v>
      </c>
      <c r="F22" s="45" t="s">
        <v>39</v>
      </c>
      <c r="G22" s="45" t="s">
        <v>40</v>
      </c>
      <c r="H22" s="45"/>
      <c r="I22" s="45" t="s">
        <v>41</v>
      </c>
      <c r="J22" s="45" t="s">
        <v>42</v>
      </c>
      <c r="K22" s="45" t="s">
        <v>43</v>
      </c>
      <c r="L22" s="46">
        <f>1*N22</f>
        <v>598.5</v>
      </c>
      <c r="M22" s="46">
        <f t="shared" ref="M22:R22" si="6">SUM(M2:M21)</f>
        <v>488.64849999999961</v>
      </c>
      <c r="N22" s="47">
        <f t="shared" si="6"/>
        <v>598.5</v>
      </c>
      <c r="O22" s="46">
        <f t="shared" si="6"/>
        <v>28.250000000000007</v>
      </c>
      <c r="P22" s="46">
        <f t="shared" si="6"/>
        <v>79.360000000000014</v>
      </c>
      <c r="Q22" s="46">
        <f t="shared" si="6"/>
        <v>11.658687499999994</v>
      </c>
      <c r="R22" s="46">
        <f t="shared" si="6"/>
        <v>442.90000000000003</v>
      </c>
      <c r="S22" s="48"/>
      <c r="T22" s="48"/>
      <c r="U22" s="48"/>
      <c r="V22" s="48"/>
      <c r="W22" s="48"/>
      <c r="X22" s="48"/>
      <c r="Y22" s="48"/>
      <c r="Z22" s="48"/>
    </row>
    <row r="23" spans="1:26" x14ac:dyDescent="0.25">
      <c r="B23" t="s">
        <v>1</v>
      </c>
      <c r="C23" s="19">
        <f>DSUM($C$2:$E$19,3,$B$22:$B$23)</f>
        <v>26627.75</v>
      </c>
      <c r="D23" s="19">
        <f>DSUM($C$2:$M$19,11,$B$22:$B$23)</f>
        <v>488.64849999999961</v>
      </c>
      <c r="E23" s="19"/>
      <c r="F23" s="19">
        <f>D23-E23</f>
        <v>488.64849999999961</v>
      </c>
      <c r="G23" s="37">
        <f>F23/C23</f>
        <v>1.8351099886396695E-2</v>
      </c>
      <c r="H23"/>
      <c r="I23" s="19">
        <f>DSUM($C$2:$I$19,7,$B$22:$B$23)</f>
        <v>797.5</v>
      </c>
      <c r="J23" s="19">
        <f>DSUM($C$2:$J$19,8,$B$22:$B$23)</f>
        <v>1297.93</v>
      </c>
      <c r="K23" s="19">
        <f>DSUM($C$2:$L$19,9,$B$22:$B$23)</f>
        <v>947.66</v>
      </c>
      <c r="L23" s="19">
        <f>DSUM($C$2:$L$19,10,$B$22:$B$23)</f>
        <v>0</v>
      </c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25">
      <c r="B24" t="s">
        <v>2</v>
      </c>
      <c r="C24" s="19">
        <f>DSUM($C$2:$E$19,3,$B$22:$B$24)-C23</f>
        <v>0</v>
      </c>
      <c r="D24" s="19">
        <f>DSUM($C$2:$M$19,11,$B$22:$B$24)-D23</f>
        <v>0</v>
      </c>
      <c r="E24" s="19"/>
      <c r="F24" s="19">
        <f>D24-E24</f>
        <v>0</v>
      </c>
      <c r="G24" s="37" t="e">
        <f>F24/C24</f>
        <v>#DIV/0!</v>
      </c>
      <c r="H24"/>
      <c r="I24" s="19">
        <f>DSUM($C$2:$I$19,7,$B$22:$B$24)-I23</f>
        <v>0</v>
      </c>
      <c r="J24" s="19">
        <f>DSUM($C$2:$J$19,8,$B$22:$B$24)-J23</f>
        <v>0</v>
      </c>
      <c r="K24" s="19">
        <f>DSUM($C$2:$L$19,9,$B$22:$B$24)-K23</f>
        <v>0</v>
      </c>
      <c r="L24" s="19">
        <f>DSUM($C$2:$L$19,10,$B$22:$B$24)-L23</f>
        <v>0</v>
      </c>
      <c r="M24" s="19">
        <f t="shared" ref="M24:R24" si="7">M22/$A$19</f>
        <v>28.744029411764682</v>
      </c>
      <c r="N24" s="19">
        <f t="shared" si="7"/>
        <v>35.205882352941174</v>
      </c>
      <c r="O24" s="19">
        <f t="shared" si="7"/>
        <v>1.6617647058823533</v>
      </c>
      <c r="P24" s="19">
        <f t="shared" si="7"/>
        <v>4.6682352941176477</v>
      </c>
      <c r="Q24" s="19">
        <f t="shared" si="7"/>
        <v>0.68580514705882312</v>
      </c>
      <c r="R24" s="19">
        <f t="shared" si="7"/>
        <v>26.05294117647059</v>
      </c>
      <c r="S24"/>
      <c r="T24"/>
      <c r="U24"/>
      <c r="V24"/>
      <c r="W24"/>
      <c r="X24"/>
      <c r="Y24"/>
      <c r="Z24"/>
    </row>
    <row r="25" spans="1:26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</row>
    <row r="26" spans="1:26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</row>
    <row r="27" spans="1:26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</row>
    <row r="28" spans="1:26" s="49" customFormat="1" x14ac:dyDescent="0.25">
      <c r="A28" s="44"/>
      <c r="B28" s="45" t="s">
        <v>0</v>
      </c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25">
      <c r="B29" s="11" t="s">
        <v>46</v>
      </c>
      <c r="C29" s="19">
        <f>DSUM($C$2:$E$19,3,$B$28:$B$29)-SUM(C28:C28)</f>
        <v>4408</v>
      </c>
      <c r="D29" s="39">
        <f>DSUM($C$2:$M$19,11,$B$28:$B$29)-SUM(D28:D28)</f>
        <v>-627.84</v>
      </c>
      <c r="E29" s="37">
        <f t="shared" ref="E29:E38" si="8">D29/C29</f>
        <v>-0.14243194192377495</v>
      </c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</row>
    <row r="30" spans="1:26" x14ac:dyDescent="0.25">
      <c r="B30" s="11" t="s">
        <v>55</v>
      </c>
      <c r="C30" s="19">
        <f>DSUM($C$2:$E$19,3,$B$28:$B$30)-SUM(C28:C29)</f>
        <v>0</v>
      </c>
      <c r="D30" s="39">
        <f>DSUM($C$2:$M$19,11,$B$28:$B$30)-SUM(D28:D29)</f>
        <v>0</v>
      </c>
      <c r="E30" s="37" t="e">
        <f t="shared" si="8"/>
        <v>#DIV/0!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</row>
    <row r="31" spans="1:26" x14ac:dyDescent="0.25">
      <c r="B31" s="11" t="s">
        <v>47</v>
      </c>
      <c r="C31" s="19">
        <f>DSUM($C$2:$E$19,3,$B$28:$B$31)-SUM(C28:C30)</f>
        <v>3866</v>
      </c>
      <c r="D31" s="39">
        <f>DSUM($C$2:$M$19,11,$B$28:$B$31)-SUM(D28:D30)</f>
        <v>301</v>
      </c>
      <c r="E31" s="37">
        <f t="shared" si="8"/>
        <v>7.7858251422659078E-2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</row>
    <row r="32" spans="1:26" x14ac:dyDescent="0.25">
      <c r="B32" s="11" t="s">
        <v>48</v>
      </c>
      <c r="C32" s="19">
        <f>DSUM($C$2:$E$19,3,$B$28:$B$32)-SUM(C28:C31)</f>
        <v>3328</v>
      </c>
      <c r="D32" s="39">
        <f>DSUM($C$2:$M$19,11,$B$28:$B$32)-SUM(D28:D31)</f>
        <v>140.40800000000007</v>
      </c>
      <c r="E32" s="37">
        <f t="shared" si="8"/>
        <v>4.218990384615387E-2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2:26" x14ac:dyDescent="0.25">
      <c r="B33" s="11" t="s">
        <v>49</v>
      </c>
      <c r="C33" s="19">
        <f>DSUM($C$2:$E$19,3,$B$28:$B$33)-SUM(C28:C32)</f>
        <v>2756</v>
      </c>
      <c r="D33" s="39">
        <f>DSUM($C$2:$M$19,11,$B$28:$B$33)-SUM(D28:D32)</f>
        <v>211.11999999999989</v>
      </c>
      <c r="E33" s="37">
        <f t="shared" si="8"/>
        <v>7.6603773584905624E-2</v>
      </c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</row>
    <row r="34" spans="2:26" x14ac:dyDescent="0.25">
      <c r="B34" s="11" t="s">
        <v>50</v>
      </c>
      <c r="C34" s="19">
        <f>DSUM($C$2:$E$19,3,$B$28:$B$34)-SUM(C28:C33)</f>
        <v>3806.5</v>
      </c>
      <c r="D34" s="39">
        <f>DSUM($C$2:$M$19,11,$B$28:$B$34)-SUM(D28:D33)</f>
        <v>292.14400000000012</v>
      </c>
      <c r="E34" s="37">
        <f t="shared" si="8"/>
        <v>7.6748719295941181E-2</v>
      </c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</row>
    <row r="35" spans="2:26" x14ac:dyDescent="0.25">
      <c r="B35" s="11" t="s">
        <v>51</v>
      </c>
      <c r="C35" s="19">
        <f>DSUM($C$2:$E$19,3,$B$28:$B$35)-SUM(C28:C34)</f>
        <v>2560</v>
      </c>
      <c r="D35" s="39">
        <f>DSUM($C$2:$M$19,11,$B$28:$B$35)-SUM(D28:D34)</f>
        <v>152.48999999999978</v>
      </c>
      <c r="E35" s="37">
        <f t="shared" si="8"/>
        <v>5.9566406249999912E-2</v>
      </c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</row>
    <row r="36" spans="2:26" x14ac:dyDescent="0.25">
      <c r="B36" s="11" t="s">
        <v>52</v>
      </c>
      <c r="C36" s="19">
        <f>DSUM($C$2:$E$19,3,$B$28:$B$36)-SUM(C28:C35)</f>
        <v>3116</v>
      </c>
      <c r="D36" s="39">
        <f>DSUM($C$2:$M$19,11,$B$28:$B$36)-SUM(D28:D35)</f>
        <v>74.859999999999957</v>
      </c>
      <c r="E36" s="37">
        <f t="shared" si="8"/>
        <v>2.4024390243902426E-2</v>
      </c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</row>
    <row r="37" spans="2:26" x14ac:dyDescent="0.25">
      <c r="B37" s="11" t="s">
        <v>53</v>
      </c>
      <c r="C37" s="19">
        <f>DSUM($C$2:$E$19,3,$B$28:$B$37)-SUM(C28:C36)</f>
        <v>1536</v>
      </c>
      <c r="D37" s="39">
        <f>DSUM($C$2:$M$19,11,$B$28:$B$37)-SUM(D28:D36)</f>
        <v>-145.81599999999992</v>
      </c>
      <c r="E37" s="37">
        <f t="shared" si="8"/>
        <v>-9.4932291666666613E-2</v>
      </c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</row>
    <row r="38" spans="2:26" x14ac:dyDescent="0.25">
      <c r="B38" s="11" t="s">
        <v>54</v>
      </c>
      <c r="C38" s="19">
        <f>DSUM($C$2:$E$19,3,$B$28:$B$38)-SUM(C28:C37)</f>
        <v>1251.25</v>
      </c>
      <c r="D38" s="39">
        <f>DSUM($C$2:$M$19,11,$B$28:$B$38)-SUM(D28:D37)</f>
        <v>90.282499999999743</v>
      </c>
      <c r="E38" s="37">
        <f t="shared" si="8"/>
        <v>7.2153846153845944E-2</v>
      </c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</row>
    <row r="39" spans="2:26" ht="15.75" thickBot="1" x14ac:dyDescent="0.3">
      <c r="B39" s="36" t="s">
        <v>44</v>
      </c>
      <c r="C39" s="38">
        <f>SUM(C29:C38)</f>
        <v>26627.75</v>
      </c>
      <c r="D39" s="39"/>
      <c r="E39" s="37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</row>
    <row r="40" spans="2:26" ht="15.75" thickTop="1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</row>
    <row r="41" spans="2:26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</row>
    <row r="42" spans="2:26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</row>
    <row r="43" spans="2:26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</row>
    <row r="44" spans="2:26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</row>
    <row r="45" spans="2:26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</row>
  </sheetData>
  <sortState xmlns:xlrd2="http://schemas.microsoft.com/office/spreadsheetml/2017/richdata2" ref="B29:B38">
    <sortCondition ref="B28:B3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4" name="Button 1">
              <controlPr defaultSize="0" print="0" autoFill="0" autoPict="0" macro="[0]!newWeek">
                <anchor moveWithCells="1">
                  <from>
                    <xdr:col>1</xdr:col>
                    <xdr:colOff>133350</xdr:colOff>
                    <xdr:row>41</xdr:row>
                    <xdr:rowOff>76200</xdr:rowOff>
                  </from>
                  <to>
                    <xdr:col>1</xdr:col>
                    <xdr:colOff>2114550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5" name="Button 2">
              <controlPr defaultSize="0" print="0" autoFill="0" autoPict="0" macro="[0]!newRow">
                <anchor moveWithCells="1">
                  <from>
                    <xdr:col>3</xdr:col>
                    <xdr:colOff>228600</xdr:colOff>
                    <xdr:row>41</xdr:row>
                    <xdr:rowOff>76200</xdr:rowOff>
                  </from>
                  <to>
                    <xdr:col>4</xdr:col>
                    <xdr:colOff>381000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6" name="Button 3">
              <controlPr defaultSize="0" print="0" autoFill="0" autoPict="0" macro="[0]!newTotals">
                <anchor moveWithCells="1">
                  <from>
                    <xdr:col>2</xdr:col>
                    <xdr:colOff>95250</xdr:colOff>
                    <xdr:row>44</xdr:row>
                    <xdr:rowOff>76200</xdr:rowOff>
                  </from>
                  <to>
                    <xdr:col>3</xdr:col>
                    <xdr:colOff>800100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OnLoad">
  <ribbon>
    <tabs>
      <tab id="tabVaktec" label="VakTec" insertAfterMso="TabHome">
        <group id="GenereerOmzetOverzicht" label="Uitzendkracht">
          <button id="btGenereerOmzetOverzicht" label="Omzet" size="large" onAction="iknpOmzetverzicht" imageMso="ViewsReport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Versus begroting</vt:lpstr>
      <vt:lpstr>W (1)</vt:lpstr>
    </vt:vector>
  </TitlesOfParts>
  <Company>VAKTEC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hillebrand</dc:creator>
  <cp:lastModifiedBy>Laptop</cp:lastModifiedBy>
  <cp:lastPrinted>2019-05-27T09:21:47Z</cp:lastPrinted>
  <dcterms:created xsi:type="dcterms:W3CDTF">2013-01-22T11:21:09Z</dcterms:created>
  <dcterms:modified xsi:type="dcterms:W3CDTF">2021-04-14T12:22:26Z</dcterms:modified>
</cp:coreProperties>
</file>