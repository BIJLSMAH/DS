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29861debd7d463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cuments\GitHub\DS\ONDERHANDEN TB\VakTec, Jannes de Boer\"/>
    </mc:Choice>
  </mc:AlternateContent>
  <xr:revisionPtr revIDLastSave="0" documentId="13_ncr:1_{7702409B-E32F-4741-8F12-1E4829A5115B}" xr6:coauthVersionLast="45" xr6:coauthVersionMax="46" xr10:uidLastSave="{00000000-0000-0000-0000-000000000000}"/>
  <bookViews>
    <workbookView xWindow="-120" yWindow="-120" windowWidth="20730" windowHeight="11160" tabRatio="797" activeTab="1" xr2:uid="{00000000-000D-0000-FFFF-FFFF00000000}"/>
  </bookViews>
  <sheets>
    <sheet name="Versus begroting" sheetId="52" r:id="rId1"/>
    <sheet name="wk 1" sheetId="167" r:id="rId2"/>
  </sheets>
  <definedNames>
    <definedName name="_xlnm._FilterDatabase" localSheetId="1" hidden="1">'wk 1'!$A$2:$Z$19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52" l="1"/>
  <c r="B13" i="52"/>
  <c r="B56" i="52"/>
  <c r="B50" i="52"/>
  <c r="B49" i="52"/>
  <c r="B48" i="52"/>
  <c r="B62" i="52" s="1"/>
  <c r="B35" i="52"/>
  <c r="B37" i="52" s="1"/>
  <c r="B29" i="52"/>
  <c r="B8" i="52" s="1"/>
  <c r="B28" i="52"/>
  <c r="B7" i="52" s="1"/>
  <c r="B27" i="52"/>
  <c r="B6" i="52" s="1"/>
  <c r="B20" i="52" s="1"/>
  <c r="L23" i="167"/>
  <c r="L24" i="167" s="1"/>
  <c r="K23" i="167"/>
  <c r="K24" i="167" s="1"/>
  <c r="J23" i="167"/>
  <c r="J24" i="167" s="1"/>
  <c r="I23" i="167"/>
  <c r="I24" i="167" s="1"/>
  <c r="R22" i="167"/>
  <c r="R24" i="167" s="1"/>
  <c r="P22" i="167"/>
  <c r="P24" i="167" s="1"/>
  <c r="O22" i="167"/>
  <c r="O24" i="167" s="1"/>
  <c r="N22" i="167"/>
  <c r="N24" i="167" s="1"/>
  <c r="L22" i="167" l="1"/>
  <c r="B63" i="52"/>
  <c r="B38" i="52"/>
  <c r="B14" i="52"/>
  <c r="B21" i="52" s="1"/>
  <c r="B58" i="52"/>
  <c r="B41" i="52"/>
  <c r="B42" i="52"/>
  <c r="B59" i="52" l="1"/>
  <c r="B16" i="52"/>
  <c r="B17" i="52"/>
  <c r="T19" i="167" l="1"/>
  <c r="H19" i="167"/>
  <c r="F19" i="167"/>
  <c r="T18" i="167"/>
  <c r="H18" i="167"/>
  <c r="F18" i="167"/>
  <c r="T17" i="167"/>
  <c r="H17" i="167"/>
  <c r="E17" i="167" s="1"/>
  <c r="F17" i="167"/>
  <c r="T16" i="167"/>
  <c r="H16" i="167"/>
  <c r="F16" i="167"/>
  <c r="T15" i="167"/>
  <c r="H15" i="167"/>
  <c r="F15" i="167"/>
  <c r="T14" i="167"/>
  <c r="H14" i="167"/>
  <c r="F14" i="167"/>
  <c r="T13" i="167"/>
  <c r="H13" i="167"/>
  <c r="F13" i="167"/>
  <c r="T12" i="167"/>
  <c r="H12" i="167"/>
  <c r="F12" i="167"/>
  <c r="T11" i="167"/>
  <c r="H11" i="167"/>
  <c r="F11" i="167"/>
  <c r="T10" i="167"/>
  <c r="H10" i="167"/>
  <c r="F10" i="167"/>
  <c r="T9" i="167"/>
  <c r="H9" i="167"/>
  <c r="F9" i="167"/>
  <c r="T8" i="167"/>
  <c r="H8" i="167"/>
  <c r="F8" i="167"/>
  <c r="T7" i="167"/>
  <c r="H7" i="167"/>
  <c r="F7" i="167"/>
  <c r="T6" i="167"/>
  <c r="H6" i="167"/>
  <c r="F6" i="167"/>
  <c r="T5" i="167"/>
  <c r="H5" i="167"/>
  <c r="F5" i="167"/>
  <c r="T4" i="167"/>
  <c r="H4" i="167"/>
  <c r="F4" i="167"/>
  <c r="T3" i="167"/>
  <c r="H3" i="167"/>
  <c r="F3" i="167"/>
  <c r="E3" i="167" l="1"/>
  <c r="E11" i="167"/>
  <c r="E5" i="167"/>
  <c r="M5" i="167" s="1"/>
  <c r="Q5" i="167" s="1"/>
  <c r="E4" i="167"/>
  <c r="M4" i="167" s="1"/>
  <c r="Q4" i="167" s="1"/>
  <c r="E8" i="167"/>
  <c r="M8" i="167" s="1"/>
  <c r="Q8" i="167" s="1"/>
  <c r="E9" i="167"/>
  <c r="M9" i="167" s="1"/>
  <c r="Q9" i="167" s="1"/>
  <c r="E10" i="167"/>
  <c r="M10" i="167" s="1"/>
  <c r="Q10" i="167" s="1"/>
  <c r="E15" i="167"/>
  <c r="M15" i="167" s="1"/>
  <c r="Q15" i="167" s="1"/>
  <c r="E19" i="167"/>
  <c r="M17" i="167"/>
  <c r="Q17" i="167" s="1"/>
  <c r="M3" i="167"/>
  <c r="E13" i="167"/>
  <c r="M13" i="167" s="1"/>
  <c r="Q13" i="167" s="1"/>
  <c r="E6" i="167"/>
  <c r="M6" i="167" s="1"/>
  <c r="Q6" i="167" s="1"/>
  <c r="E7" i="167"/>
  <c r="M7" i="167" s="1"/>
  <c r="Q7" i="167" s="1"/>
  <c r="E12" i="167"/>
  <c r="C29" i="167" s="1"/>
  <c r="E16" i="167"/>
  <c r="M16" i="167" s="1"/>
  <c r="Q16" i="167" s="1"/>
  <c r="E14" i="167"/>
  <c r="M14" i="167" s="1"/>
  <c r="Q14" i="167" s="1"/>
  <c r="M11" i="167"/>
  <c r="Q11" i="167" s="1"/>
  <c r="M19" i="167"/>
  <c r="Q19" i="167" s="1"/>
  <c r="E18" i="167"/>
  <c r="M18" i="167" s="1"/>
  <c r="Q18" i="167" s="1"/>
  <c r="M12" i="167" l="1"/>
  <c r="C30" i="167"/>
  <c r="C23" i="167"/>
  <c r="C24" i="167" s="1"/>
  <c r="Q3" i="167"/>
  <c r="Q22" i="167" s="1"/>
  <c r="Q24" i="167" s="1"/>
  <c r="D29" i="167"/>
  <c r="E29" i="167" s="1"/>
  <c r="M22" i="167"/>
  <c r="M24" i="167" s="1"/>
  <c r="D23" i="167"/>
  <c r="C31" i="167"/>
  <c r="C32" i="167" s="1"/>
  <c r="Q12" i="167"/>
  <c r="C33" i="167" l="1"/>
  <c r="C34" i="167"/>
  <c r="C35" i="167" s="1"/>
  <c r="D30" i="167"/>
  <c r="D31" i="167" s="1"/>
  <c r="E31" i="167" s="1"/>
  <c r="F23" i="167"/>
  <c r="D24" i="167"/>
  <c r="F24" i="167" s="1"/>
  <c r="G24" i="167" l="1"/>
  <c r="B30" i="52"/>
  <c r="G23" i="167"/>
  <c r="B51" i="52"/>
  <c r="E30" i="167"/>
  <c r="D32" i="167"/>
  <c r="C36" i="167"/>
  <c r="B52" i="52" l="1"/>
  <c r="B65" i="52" s="1"/>
  <c r="B64" i="52"/>
  <c r="E32" i="167"/>
  <c r="C37" i="167"/>
  <c r="C38" i="167" s="1"/>
  <c r="C39" i="167" s="1"/>
  <c r="B31" i="52"/>
  <c r="B9" i="52"/>
  <c r="B22" i="52" s="1"/>
  <c r="D33" i="167"/>
  <c r="B44" i="52" l="1"/>
  <c r="B43" i="52"/>
  <c r="B10" i="52"/>
  <c r="B23" i="52" s="1"/>
  <c r="E33" i="167"/>
  <c r="D34" i="167"/>
  <c r="D35" i="167" s="1"/>
  <c r="E35" i="167" l="1"/>
  <c r="D36" i="167"/>
  <c r="E36" i="167" s="1"/>
  <c r="E34" i="167"/>
  <c r="D37" i="167" l="1"/>
  <c r="E37" i="167" l="1"/>
  <c r="D38" i="167"/>
  <c r="E38" i="167" s="1"/>
</calcChain>
</file>

<file path=xl/sharedStrings.xml><?xml version="1.0" encoding="utf-8"?>
<sst xmlns="http://schemas.openxmlformats.org/spreadsheetml/2006/main" count="150" uniqueCount="56">
  <si>
    <t>Klant</t>
  </si>
  <si>
    <t>Olie en Gas</t>
  </si>
  <si>
    <t>Bouw</t>
  </si>
  <si>
    <t>week</t>
  </si>
  <si>
    <t>werkbare dagen</t>
  </si>
  <si>
    <t>CUMULATIEF</t>
  </si>
  <si>
    <t>Werkelijk</t>
  </si>
  <si>
    <t>aantal UK's</t>
  </si>
  <si>
    <t>aantal uren per week (38 uur)</t>
  </si>
  <si>
    <t>marge per week (excl. Btw)</t>
  </si>
  <si>
    <t>cum. marge (excl. Btw)</t>
  </si>
  <si>
    <t>Begroot</t>
  </si>
  <si>
    <t>Verschil</t>
  </si>
  <si>
    <t>Nr</t>
  </si>
  <si>
    <t>Uitzendkrachten</t>
  </si>
  <si>
    <t>Omzet</t>
  </si>
  <si>
    <t>Loonkosten</t>
  </si>
  <si>
    <t>Aantal Zak.km</t>
  </si>
  <si>
    <t>Zakelijke km</t>
  </si>
  <si>
    <t>Overnachting</t>
  </si>
  <si>
    <t>fee Recruiter</t>
  </si>
  <si>
    <t>Netto-winst</t>
  </si>
  <si>
    <t>Uren</t>
  </si>
  <si>
    <t>Marge/uur voorcalc</t>
  </si>
  <si>
    <t>Winst/uur</t>
  </si>
  <si>
    <t>Uurloon</t>
  </si>
  <si>
    <t>Tarief</t>
  </si>
  <si>
    <t>Gem. marge per uur</t>
  </si>
  <si>
    <t>Gem. aantal uren per week (38 uur)</t>
  </si>
  <si>
    <t>Gem. marge per week (excl. Btw)</t>
  </si>
  <si>
    <t>Winst per week (excl. Btw)</t>
  </si>
  <si>
    <t>Factor berekening loonkosten</t>
  </si>
  <si>
    <t>Afdeling</t>
  </si>
  <si>
    <t>Auto / km woon werk</t>
  </si>
  <si>
    <t>Overig</t>
  </si>
  <si>
    <t>1</t>
  </si>
  <si>
    <t>omzet</t>
  </si>
  <si>
    <t>bruto-marge werkenden</t>
  </si>
  <si>
    <t>kosten wel gemaakt, niet werkende</t>
  </si>
  <si>
    <t>totale bruto marge</t>
  </si>
  <si>
    <t>percentage brutomarge</t>
  </si>
  <si>
    <t>totaal overnachting</t>
  </si>
  <si>
    <t>totaal auto</t>
  </si>
  <si>
    <t>totaal materiaal</t>
  </si>
  <si>
    <t>Totaal</t>
  </si>
  <si>
    <t>Naam X</t>
  </si>
  <si>
    <t>Klant X1</t>
  </si>
  <si>
    <t>Klant X2</t>
  </si>
  <si>
    <t>Klant X3</t>
  </si>
  <si>
    <t>Klant X4</t>
  </si>
  <si>
    <t>Klant X5</t>
  </si>
  <si>
    <t>Klant X6</t>
  </si>
  <si>
    <t>Klant X7</t>
  </si>
  <si>
    <t>Klant X8</t>
  </si>
  <si>
    <t>Klant X9</t>
  </si>
  <si>
    <t>Klant 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</si>
</sst>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 &quot;€&quot;\ * #,##0.00_ ;_ &quot;€&quot;\ * \-#,##0.00_ ;_ &quot;€&quot;\ * &quot;-&quot;??_ ;_ @_ 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_-* #,##0_-;_-* #,##0\-;_-* &quot;-&quot;??_-;_-@_-"/>
    <numFmt numFmtId="169" formatCode="_(&quot;$&quot;* #,##0.00_);_(&quot;$&quot;* \(#,##0.00\);_(&quot;$&quot;* &quot;-&quot;??_);_(@_)"/>
    <numFmt numFmtId="170" formatCode="0.0"/>
    <numFmt numFmtId="171" formatCode="_-&quot;ˆ&quot;\ * #,##0.00_-;_-&quot;ˆ&quot;\ * #,##0.00\-;_-&quot;ˆ&quot;\ * &quot;-&quot;??_-;_-@_-"/>
    <numFmt numFmtId="172" formatCode="_ [$ˆ-413]\ * #,##0.00_ ;_ [$ˆ-413]\ * \-#,##0.00_ ;_ [$ˆ-413]\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A7400"/>
        <bgColor theme="5"/>
      </patternFill>
    </fill>
  </fills>
  <borders count="4">
    <border>
      <left/>
      <right/>
      <top/>
      <bottom/>
      <diagonal/>
    </border>
    <border>
      <left/>
      <right/>
      <top style="thin">
        <color theme="3" tint="0.39991454817346722"/>
      </top>
      <bottom style="double">
        <color theme="3" tint="0.3999145481734672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0"/>
      </bottom>
      <diagonal/>
    </border>
  </borders>
  <cellStyleXfs count="12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166" fontId="0" fillId="0" borderId="0" xfId="4" applyFont="1"/>
    <xf numFmtId="168" fontId="3" fillId="0" borderId="0" xfId="1" applyNumberFormat="1" applyFont="1"/>
    <xf numFmtId="0" fontId="3" fillId="0" borderId="0" xfId="0" applyFont="1"/>
    <xf numFmtId="166" fontId="3" fillId="0" borderId="0" xfId="4" applyFont="1"/>
    <xf numFmtId="1" fontId="3" fillId="0" borderId="0" xfId="1" applyNumberFormat="1" applyFont="1" applyAlignment="1">
      <alignment horizontal="right"/>
    </xf>
    <xf numFmtId="167" fontId="3" fillId="0" borderId="0" xfId="1" applyFont="1"/>
    <xf numFmtId="164" fontId="3" fillId="0" borderId="0" xfId="4" applyNumberFormat="1" applyFont="1"/>
    <xf numFmtId="1" fontId="3" fillId="0" borderId="0" xfId="1" applyNumberFormat="1" applyFont="1" applyAlignment="1">
      <alignment horizontal="left"/>
    </xf>
    <xf numFmtId="0" fontId="4" fillId="0" borderId="0" xfId="0" applyFont="1"/>
    <xf numFmtId="0" fontId="0" fillId="0" borderId="0" xfId="0" applyFill="1"/>
    <xf numFmtId="0" fontId="0" fillId="0" borderId="0" xfId="0" applyFont="1"/>
    <xf numFmtId="168" fontId="0" fillId="0" borderId="0" xfId="1" applyNumberFormat="1" applyFont="1"/>
    <xf numFmtId="0" fontId="3" fillId="0" borderId="0" xfId="0" applyFont="1" applyFill="1"/>
    <xf numFmtId="166" fontId="3" fillId="0" borderId="0" xfId="4" applyFont="1" applyFill="1"/>
    <xf numFmtId="9" fontId="3" fillId="0" borderId="0" xfId="3" applyFont="1" applyFill="1"/>
    <xf numFmtId="0" fontId="3" fillId="0" borderId="0" xfId="0" applyFont="1" applyFill="1" applyAlignment="1">
      <alignment horizontal="center"/>
    </xf>
    <xf numFmtId="0" fontId="0" fillId="2" borderId="0" xfId="0" applyFill="1"/>
    <xf numFmtId="171" fontId="0" fillId="0" borderId="0" xfId="0" applyNumberFormat="1"/>
    <xf numFmtId="171" fontId="0" fillId="2" borderId="0" xfId="0" applyNumberFormat="1" applyFill="1"/>
    <xf numFmtId="1" fontId="0" fillId="0" borderId="0" xfId="0" applyNumberFormat="1" applyFont="1" applyFill="1" applyBorder="1" applyAlignment="1">
      <alignment horizontal="center"/>
    </xf>
    <xf numFmtId="166" fontId="1" fillId="0" borderId="0" xfId="4" applyFill="1"/>
    <xf numFmtId="167" fontId="1" fillId="0" borderId="0" xfId="1" applyFill="1"/>
    <xf numFmtId="1" fontId="0" fillId="0" borderId="0" xfId="0" applyNumberFormat="1" applyFill="1"/>
    <xf numFmtId="0" fontId="0" fillId="0" borderId="0" xfId="0" applyFill="1" applyAlignment="1">
      <alignment horizontal="center"/>
    </xf>
    <xf numFmtId="166" fontId="0" fillId="0" borderId="0" xfId="4" applyFont="1" applyFill="1"/>
    <xf numFmtId="164" fontId="0" fillId="0" borderId="0" xfId="0" applyNumberFormat="1" applyFill="1" applyAlignment="1">
      <alignment horizontal="center"/>
    </xf>
    <xf numFmtId="166" fontId="1" fillId="0" borderId="0" xfId="0" applyNumberFormat="1" applyFont="1" applyFill="1"/>
    <xf numFmtId="164" fontId="0" fillId="0" borderId="0" xfId="0" applyNumberFormat="1" applyFill="1"/>
    <xf numFmtId="170" fontId="1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4" fontId="0" fillId="0" borderId="0" xfId="0" applyNumberFormat="1"/>
    <xf numFmtId="44" fontId="0" fillId="0" borderId="0" xfId="4" applyNumberFormat="1" applyFont="1" applyFill="1"/>
    <xf numFmtId="0" fontId="2" fillId="0" borderId="1" xfId="0" applyFont="1" applyBorder="1"/>
    <xf numFmtId="10" fontId="0" fillId="0" borderId="0" xfId="0" applyNumberFormat="1"/>
    <xf numFmtId="171" fontId="2" fillId="0" borderId="1" xfId="0" applyNumberFormat="1" applyFont="1" applyBorder="1"/>
    <xf numFmtId="172" fontId="0" fillId="0" borderId="0" xfId="0" applyNumberFormat="1"/>
    <xf numFmtId="0" fontId="0" fillId="0" borderId="0" xfId="0" applyFill="1" applyAlignment="1">
      <alignment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9" fontId="8" fillId="3" borderId="3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Alignment="1">
      <alignment wrapText="1"/>
    </xf>
    <xf numFmtId="0" fontId="2" fillId="0" borderId="0" xfId="0" applyFont="1" applyAlignment="1">
      <alignment wrapText="1"/>
    </xf>
    <xf numFmtId="171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</cellXfs>
  <cellStyles count="12">
    <cellStyle name="Hyperlink 2" xfId="11" xr:uid="{DFBC1AAF-8664-404D-B3E4-049A7DF9D677}"/>
    <cellStyle name="Komma" xfId="1" builtinId="3"/>
    <cellStyle name="Komma 2" xfId="2" xr:uid="{00000000-0005-0000-0000-000003000000}"/>
    <cellStyle name="Komma 2 2" xfId="7" xr:uid="{00000000-0005-0000-0000-000004000000}"/>
    <cellStyle name="Komma 3" xfId="6" xr:uid="{00000000-0005-0000-0000-000005000000}"/>
    <cellStyle name="Procent" xfId="3" builtinId="5"/>
    <cellStyle name="Standaard" xfId="0" builtinId="0"/>
    <cellStyle name="Standaard 2" xfId="8" xr:uid="{00000000-0005-0000-0000-000008000000}"/>
    <cellStyle name="Standaard 3" xfId="9" xr:uid="{00000000-0005-0000-0000-000009000000}"/>
    <cellStyle name="Valuta" xfId="4" builtinId="4"/>
    <cellStyle name="Valuta 2" xfId="5" xr:uid="{00000000-0005-0000-0000-00000A000000}"/>
    <cellStyle name="Valuta 3" xfId="10" xr:uid="{00000000-0005-0000-0000-00000B000000}"/>
  </cellStyles>
  <dxfs count="0"/>
  <tableStyles count="0" defaultTableStyle="TableStyleMedium9" defaultPivotStyle="PivotStyleLight16"/>
  <colors>
    <mruColors>
      <color rgb="FFFA7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0</xdr:rowOff>
        </xdr:from>
        <xdr:to>
          <xdr:col>0</xdr:col>
          <xdr:colOff>1924050</xdr:colOff>
          <xdr:row>0</xdr:row>
          <xdr:rowOff>285750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bijwerken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1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1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1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2098040</xdr:colOff>
      <xdr:row>0</xdr:row>
      <xdr:rowOff>762000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951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0"/>
  <dimension ref="A1:EQ86"/>
  <sheetViews>
    <sheetView workbookViewId="0">
      <pane xSplit="1" topLeftCell="B1" activePane="topRight" state="frozen"/>
      <selection activeCell="I16" sqref="I16"/>
      <selection pane="topRight" activeCell="I16" sqref="I16"/>
    </sheetView>
  </sheetViews>
  <sheetFormatPr defaultColWidth="9.140625" defaultRowHeight="15" x14ac:dyDescent="0.25"/>
  <cols>
    <col min="1" max="1" width="29" style="14" bestFit="1" customWidth="1"/>
    <col min="2" max="2" width="16.140625" style="14" bestFit="1" customWidth="1"/>
    <col min="3" max="3" width="13.140625" style="15" bestFit="1" customWidth="1"/>
    <col min="4" max="4" width="13.140625" style="15" customWidth="1"/>
    <col min="5" max="5" width="13.140625" style="16" customWidth="1"/>
    <col min="6" max="6" width="13.140625" style="14" customWidth="1"/>
    <col min="7" max="7" width="13.140625" style="17" customWidth="1"/>
    <col min="8" max="9" width="13.140625" style="14" customWidth="1"/>
    <col min="10" max="40" width="14.7109375" style="14" customWidth="1"/>
    <col min="41" max="41" width="15.42578125" style="14" customWidth="1"/>
    <col min="42" max="44" width="14.7109375" style="14" customWidth="1"/>
    <col min="45" max="53" width="15.7109375" style="14" customWidth="1"/>
    <col min="54" max="55" width="9.140625" style="14" customWidth="1"/>
    <col min="56" max="56" width="13.140625" style="14" customWidth="1"/>
    <col min="57" max="57" width="9.140625" style="14" customWidth="1"/>
    <col min="58" max="16384" width="9.140625" style="14"/>
  </cols>
  <sheetData>
    <row r="1" spans="1:147" s="6" customFormat="1" ht="23.25" customHeight="1" x14ac:dyDescent="0.25">
      <c r="A1" s="9" t="s">
        <v>3</v>
      </c>
      <c r="B1" t="s">
        <v>35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</row>
    <row r="2" spans="1:147" s="6" customFormat="1" x14ac:dyDescent="0.25">
      <c r="A2" s="9" t="s">
        <v>4</v>
      </c>
      <c r="B2" s="18">
        <v>5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4" customForma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4" customFormat="1" x14ac:dyDescent="0.25">
      <c r="A4" s="12" t="s">
        <v>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4" customFormat="1" x14ac:dyDescent="0.25">
      <c r="A5" s="4" t="s">
        <v>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3" customFormat="1" x14ac:dyDescent="0.25">
      <c r="A6" s="3" t="s">
        <v>7</v>
      </c>
      <c r="B6">
        <f>B27+B48</f>
        <v>17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3" customFormat="1" x14ac:dyDescent="0.25">
      <c r="A7" s="13" t="s">
        <v>28</v>
      </c>
      <c r="B7">
        <f>B28+B49</f>
        <v>598.5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8" customFormat="1" x14ac:dyDescent="0.25">
      <c r="A8" s="5" t="s">
        <v>27</v>
      </c>
      <c r="B8" s="19">
        <f>(B29+B50)/2</f>
        <v>2.3341176470588239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8" customFormat="1" x14ac:dyDescent="0.25">
      <c r="A9" s="2" t="s">
        <v>29</v>
      </c>
      <c r="B9" s="19">
        <f>B30+B51</f>
        <v>488.64849999999961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8" customFormat="1" x14ac:dyDescent="0.25">
      <c r="A10" s="2" t="s">
        <v>30</v>
      </c>
      <c r="B10" s="19">
        <f>B31+B52</f>
        <v>488.64849999999961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4" customFormat="1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4" customFormat="1" x14ac:dyDescent="0.25">
      <c r="A12" s="4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3" customFormat="1" x14ac:dyDescent="0.25">
      <c r="A13" s="3" t="s">
        <v>7</v>
      </c>
      <c r="B13">
        <f>B34+B55</f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3" customFormat="1" x14ac:dyDescent="0.25">
      <c r="A14" s="3" t="s">
        <v>8</v>
      </c>
      <c r="B14">
        <f>B35+B56</f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5" customFormat="1" x14ac:dyDescent="0.25">
      <c r="A15" s="2" t="s">
        <v>27</v>
      </c>
      <c r="B15" s="19">
        <f>(B36+B57)/2</f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5" customFormat="1" x14ac:dyDescent="0.25">
      <c r="A16" s="2" t="s">
        <v>9</v>
      </c>
      <c r="B16" s="19">
        <f>B37+B58</f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5" customFormat="1" x14ac:dyDescent="0.25">
      <c r="A17" s="5" t="s">
        <v>10</v>
      </c>
      <c r="B17" s="19">
        <f>B38+B59</f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4" customFormat="1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" customFormat="1" x14ac:dyDescent="0.25">
      <c r="A19" s="4" t="s">
        <v>12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3" customFormat="1" x14ac:dyDescent="0.25">
      <c r="A20" s="3" t="s">
        <v>7</v>
      </c>
      <c r="B20">
        <f>B6-B13</f>
        <v>17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3" customFormat="1" x14ac:dyDescent="0.25">
      <c r="A21" s="3" t="s">
        <v>8</v>
      </c>
      <c r="B21">
        <f>B7-B14</f>
        <v>598.5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5" customFormat="1" x14ac:dyDescent="0.25">
      <c r="A22" s="5" t="s">
        <v>9</v>
      </c>
      <c r="B22" s="19">
        <f>B9-B16</f>
        <v>488.64849999999961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5" customFormat="1" x14ac:dyDescent="0.25">
      <c r="A23" s="5" t="s">
        <v>10</v>
      </c>
      <c r="B23" s="19">
        <f>B10-B17</f>
        <v>488.64849999999961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" customForma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 s="4" customFormat="1" x14ac:dyDescent="0.25">
      <c r="A25" s="10" t="s">
        <v>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</row>
    <row r="26" spans="1:147" s="4" customFormat="1" x14ac:dyDescent="0.25">
      <c r="A26" s="4" t="s">
        <v>6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</row>
    <row r="27" spans="1:147" s="7" customFormat="1" x14ac:dyDescent="0.25">
      <c r="A27" s="7" t="s">
        <v>7</v>
      </c>
      <c r="B27">
        <f>COUNTIF('wk 1'!$C$3:$C$19,"Bouw")</f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</row>
    <row r="28" spans="1:147" s="3" customFormat="1" x14ac:dyDescent="0.25">
      <c r="A28" s="3" t="s">
        <v>8</v>
      </c>
      <c r="B28">
        <f>SUMIF('wk 1'!$C$3:$C$19,"Bouw",'wk 1'!$N$3:$N$19)</f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</row>
    <row r="29" spans="1:147" s="5" customFormat="1" x14ac:dyDescent="0.25">
      <c r="A29" s="2" t="s">
        <v>27</v>
      </c>
      <c r="B29" s="19">
        <f>IFERROR(AVERAGEIF('wk 1'!$C$3:$C$19,"Bouw",'wk 1'!$P$3:$P$19),0)</f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</row>
    <row r="30" spans="1:147" s="5" customFormat="1" x14ac:dyDescent="0.25">
      <c r="A30" s="5" t="s">
        <v>9</v>
      </c>
      <c r="B30" s="19">
        <f>IFERROR(VLOOKUP("Bouw",'wk 1'!$B$22:$G$24,5,FALSE),0)</f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</row>
    <row r="31" spans="1:147" s="5" customFormat="1" x14ac:dyDescent="0.25">
      <c r="A31" s="5" t="s">
        <v>10</v>
      </c>
      <c r="B31" s="19">
        <f>B30</f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</row>
    <row r="32" spans="1:147" s="4" customForma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</row>
    <row r="33" spans="1:147" s="4" customFormat="1" x14ac:dyDescent="0.25">
      <c r="A33" s="4" t="s">
        <v>11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</row>
    <row r="34" spans="1:147" s="3" customFormat="1" x14ac:dyDescent="0.25">
      <c r="A34" s="3" t="s">
        <v>7</v>
      </c>
      <c r="B34" s="18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</row>
    <row r="35" spans="1:147" s="3" customFormat="1" x14ac:dyDescent="0.25">
      <c r="A35" s="3" t="s">
        <v>8</v>
      </c>
      <c r="B35">
        <f>B34*38</f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</row>
    <row r="36" spans="1:147" s="5" customFormat="1" x14ac:dyDescent="0.25">
      <c r="A36" s="2" t="s">
        <v>27</v>
      </c>
      <c r="B36" s="20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</row>
    <row r="37" spans="1:147" s="5" customFormat="1" x14ac:dyDescent="0.25">
      <c r="A37" s="2" t="s">
        <v>9</v>
      </c>
      <c r="B37" s="19">
        <f>B36*B35</f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</row>
    <row r="38" spans="1:147" s="5" customFormat="1" x14ac:dyDescent="0.25">
      <c r="A38" s="5" t="s">
        <v>10</v>
      </c>
      <c r="B38" s="19">
        <f>B37</f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</row>
    <row r="39" spans="1:147" s="4" customForma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</row>
    <row r="40" spans="1:147" s="4" customFormat="1" x14ac:dyDescent="0.25">
      <c r="A40" s="4" t="s">
        <v>12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</row>
    <row r="41" spans="1:147" s="3" customFormat="1" x14ac:dyDescent="0.25">
      <c r="A41" s="3" t="s">
        <v>7</v>
      </c>
      <c r="B41">
        <f>B27-B34</f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</row>
    <row r="42" spans="1:147" s="3" customFormat="1" x14ac:dyDescent="0.25">
      <c r="A42" s="3" t="s">
        <v>8</v>
      </c>
      <c r="B42">
        <f>B28-B35</f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</row>
    <row r="43" spans="1:147" s="5" customFormat="1" x14ac:dyDescent="0.25">
      <c r="A43" s="5" t="s">
        <v>9</v>
      </c>
      <c r="B43" s="19">
        <f>B31-B38</f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</row>
    <row r="44" spans="1:147" s="5" customFormat="1" x14ac:dyDescent="0.25">
      <c r="A44" s="5" t="s">
        <v>10</v>
      </c>
      <c r="B44" s="19">
        <f>B31-B38</f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</row>
    <row r="45" spans="1:147" s="4" customForma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</row>
    <row r="46" spans="1:147" s="4" customFormat="1" x14ac:dyDescent="0.25">
      <c r="A46" s="10" t="s">
        <v>1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</row>
    <row r="47" spans="1:147" s="4" customFormat="1" x14ac:dyDescent="0.25">
      <c r="A47" s="4" t="s">
        <v>6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</row>
    <row r="48" spans="1:147" s="7" customFormat="1" x14ac:dyDescent="0.25">
      <c r="A48" s="7" t="s">
        <v>7</v>
      </c>
      <c r="B48">
        <f>COUNTIF('wk 1'!$C$3:$C$19,"Olie en Gas")</f>
        <v>17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</row>
    <row r="49" spans="1:147" s="3" customFormat="1" x14ac:dyDescent="0.25">
      <c r="A49" s="3" t="s">
        <v>8</v>
      </c>
      <c r="B49">
        <f>SUMIF('wk 1'!$C$3:$C$19,"Olie en Gas",'wk 1'!$N$3:$N$19)</f>
        <v>598.5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</row>
    <row r="50" spans="1:147" s="5" customFormat="1" x14ac:dyDescent="0.25">
      <c r="A50" s="5" t="s">
        <v>27</v>
      </c>
      <c r="B50" s="19">
        <f>IFERROR(AVERAGEIF('wk 1'!$C$3:$C$19,"Olie en Gas",'wk 1'!$P$3:$P$19),0)</f>
        <v>4.6682352941176477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</row>
    <row r="51" spans="1:147" s="5" customFormat="1" x14ac:dyDescent="0.25">
      <c r="A51" s="5" t="s">
        <v>9</v>
      </c>
      <c r="B51" s="19">
        <f>IFERROR(VLOOKUP("Olie en Gas",'wk 1'!$B$22:$G$24,5,FALSE),0)</f>
        <v>488.64849999999961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</row>
    <row r="52" spans="1:147" s="5" customFormat="1" x14ac:dyDescent="0.25">
      <c r="A52" s="5" t="s">
        <v>10</v>
      </c>
      <c r="B52" s="19">
        <f>B51</f>
        <v>488.64849999999961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</row>
    <row r="53" spans="1:147" s="4" customForma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</row>
    <row r="54" spans="1:147" s="4" customFormat="1" x14ac:dyDescent="0.25">
      <c r="A54" s="4" t="s">
        <v>11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</row>
    <row r="55" spans="1:147" s="3" customFormat="1" x14ac:dyDescent="0.25">
      <c r="A55" s="3" t="s">
        <v>7</v>
      </c>
      <c r="B55" s="1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</row>
    <row r="56" spans="1:147" s="3" customFormat="1" x14ac:dyDescent="0.25">
      <c r="A56" s="3" t="s">
        <v>8</v>
      </c>
      <c r="B56">
        <f>B55*38</f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</row>
    <row r="57" spans="1:147" s="5" customFormat="1" x14ac:dyDescent="0.25">
      <c r="A57" s="2" t="s">
        <v>27</v>
      </c>
      <c r="B57" s="20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</row>
    <row r="58" spans="1:147" s="5" customFormat="1" x14ac:dyDescent="0.25">
      <c r="A58" s="2" t="s">
        <v>9</v>
      </c>
      <c r="B58" s="19">
        <f>B56*B57</f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</row>
    <row r="59" spans="1:147" s="5" customFormat="1" x14ac:dyDescent="0.25">
      <c r="A59" s="5" t="s">
        <v>10</v>
      </c>
      <c r="B59" s="19">
        <f>B58</f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</row>
    <row r="60" spans="1:147" s="4" customForma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</row>
    <row r="61" spans="1:147" s="4" customFormat="1" x14ac:dyDescent="0.25">
      <c r="A61" s="4" t="s">
        <v>12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</row>
    <row r="62" spans="1:147" s="3" customFormat="1" x14ac:dyDescent="0.25">
      <c r="A62" s="3" t="s">
        <v>7</v>
      </c>
      <c r="B62">
        <f>B48-B55</f>
        <v>17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</row>
    <row r="63" spans="1:147" s="3" customFormat="1" x14ac:dyDescent="0.25">
      <c r="A63" s="3" t="s">
        <v>8</v>
      </c>
      <c r="B63">
        <f>B56-B49</f>
        <v>-598.5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</row>
    <row r="64" spans="1:147" s="5" customFormat="1" x14ac:dyDescent="0.25">
      <c r="A64" s="5" t="s">
        <v>9</v>
      </c>
      <c r="B64" s="19">
        <f>B58-B51</f>
        <v>-488.64849999999961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</row>
    <row r="65" spans="1:147" s="5" customFormat="1" x14ac:dyDescent="0.25">
      <c r="A65" s="5" t="s">
        <v>10</v>
      </c>
      <c r="B65" s="19">
        <f>B59-B52</f>
        <v>-488.64849999999961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</row>
    <row r="66" spans="1:147" s="4" customForma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</row>
    <row r="67" spans="1:147" s="4" customFormat="1" x14ac:dyDescent="0.25">
      <c r="A67" s="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</row>
    <row r="68" spans="1:147" s="4" customForma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</row>
    <row r="69" spans="1:147" s="7" customFormat="1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</row>
    <row r="70" spans="1:147" s="7" customFormat="1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</row>
    <row r="71" spans="1:147" s="5" customForma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</row>
    <row r="72" spans="1:147" s="5" customForma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</row>
    <row r="73" spans="1:147" s="5" customFormat="1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</row>
    <row r="74" spans="1:147" s="4" customForma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</row>
    <row r="75" spans="1:147" s="4" customFormat="1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</row>
    <row r="76" spans="1:147" s="3" customFormat="1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</row>
    <row r="77" spans="1:147" s="3" customFormat="1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</row>
    <row r="78" spans="1:147" s="5" customFormat="1" x14ac:dyDescent="0.25">
      <c r="A78" s="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</row>
    <row r="79" spans="1:147" s="5" customFormat="1" x14ac:dyDescent="0.25">
      <c r="A79" s="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</row>
    <row r="80" spans="1:147" s="5" customFormat="1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</row>
    <row r="81" spans="2:147" s="4" customFormat="1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</row>
    <row r="82" spans="2:147" s="4" customFormat="1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</row>
    <row r="83" spans="2:147" s="3" customFormat="1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</row>
    <row r="84" spans="2:147" s="3" customFormat="1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</row>
    <row r="85" spans="2:147" s="5" customFormat="1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</row>
    <row r="86" spans="2:147" s="5" customFormat="1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versusCreate">
                <anchor moveWithCells="1" sizeWithCells="1">
                  <from>
                    <xdr:col>0</xdr:col>
                    <xdr:colOff>619125</xdr:colOff>
                    <xdr:row>0</xdr:row>
                    <xdr:rowOff>0</xdr:rowOff>
                  </from>
                  <to>
                    <xdr:col>0</xdr:col>
                    <xdr:colOff>1924050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05C4-7FE2-42B1-80B2-EE22F075B73F}">
  <sheetPr codeName="Sheet101"/>
  <dimension ref="A1:Z45"/>
  <sheetViews>
    <sheetView showGridLines="0" tabSelected="1" topLeftCell="K1" zoomScale="90" zoomScaleNormal="90" workbookViewId="0">
      <pane ySplit="2" topLeftCell="A15" activePane="bottomLeft" state="frozen"/>
      <selection activeCell="I16" sqref="I16"/>
      <selection pane="bottomLeft" activeCell="B3" sqref="B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sortState xmlns:xlrd2="http://schemas.microsoft.com/office/spreadsheetml/2017/richdata2" ref="B29:B38">
    <sortCondition ref="B28:B3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OnLoad">
  <ribbon>
    <tabs>
      <tab id="tabVaktec" label="VakTec" insertAfterMso="TabHome">
        <group id="GenereerOmzetOverzicht" label="Uitzendkracht">
          <button id="btGenereerOmzetOverzicht" label="Omzet" size="large" onAction="iknpOmzetverzicht" imageMso="ViewsRepor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Versus begroting</vt:lpstr>
      <vt:lpstr>wk 1</vt:lpstr>
    </vt:vector>
  </TitlesOfParts>
  <Company>VAKTEC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hillebrand</dc:creator>
  <cp:lastModifiedBy>Administrator</cp:lastModifiedBy>
  <cp:lastPrinted>2019-05-27T09:21:47Z</cp:lastPrinted>
  <dcterms:created xsi:type="dcterms:W3CDTF">2013-01-22T11:21:09Z</dcterms:created>
  <dcterms:modified xsi:type="dcterms:W3CDTF">2021-04-14T17:20:59Z</dcterms:modified>
</cp:coreProperties>
</file>