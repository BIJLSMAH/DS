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6F6B1959-D01E-4BB7-9881-734CFA17E158}" xr6:coauthVersionLast="45" xr6:coauthVersionMax="46" xr10:uidLastSave="{00000000-0000-0000-0000-000000000000}"/>
  <bookViews>
    <workbookView xWindow="-120" yWindow="-120" windowWidth="20730" windowHeight="11160" tabRatio="797" activeTab="4" xr2:uid="{00000000-000D-0000-FFFF-FFFF00000000}"/>
  </bookViews>
  <sheets>
    <sheet name="Versus begroting" sheetId="52" r:id="rId1"/>
    <sheet name="wk n" sheetId="167" state="veryHidden" r:id="rId2"/>
    <sheet name="wk 1" sheetId="169" r:id="rId3"/>
    <sheet name="wk 1 (origineel)" sheetId="168" r:id="rId4"/>
    <sheet name="wk 2" sheetId="181" r:id="rId5"/>
  </sheets>
  <definedNames>
    <definedName name="_xlnm._FilterDatabase" localSheetId="2" hidden="1">'wk 1'!$A$2:$Z$19</definedName>
    <definedName name="_xlnm._FilterDatabase" localSheetId="3" hidden="1">'wk 1 (origineel)'!$A$2:$Z$19</definedName>
    <definedName name="_xlnm._FilterDatabase" localSheetId="4" hidden="1">'wk 2'!$A$2:$Z$19</definedName>
    <definedName name="_xlnm._FilterDatabase" localSheetId="1" hidden="1">'wk n'!$A$2:$Z$19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81" l="1"/>
  <c r="R24" i="169"/>
  <c r="O24" i="169"/>
  <c r="N24" i="169"/>
  <c r="L23" i="169"/>
  <c r="L24" i="169" s="1"/>
  <c r="K23" i="169"/>
  <c r="K24" i="169" s="1"/>
  <c r="J23" i="169"/>
  <c r="J24" i="169" s="1"/>
  <c r="I23" i="169"/>
  <c r="I24" i="169" s="1"/>
  <c r="R22" i="169"/>
  <c r="P22" i="169"/>
  <c r="P24" i="169" s="1"/>
  <c r="O22" i="169"/>
  <c r="N22" i="169"/>
  <c r="L22" i="169"/>
  <c r="T19" i="169"/>
  <c r="H19" i="169"/>
  <c r="E19" i="169" s="1"/>
  <c r="M19" i="169" s="1"/>
  <c r="Q19" i="169" s="1"/>
  <c r="F19" i="169"/>
  <c r="T18" i="169"/>
  <c r="H18" i="169"/>
  <c r="F18" i="169"/>
  <c r="E18" i="169"/>
  <c r="M18" i="169" s="1"/>
  <c r="Q18" i="169" s="1"/>
  <c r="T17" i="169"/>
  <c r="H17" i="169"/>
  <c r="E17" i="169" s="1"/>
  <c r="M17" i="169" s="1"/>
  <c r="Q17" i="169" s="1"/>
  <c r="F17" i="169"/>
  <c r="T16" i="169"/>
  <c r="H16" i="169"/>
  <c r="F16" i="169"/>
  <c r="E16" i="169"/>
  <c r="M16" i="169" s="1"/>
  <c r="Q16" i="169" s="1"/>
  <c r="T15" i="169"/>
  <c r="H15" i="169"/>
  <c r="E15" i="169" s="1"/>
  <c r="M15" i="169" s="1"/>
  <c r="Q15" i="169" s="1"/>
  <c r="F15" i="169"/>
  <c r="T14" i="169"/>
  <c r="H14" i="169"/>
  <c r="F14" i="169"/>
  <c r="E14" i="169"/>
  <c r="M14" i="169" s="1"/>
  <c r="Q14" i="169" s="1"/>
  <c r="T13" i="169"/>
  <c r="H13" i="169"/>
  <c r="E13" i="169" s="1"/>
  <c r="M13" i="169" s="1"/>
  <c r="Q13" i="169" s="1"/>
  <c r="F13" i="169"/>
  <c r="T12" i="169"/>
  <c r="H12" i="169"/>
  <c r="F12" i="169"/>
  <c r="E12" i="169"/>
  <c r="M12" i="169" s="1"/>
  <c r="Q12" i="169" s="1"/>
  <c r="T11" i="169"/>
  <c r="H11" i="169"/>
  <c r="E11" i="169" s="1"/>
  <c r="M11" i="169" s="1"/>
  <c r="Q11" i="169" s="1"/>
  <c r="F11" i="169"/>
  <c r="T10" i="169"/>
  <c r="H10" i="169"/>
  <c r="F10" i="169"/>
  <c r="E10" i="169"/>
  <c r="M10" i="169" s="1"/>
  <c r="Q10" i="169" s="1"/>
  <c r="T9" i="169"/>
  <c r="H9" i="169"/>
  <c r="E9" i="169" s="1"/>
  <c r="M9" i="169" s="1"/>
  <c r="Q9" i="169" s="1"/>
  <c r="F9" i="169"/>
  <c r="T8" i="169"/>
  <c r="H8" i="169"/>
  <c r="F8" i="169"/>
  <c r="E8" i="169"/>
  <c r="M8" i="169" s="1"/>
  <c r="Q8" i="169" s="1"/>
  <c r="T7" i="169"/>
  <c r="H7" i="169"/>
  <c r="E7" i="169" s="1"/>
  <c r="M7" i="169" s="1"/>
  <c r="Q7" i="169" s="1"/>
  <c r="F7" i="169"/>
  <c r="T6" i="169"/>
  <c r="H6" i="169"/>
  <c r="F6" i="169"/>
  <c r="E6" i="169"/>
  <c r="M6" i="169" s="1"/>
  <c r="Q6" i="169" s="1"/>
  <c r="T5" i="169"/>
  <c r="H5" i="169"/>
  <c r="E5" i="169" s="1"/>
  <c r="M5" i="169" s="1"/>
  <c r="Q5" i="169" s="1"/>
  <c r="F5" i="169"/>
  <c r="T4" i="169"/>
  <c r="H4" i="169"/>
  <c r="F4" i="169"/>
  <c r="E4" i="169"/>
  <c r="M4" i="169" s="1"/>
  <c r="Q4" i="169" s="1"/>
  <c r="T3" i="169"/>
  <c r="H3" i="169"/>
  <c r="E3" i="169" s="1"/>
  <c r="F3" i="169"/>
  <c r="C23" i="169" l="1"/>
  <c r="C24" i="169" s="1"/>
  <c r="M3" i="169"/>
  <c r="C30" i="169"/>
  <c r="C29" i="169"/>
  <c r="R24" i="168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Q3" i="169" l="1"/>
  <c r="Q22" i="169" s="1"/>
  <c r="Q24" i="169" s="1"/>
  <c r="D29" i="169"/>
  <c r="E29" i="169" s="1"/>
  <c r="M22" i="169"/>
  <c r="M24" i="169" s="1"/>
  <c r="D30" i="169"/>
  <c r="E30" i="169" s="1"/>
  <c r="D31" i="169"/>
  <c r="D23" i="169"/>
  <c r="C31" i="169"/>
  <c r="C29" i="168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C32" i="169" l="1"/>
  <c r="F23" i="169"/>
  <c r="G23" i="169" s="1"/>
  <c r="D24" i="169"/>
  <c r="F24" i="169" s="1"/>
  <c r="G24" i="169" s="1"/>
  <c r="E31" i="169"/>
  <c r="D34" i="169"/>
  <c r="D32" i="169"/>
  <c r="D33" i="169"/>
  <c r="C32" i="168"/>
  <c r="D29" i="168"/>
  <c r="E29" i="168" s="1"/>
  <c r="Q3" i="168"/>
  <c r="Q22" i="168" s="1"/>
  <c r="Q24" i="168" s="1"/>
  <c r="D30" i="168"/>
  <c r="E30" i="168" s="1"/>
  <c r="D31" i="168"/>
  <c r="E31" i="168" s="1"/>
  <c r="M22" i="168"/>
  <c r="M24" i="168" s="1"/>
  <c r="D23" i="168"/>
  <c r="B63" i="52"/>
  <c r="B38" i="52"/>
  <c r="B14" i="52"/>
  <c r="B21" i="52" s="1"/>
  <c r="B58" i="52"/>
  <c r="B41" i="52"/>
  <c r="B42" i="52"/>
  <c r="E32" i="169" l="1"/>
  <c r="D35" i="169"/>
  <c r="C33" i="169"/>
  <c r="D24" i="168"/>
  <c r="F24" i="168" s="1"/>
  <c r="G24" i="168" s="1"/>
  <c r="F23" i="168"/>
  <c r="G23" i="168" s="1"/>
  <c r="C33" i="168"/>
  <c r="D32" i="168"/>
  <c r="E32" i="168" s="1"/>
  <c r="B59" i="52"/>
  <c r="B16" i="52"/>
  <c r="B17" i="52"/>
  <c r="C34" i="169" l="1"/>
  <c r="E33" i="169"/>
  <c r="D37" i="169"/>
  <c r="D36" i="169"/>
  <c r="D34" i="168"/>
  <c r="D36" i="168" s="1"/>
  <c r="D33" i="168"/>
  <c r="E33" i="168" s="1"/>
  <c r="D35" i="168"/>
  <c r="C34" i="168"/>
  <c r="D38" i="169" l="1"/>
  <c r="E34" i="169"/>
  <c r="C35" i="169"/>
  <c r="C35" i="168"/>
  <c r="E34" i="168"/>
  <c r="C36" i="168"/>
  <c r="E36" i="168" s="1"/>
  <c r="D37" i="168"/>
  <c r="D38" i="168" s="1"/>
  <c r="C36" i="169" l="1"/>
  <c r="E35" i="169"/>
  <c r="C38" i="168"/>
  <c r="E38" i="168" s="1"/>
  <c r="C37" i="168"/>
  <c r="E37" i="168" s="1"/>
  <c r="E35" i="168"/>
  <c r="C37" i="169" l="1"/>
  <c r="E37" i="169" s="1"/>
  <c r="C38" i="169"/>
  <c r="E36" i="169"/>
  <c r="C39" i="168"/>
  <c r="C39" i="169" l="1"/>
  <c r="E38" i="169"/>
  <c r="B30" i="52"/>
  <c r="B51" i="52"/>
  <c r="B52" i="52" l="1"/>
  <c r="B65" i="52" s="1"/>
  <c r="B64" i="52"/>
  <c r="B31" i="52"/>
  <c r="B9" i="52"/>
  <c r="B22" i="52" s="1"/>
  <c r="B44" i="52" l="1"/>
  <c r="B43" i="52"/>
  <c r="B10" i="52"/>
  <c r="B23" i="52" s="1"/>
</calcChain>
</file>

<file path=xl/sharedStrings.xml><?xml version="1.0" encoding="utf-8"?>
<sst xmlns="http://schemas.openxmlformats.org/spreadsheetml/2006/main" count="419" uniqueCount="64">
  <si>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</si>
  <si>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</si>
  <si>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</si>
  <si>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</si>
  <si>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</si>
  <si>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</si>
  <si>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</si>
  <si>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</si>
  <si>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</si>
  <si>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</si>
  <si>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</si>
  <si>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</si>
  <si>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</si>
  <si>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</si>
  <si>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</si>
  <si>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</si>
  <si>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</si>
  <si>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</si>
  <si>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</si>
  <si>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</si>
  <si>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</si>
  <si>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</si>
  <si>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</si>
  <si>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</si>
  <si>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</si>
  <si>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</si>
  <si>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</si>
  <si>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</si>
  <si>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</si>
  <si>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</si>
  <si>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</si>
  <si>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</si>
  <si>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</si>
  <si>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</si>
  <si>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</si>
  <si>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</si>
  <si>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</si>
  <si>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</si>
  <si>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</si>
  <si>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</si>
  <si>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</si>
  <si>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</si>
  <si>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</si>
  <si>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</si>
  <si>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</si>
  <si>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</si>
  <si>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</si>
  <si>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</si>
  <si>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</si>
  <si>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</si>
  <si>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</si>
  <si>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</si>
  <si>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</si>
  <si>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</si>
  <si>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</si>
  <si>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</si>
  <si>
    <t>Metaal</t>
  </si>
  <si>
    <t>Medewerker X</t>
  </si>
  <si>
    <t>Klant X</t>
  </si>
  <si>
    <t>M&amp;T</t>
  </si>
  <si>
    <t>_</t>
  </si>
  <si>
    <t>n.v.t.</t>
  </si>
  <si>
    <t>Medewerker Y</t>
  </si>
  <si>
    <t>Klant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</si>
</sst>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" fontId="0" fillId="0" borderId="0" xfId="0" applyNumberFormat="1" applyFill="1" applyBorder="1"/>
    <xf numFmtId="0" fontId="0" fillId="0" borderId="0" xfId="0" applyFill="1" applyBorder="1"/>
    <xf numFmtId="171" fontId="0" fillId="0" borderId="0" xfId="0" applyNumberFormat="1" applyBorder="1"/>
    <xf numFmtId="172" fontId="0" fillId="0" borderId="0" xfId="0" applyNumberFormat="1" applyBorder="1"/>
    <xf numFmtId="10" fontId="0" fillId="0" borderId="0" xfId="0" applyNumberFormat="1" applyBorder="1"/>
    <xf numFmtId="0" fontId="2" fillId="0" borderId="0" xfId="0" applyFont="1" applyBorder="1"/>
    <xf numFmtId="171" fontId="2" fillId="0" borderId="0" xfId="0" applyNumberFormat="1" applyFont="1" applyBorder="1"/>
    <xf numFmtId="0" fontId="0" fillId="0" borderId="0" xfId="0" applyBorder="1"/>
    <xf numFmtId="0" fontId="0" fillId="0" borderId="0" xfId="0" applyFill="1" applyBorder="1" applyAlignment="1">
      <alignment horizontal="center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320A1581-37D1-48D5-8177-99CC5CD9D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9FD08A60-0918-420B-B3F6-B1BFCDE89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8C4E52D1-470F-4D9A-AD39-3B5EA2E0F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D3CA359-17ED-4133-9A9A-E312AF3F4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2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2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2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C7D6126-BF4E-4DC5-B90A-4758EE323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Begroting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n'!$C$3:$C$19,"Bouw")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n'!$C$3:$C$19,"Bouw",'wk n'!$N$3:$N$19)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n'!$C$3:$C$19,"Bouw",'wk n'!$P$3:$P$19),0)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n'!$B$22:$G$24,5,FALSE),0)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n'!$C$3:$C$19,"Olie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n'!$C$3:$C$19,"Olie en Gas",'wk n'!$N$3:$N$19)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n'!$C$3:$C$19,"Olie en Gas",'wk n'!$P$3:$P$19),0)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n'!$B$22:$G$24,5,FALSE),0)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wk_n"/>
  <dimension ref="A1:Z46"/>
  <sheetViews>
    <sheetView showGridLines="0" zoomScale="90" zoomScaleNormal="90" workbookViewId="0">
      <pane ySplit="2" topLeftCell="A42" activePane="bottomLeft" state="frozen"/>
      <selection activeCell="I16" sqref="I16"/>
      <selection pane="bottomLeft" activeCell="E42" sqref="E42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s="33" customFormat="1" x14ac:dyDescent="0.25">
      <c r="A4" s="21"/>
      <c r="B4" s="11"/>
      <c r="C4" s="11"/>
      <c r="D4" s="11"/>
      <c r="E4" s="22"/>
      <c r="F4" s="22"/>
      <c r="G4" s="23"/>
      <c r="H4" s="22"/>
      <c r="I4" s="22"/>
      <c r="J4" s="34"/>
      <c r="K4" s="22"/>
      <c r="L4" s="22"/>
      <c r="M4" s="22"/>
      <c r="N4"/>
      <c r="O4" s="11"/>
      <c r="P4" s="27"/>
      <c r="Q4" s="28"/>
      <c r="R4" s="28"/>
      <c r="S4" s="22"/>
      <c r="T4" s="30"/>
      <c r="U4" s="31"/>
      <c r="V4" s="31"/>
      <c r="W4" s="31"/>
      <c r="X4" s="11"/>
      <c r="Y4" s="11"/>
    </row>
    <row r="5" spans="1:26" s="33" customFormat="1" x14ac:dyDescent="0.25">
      <c r="A5" s="21"/>
      <c r="B5" s="11"/>
      <c r="C5" s="1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O5" s="11"/>
      <c r="P5" s="27"/>
      <c r="Q5" s="28"/>
      <c r="R5" s="28"/>
      <c r="S5" s="22"/>
      <c r="T5" s="30"/>
      <c r="U5" s="31"/>
      <c r="V5" s="31"/>
      <c r="W5" s="31"/>
      <c r="X5" s="31"/>
      <c r="Y5" s="11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1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1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1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1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1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1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1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1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1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1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1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1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1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6"/>
      <c r="M22" s="46"/>
      <c r="N22" s="47"/>
      <c r="O22" s="46"/>
      <c r="P22" s="46"/>
      <c r="Q22" s="46"/>
      <c r="R22" s="46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/>
      <c r="C23" s="19"/>
      <c r="D23" s="19"/>
      <c r="E23" s="19"/>
      <c r="F23" s="19"/>
      <c r="G23" s="37"/>
      <c r="H23"/>
      <c r="I23" s="19"/>
      <c r="J23" s="19"/>
      <c r="K23" s="19"/>
      <c r="L23" s="19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/>
      <c r="C24" s="19"/>
      <c r="D24" s="19"/>
      <c r="E24" s="19"/>
      <c r="F24" s="19"/>
      <c r="G24" s="37"/>
      <c r="H24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C29" s="19"/>
      <c r="D29" s="39"/>
      <c r="E29" s="37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C30" s="19"/>
      <c r="D30" s="39"/>
      <c r="E30" s="37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C31" s="19"/>
      <c r="D31" s="39"/>
      <c r="E31" s="37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C32" s="19"/>
      <c r="D32" s="39"/>
      <c r="E32" s="37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C33" s="19"/>
      <c r="D33" s="39"/>
      <c r="E33" s="3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C34" s="19"/>
      <c r="D34" s="39"/>
      <c r="E34" s="3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C35" s="19"/>
      <c r="D35" s="39"/>
      <c r="E35" s="3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 s="50"/>
      <c r="B36" s="51"/>
      <c r="C36" s="52"/>
      <c r="D36" s="53"/>
      <c r="E36" s="5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 s="50"/>
      <c r="B37" s="51"/>
      <c r="C37" s="52"/>
      <c r="D37" s="53"/>
      <c r="E37" s="5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 s="50"/>
      <c r="B38" s="51"/>
      <c r="C38" s="52"/>
      <c r="D38" s="53"/>
      <c r="E38" s="5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 s="50"/>
      <c r="B39" s="55"/>
      <c r="C39" s="56"/>
      <c r="D39" s="53"/>
      <c r="E39" s="5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 s="50"/>
      <c r="B40" s="57"/>
      <c r="C40" s="57"/>
      <c r="D40" s="57"/>
      <c r="E40" s="5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 s="50"/>
      <c r="B41" s="57"/>
      <c r="C41" s="57"/>
      <c r="D41" s="57"/>
      <c r="E41" s="5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 s="50"/>
      <c r="B42" s="57"/>
      <c r="C42" s="57"/>
      <c r="D42" s="57"/>
      <c r="E42" s="57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 s="50"/>
      <c r="B43" s="57"/>
      <c r="C43" s="57"/>
      <c r="D43" s="57"/>
      <c r="E43" s="5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 s="50"/>
      <c r="B44" s="57"/>
      <c r="C44" s="57"/>
      <c r="D44" s="57"/>
      <c r="E44" s="57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 s="50"/>
      <c r="B45" s="57"/>
      <c r="C45" s="57"/>
      <c r="D45" s="57"/>
      <c r="E45" s="57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 s="50"/>
      <c r="B46" s="51"/>
      <c r="C46" s="51"/>
      <c r="D46" s="58"/>
      <c r="E46" s="51"/>
    </row>
  </sheetData>
  <sortState xmlns:xlrd2="http://schemas.microsoft.com/office/spreadsheetml/2017/richdata2" ref="B29:B38">
    <sortCondition ref="B28:B38"/>
  </sortState>
  <conditionalFormatting sqref="A1:XFD100000">
    <cfRule type="cellIs" dxfId="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291D-8DBE-41B6-938F-2128C8C7AB11}">
  <sheetPr codeName="wk_1o1"/>
  <dimension ref="A1:Z45"/>
  <sheetViews>
    <sheetView showGridLines="0" topLeftCell="F1" zoomScale="90" zoomScaleNormal="90" workbookViewId="0">
      <pane ySplit="2" topLeftCell="A3" activePane="bottomLeft" state="frozen"/>
      <selection activeCell="I16" sqref="I16"/>
      <selection pane="bottomLeft" activeCell="L3" sqref="L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wk_1o"/>
  <dimension ref="A1:Z45"/>
  <sheetViews>
    <sheetView showGridLines="0" zoomScale="90" zoomScaleNormal="90" workbookViewId="0">
      <pane ySplit="2" topLeftCell="A3" activePane="bottomLeft" state="frozen"/>
      <selection activeCell="I16" sqref="I16"/>
      <selection pane="bottomLeft" activeCell="E3" sqref="E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6000-1BB6-4D8B-9E65-D1778B018745}">
  <sheetPr codeName="wk_n1"/>
  <dimension ref="A1:Z46"/>
  <sheetViews>
    <sheetView showGridLines="0" tabSelected="1" zoomScale="90" zoomScaleNormal="90" workbookViewId="0">
      <pane ySplit="2" topLeftCell="A3" activePane="bottomLeft" state="frozen"/>
      <selection activeCell="I16" sqref="I16"/>
      <selection pane="bottomLeft" activeCell="E3" sqref="E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57</v>
      </c>
      <c r="C3" s="11" t="s">
        <v>56</v>
      </c>
      <c r="D3" s="11" t="s">
        <v>58</v>
      </c>
      <c r="E3" s="22">
        <f>(T3*S3)+(W3*S3*$W$2)+(X3*S3*$X$2)+(Y3*S3*$Y$2)+($V$2*V3*S3)+($U$2*U3*S3)+H3</f>
        <v>1216</v>
      </c>
      <c r="F3" s="22"/>
      <c r="G3" s="23"/>
      <c r="H3" s="22"/>
      <c r="I3" s="22" t="s">
        <v>60</v>
      </c>
      <c r="J3" s="34"/>
      <c r="K3" s="22" t="s">
        <v>60</v>
      </c>
      <c r="L3" s="26"/>
      <c r="M3" s="22"/>
      <c r="N3">
        <v>32</v>
      </c>
      <c r="O3" s="11">
        <v>1.85</v>
      </c>
      <c r="P3" s="27" t="s">
        <v>59</v>
      </c>
      <c r="Q3" s="28"/>
      <c r="R3" s="28">
        <v>17.600000000000001</v>
      </c>
      <c r="S3" s="22">
        <v>38</v>
      </c>
      <c r="T3" s="30"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57</v>
      </c>
      <c r="C4" s="11" t="s">
        <v>56</v>
      </c>
      <c r="D4" s="11" t="s">
        <v>58</v>
      </c>
      <c r="E4" s="22"/>
      <c r="F4" s="22"/>
      <c r="G4" s="23"/>
      <c r="H4" s="22"/>
      <c r="I4" s="22" t="s">
        <v>60</v>
      </c>
      <c r="J4" s="34"/>
      <c r="K4" s="22" t="s">
        <v>60</v>
      </c>
      <c r="L4" s="22"/>
      <c r="M4" s="22"/>
      <c r="N4"/>
      <c r="O4" s="11">
        <v>1.9</v>
      </c>
      <c r="P4" s="27"/>
      <c r="Q4" s="28"/>
      <c r="R4" s="28">
        <v>13.46</v>
      </c>
      <c r="S4" s="22"/>
      <c r="T4" s="30"/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57</v>
      </c>
      <c r="C5" s="11" t="s">
        <v>56</v>
      </c>
      <c r="D5" s="11" t="s">
        <v>58</v>
      </c>
      <c r="E5" s="22"/>
      <c r="F5" s="22"/>
      <c r="G5" s="23"/>
      <c r="H5" s="22"/>
      <c r="I5" s="22" t="s">
        <v>60</v>
      </c>
      <c r="J5" s="34"/>
      <c r="K5" s="22" t="s">
        <v>60</v>
      </c>
      <c r="L5" s="26"/>
      <c r="M5" s="22"/>
      <c r="N5" t="s">
        <v>61</v>
      </c>
      <c r="O5" s="11">
        <v>1</v>
      </c>
      <c r="P5" s="27" t="s">
        <v>59</v>
      </c>
      <c r="Q5" s="28"/>
      <c r="R5" s="28">
        <v>45</v>
      </c>
      <c r="S5" s="22">
        <v>48</v>
      </c>
      <c r="T5" s="30">
        <v>37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57</v>
      </c>
      <c r="C6" s="11" t="s">
        <v>56</v>
      </c>
      <c r="D6" s="11" t="s">
        <v>58</v>
      </c>
      <c r="E6" s="22"/>
      <c r="F6" s="22"/>
      <c r="G6" s="23"/>
      <c r="H6" s="22"/>
      <c r="I6" s="22" t="s">
        <v>60</v>
      </c>
      <c r="J6" s="34"/>
      <c r="K6" s="22" t="s">
        <v>60</v>
      </c>
      <c r="L6" s="26"/>
      <c r="M6" s="22"/>
      <c r="N6">
        <v>24</v>
      </c>
      <c r="O6" s="11">
        <v>1.9</v>
      </c>
      <c r="P6" s="27" t="s">
        <v>59</v>
      </c>
      <c r="Q6" s="28"/>
      <c r="R6" s="28">
        <v>18.5</v>
      </c>
      <c r="S6" s="22">
        <v>44</v>
      </c>
      <c r="T6" s="30"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57</v>
      </c>
      <c r="C7" s="11" t="s">
        <v>56</v>
      </c>
      <c r="D7" s="11" t="s">
        <v>58</v>
      </c>
      <c r="E7" s="22"/>
      <c r="F7" s="22"/>
      <c r="G7" s="23"/>
      <c r="H7" s="22"/>
      <c r="I7" s="22" t="s">
        <v>60</v>
      </c>
      <c r="J7" s="34"/>
      <c r="K7" s="22" t="s">
        <v>60</v>
      </c>
      <c r="L7" s="26"/>
      <c r="M7" s="22"/>
      <c r="N7">
        <v>32</v>
      </c>
      <c r="O7" s="11">
        <v>1.9</v>
      </c>
      <c r="P7" s="27" t="s">
        <v>59</v>
      </c>
      <c r="Q7" s="28"/>
      <c r="R7" s="28">
        <v>17.57</v>
      </c>
      <c r="S7" s="22">
        <v>39.5</v>
      </c>
      <c r="T7" s="30"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57</v>
      </c>
      <c r="C8" s="11" t="s">
        <v>56</v>
      </c>
      <c r="D8" s="11" t="s">
        <v>58</v>
      </c>
      <c r="E8" s="22"/>
      <c r="F8" s="22"/>
      <c r="G8" s="23"/>
      <c r="H8" s="22"/>
      <c r="I8" s="22" t="s">
        <v>60</v>
      </c>
      <c r="J8" s="34"/>
      <c r="K8" s="22" t="s">
        <v>60</v>
      </c>
      <c r="L8" s="26"/>
      <c r="M8" s="22"/>
      <c r="N8">
        <v>40</v>
      </c>
      <c r="O8" s="11">
        <v>1.85</v>
      </c>
      <c r="P8" s="27" t="s">
        <v>59</v>
      </c>
      <c r="Q8" s="28"/>
      <c r="R8" s="28">
        <v>15.53</v>
      </c>
      <c r="S8" s="22">
        <v>30</v>
      </c>
      <c r="T8" s="30"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57</v>
      </c>
      <c r="C9" s="11" t="s">
        <v>56</v>
      </c>
      <c r="D9" s="11" t="s">
        <v>58</v>
      </c>
      <c r="E9" s="22"/>
      <c r="F9" s="22"/>
      <c r="G9" s="23"/>
      <c r="H9" s="22"/>
      <c r="I9" s="22" t="s">
        <v>60</v>
      </c>
      <c r="J9" s="34"/>
      <c r="K9" s="22" t="s">
        <v>60</v>
      </c>
      <c r="L9" s="26"/>
      <c r="M9" s="22"/>
      <c r="N9">
        <v>40</v>
      </c>
      <c r="O9" s="11">
        <v>1.85</v>
      </c>
      <c r="P9" s="27" t="s">
        <v>59</v>
      </c>
      <c r="Q9" s="28"/>
      <c r="R9" s="28">
        <v>18.63</v>
      </c>
      <c r="S9" s="22">
        <v>39.5</v>
      </c>
      <c r="T9" s="30"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57</v>
      </c>
      <c r="C10" s="11" t="s">
        <v>56</v>
      </c>
      <c r="D10" s="11" t="s">
        <v>58</v>
      </c>
      <c r="E10" s="22"/>
      <c r="F10" s="22"/>
      <c r="G10" s="23"/>
      <c r="H10" s="22"/>
      <c r="I10" s="22" t="s">
        <v>60</v>
      </c>
      <c r="J10" s="34">
        <v>60</v>
      </c>
      <c r="K10" s="22" t="s">
        <v>60</v>
      </c>
      <c r="L10" s="26"/>
      <c r="M10" s="22"/>
      <c r="N10">
        <v>32</v>
      </c>
      <c r="O10" s="11">
        <v>1.9</v>
      </c>
      <c r="P10" s="27" t="s">
        <v>59</v>
      </c>
      <c r="Q10" s="28"/>
      <c r="R10" s="28">
        <v>21.22</v>
      </c>
      <c r="S10" s="22">
        <v>51</v>
      </c>
      <c r="T10" s="30"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57</v>
      </c>
      <c r="C11" s="11" t="s">
        <v>56</v>
      </c>
      <c r="D11" s="11" t="s">
        <v>58</v>
      </c>
      <c r="E11" s="22"/>
      <c r="F11" s="22"/>
      <c r="G11" s="23"/>
      <c r="H11" s="22"/>
      <c r="I11" s="22" t="s">
        <v>60</v>
      </c>
      <c r="J11" s="34">
        <v>60</v>
      </c>
      <c r="K11" s="22" t="s">
        <v>60</v>
      </c>
      <c r="L11" s="26"/>
      <c r="M11" s="22"/>
      <c r="N11">
        <v>32</v>
      </c>
      <c r="O11" s="11">
        <v>1.9</v>
      </c>
      <c r="P11" s="27" t="s">
        <v>59</v>
      </c>
      <c r="Q11" s="28"/>
      <c r="R11" s="28">
        <v>21.22</v>
      </c>
      <c r="S11" s="22">
        <v>48</v>
      </c>
      <c r="T11" s="30">
        <v>32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57</v>
      </c>
      <c r="C12" s="11" t="s">
        <v>56</v>
      </c>
      <c r="D12" s="11" t="s">
        <v>58</v>
      </c>
      <c r="E12" s="22"/>
      <c r="F12" s="22"/>
      <c r="G12" s="23"/>
      <c r="H12" s="22"/>
      <c r="I12" s="22" t="s">
        <v>60</v>
      </c>
      <c r="J12" s="34"/>
      <c r="K12" s="22" t="s">
        <v>60</v>
      </c>
      <c r="L12" s="26"/>
      <c r="M12" s="22"/>
      <c r="N12"/>
      <c r="O12" s="11">
        <v>1.9</v>
      </c>
      <c r="P12" s="27" t="s">
        <v>59</v>
      </c>
      <c r="Q12" s="28"/>
      <c r="R12" s="28">
        <v>15.37</v>
      </c>
      <c r="S12" s="22">
        <v>43.5</v>
      </c>
      <c r="T12" s="30"/>
      <c r="U12" s="31"/>
      <c r="V12" s="31"/>
      <c r="W12" s="31"/>
      <c r="X12" s="31"/>
    </row>
    <row r="13" spans="1:26" x14ac:dyDescent="0.25">
      <c r="A13" s="21">
        <v>11</v>
      </c>
      <c r="B13" s="11" t="s">
        <v>57</v>
      </c>
      <c r="C13" s="11" t="s">
        <v>56</v>
      </c>
      <c r="D13" s="11" t="s">
        <v>58</v>
      </c>
      <c r="E13" s="22"/>
      <c r="F13" s="22"/>
      <c r="G13" s="23"/>
      <c r="H13" s="22"/>
      <c r="I13" s="22" t="s">
        <v>60</v>
      </c>
      <c r="J13" s="34"/>
      <c r="K13" s="22" t="s">
        <v>60</v>
      </c>
      <c r="L13" s="26"/>
      <c r="M13" s="22"/>
      <c r="N13"/>
      <c r="O13" s="11">
        <v>1.85</v>
      </c>
      <c r="P13" s="27" t="s">
        <v>59</v>
      </c>
      <c r="Q13" s="28"/>
      <c r="R13" s="28">
        <v>27.72</v>
      </c>
      <c r="S13" s="22">
        <v>60.5</v>
      </c>
      <c r="T13" s="30"/>
      <c r="U13" s="31"/>
      <c r="V13" s="31"/>
      <c r="W13" s="31"/>
      <c r="X13" s="31"/>
    </row>
    <row r="14" spans="1:26" x14ac:dyDescent="0.25">
      <c r="A14" s="21">
        <v>12</v>
      </c>
      <c r="B14" s="11" t="s">
        <v>57</v>
      </c>
      <c r="C14" s="11" t="s">
        <v>56</v>
      </c>
      <c r="D14" s="11" t="s">
        <v>58</v>
      </c>
      <c r="E14" s="22"/>
      <c r="F14" s="22"/>
      <c r="G14" s="23"/>
      <c r="H14" s="22"/>
      <c r="I14" s="22" t="s">
        <v>60</v>
      </c>
      <c r="J14" s="34"/>
      <c r="K14" s="22" t="s">
        <v>60</v>
      </c>
      <c r="L14" s="26"/>
      <c r="M14" s="22"/>
      <c r="N14"/>
      <c r="O14" s="11">
        <v>1.85</v>
      </c>
      <c r="P14" s="27"/>
      <c r="Q14" s="28"/>
      <c r="R14" s="28">
        <v>26.91</v>
      </c>
      <c r="S14" s="22"/>
      <c r="T14" s="30"/>
      <c r="U14" s="31"/>
      <c r="V14" s="31"/>
      <c r="W14" s="31"/>
      <c r="X14" s="31"/>
    </row>
    <row r="15" spans="1:26" x14ac:dyDescent="0.25">
      <c r="A15" s="21">
        <v>13</v>
      </c>
      <c r="B15" s="11" t="s">
        <v>57</v>
      </c>
      <c r="C15" s="11" t="s">
        <v>56</v>
      </c>
      <c r="D15" s="11" t="s">
        <v>58</v>
      </c>
      <c r="E15" s="22"/>
      <c r="F15" s="22"/>
      <c r="G15" s="23"/>
      <c r="H15" s="22"/>
      <c r="I15" s="22" t="s">
        <v>60</v>
      </c>
      <c r="J15" s="34"/>
      <c r="K15" s="22" t="s">
        <v>60</v>
      </c>
      <c r="L15" s="26"/>
      <c r="M15" s="22"/>
      <c r="N15">
        <v>38.5</v>
      </c>
      <c r="O15" s="11">
        <v>1.85</v>
      </c>
      <c r="P15" s="27" t="s">
        <v>59</v>
      </c>
      <c r="Q15" s="28"/>
      <c r="R15" s="28">
        <v>16.3</v>
      </c>
      <c r="S15" s="22">
        <v>32.5</v>
      </c>
      <c r="T15" s="30">
        <v>38.5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57</v>
      </c>
      <c r="C16" s="11" t="s">
        <v>56</v>
      </c>
      <c r="D16" s="11" t="s">
        <v>58</v>
      </c>
      <c r="E16" s="22"/>
      <c r="F16" s="22"/>
      <c r="G16" s="23"/>
      <c r="H16" s="22"/>
      <c r="I16" s="22" t="s">
        <v>60</v>
      </c>
      <c r="J16" s="34"/>
      <c r="K16" s="22" t="s">
        <v>60</v>
      </c>
      <c r="L16" s="26"/>
      <c r="M16" s="22"/>
      <c r="N16">
        <v>40</v>
      </c>
      <c r="O16" s="11">
        <v>1.85</v>
      </c>
      <c r="P16" s="27" t="s">
        <v>59</v>
      </c>
      <c r="Q16" s="28"/>
      <c r="R16" s="28">
        <v>21.74</v>
      </c>
      <c r="S16" s="22">
        <v>51</v>
      </c>
      <c r="T16" s="30"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57</v>
      </c>
      <c r="C17" s="11" t="s">
        <v>56</v>
      </c>
      <c r="D17" s="11" t="s">
        <v>58</v>
      </c>
      <c r="E17" s="22"/>
      <c r="F17" s="22"/>
      <c r="G17" s="23"/>
      <c r="H17" s="22"/>
      <c r="I17" s="22" t="s">
        <v>60</v>
      </c>
      <c r="J17" s="34"/>
      <c r="K17" s="22" t="s">
        <v>60</v>
      </c>
      <c r="L17" s="26"/>
      <c r="M17" s="22"/>
      <c r="N17" t="s">
        <v>61</v>
      </c>
      <c r="O17" s="11">
        <v>1</v>
      </c>
      <c r="P17" s="27" t="s">
        <v>59</v>
      </c>
      <c r="Q17" s="28"/>
      <c r="R17" s="28">
        <v>43</v>
      </c>
      <c r="S17" s="22">
        <v>48</v>
      </c>
      <c r="T17" s="30">
        <v>24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57</v>
      </c>
      <c r="C18" s="11" t="s">
        <v>56</v>
      </c>
      <c r="D18" s="11" t="s">
        <v>58</v>
      </c>
      <c r="E18" s="22"/>
      <c r="F18" s="22"/>
      <c r="G18" s="23"/>
      <c r="H18" s="22"/>
      <c r="I18" s="22" t="s">
        <v>60</v>
      </c>
      <c r="J18" s="34"/>
      <c r="K18" s="22" t="s">
        <v>60</v>
      </c>
      <c r="L18" s="26"/>
      <c r="M18" s="22"/>
      <c r="N18" t="s">
        <v>61</v>
      </c>
      <c r="O18" s="11">
        <v>1</v>
      </c>
      <c r="P18" s="27" t="s">
        <v>2</v>
      </c>
      <c r="Q18" s="28"/>
      <c r="R18" s="28">
        <v>50</v>
      </c>
      <c r="S18" s="22">
        <v>55</v>
      </c>
      <c r="T18" s="30">
        <v>38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57</v>
      </c>
      <c r="C19" s="11" t="s">
        <v>56</v>
      </c>
      <c r="D19" s="11" t="s">
        <v>58</v>
      </c>
      <c r="E19" s="22"/>
      <c r="F19" s="22"/>
      <c r="G19" s="23"/>
      <c r="H19" s="22"/>
      <c r="I19" s="22" t="s">
        <v>60</v>
      </c>
      <c r="J19" s="34">
        <v>60</v>
      </c>
      <c r="K19" s="22" t="s">
        <v>60</v>
      </c>
      <c r="L19" s="26"/>
      <c r="M19" s="22"/>
      <c r="N19">
        <v>40</v>
      </c>
      <c r="O19" s="11">
        <v>1.85</v>
      </c>
      <c r="P19" s="27" t="s">
        <v>59</v>
      </c>
      <c r="Q19" s="28"/>
      <c r="R19" s="28">
        <v>22</v>
      </c>
      <c r="S19" s="22">
        <v>48.5</v>
      </c>
      <c r="T19" s="30">
        <v>40</v>
      </c>
      <c r="U19" s="31"/>
      <c r="V19" s="31"/>
      <c r="W19" s="31"/>
      <c r="X19" s="31"/>
    </row>
    <row r="20" spans="1:26" x14ac:dyDescent="0.25">
      <c r="A20" s="24">
        <v>18</v>
      </c>
      <c r="B20" t="s">
        <v>57</v>
      </c>
      <c r="C20" t="s">
        <v>56</v>
      </c>
      <c r="D20" t="s">
        <v>58</v>
      </c>
      <c r="E20"/>
      <c r="F20"/>
      <c r="G20"/>
      <c r="H20"/>
      <c r="I20" t="s">
        <v>60</v>
      </c>
      <c r="J20"/>
      <c r="K20" t="s">
        <v>60</v>
      </c>
      <c r="L20"/>
      <c r="M20"/>
      <c r="N20">
        <v>40</v>
      </c>
      <c r="O20">
        <v>1.85</v>
      </c>
      <c r="P20" t="s">
        <v>59</v>
      </c>
      <c r="Q20"/>
      <c r="R20">
        <v>20.7</v>
      </c>
      <c r="S20">
        <v>42.5</v>
      </c>
      <c r="T20">
        <v>40</v>
      </c>
      <c r="U20"/>
      <c r="V20"/>
      <c r="W20"/>
      <c r="X20"/>
      <c r="Y20"/>
      <c r="Z20"/>
    </row>
    <row r="21" spans="1:26" x14ac:dyDescent="0.25">
      <c r="A21" s="24">
        <v>19</v>
      </c>
      <c r="B21" t="s">
        <v>57</v>
      </c>
      <c r="C21" t="s">
        <v>56</v>
      </c>
      <c r="D21" t="s">
        <v>58</v>
      </c>
      <c r="E21"/>
      <c r="F21"/>
      <c r="G21"/>
      <c r="H21"/>
      <c r="I21" t="s">
        <v>60</v>
      </c>
      <c r="J21"/>
      <c r="K21" t="s">
        <v>60</v>
      </c>
      <c r="L21"/>
      <c r="M21"/>
      <c r="N21" t="s">
        <v>61</v>
      </c>
      <c r="O21">
        <v>1</v>
      </c>
      <c r="P21" t="s">
        <v>59</v>
      </c>
      <c r="Q21"/>
      <c r="R21">
        <v>52.5</v>
      </c>
      <c r="S21">
        <v>56.5</v>
      </c>
      <c r="T21">
        <v>45</v>
      </c>
      <c r="U21"/>
      <c r="V21"/>
      <c r="W21"/>
      <c r="X21"/>
      <c r="Y21"/>
      <c r="Z21"/>
    </row>
    <row r="22" spans="1:26" s="49" customFormat="1" x14ac:dyDescent="0.25">
      <c r="A22" s="44">
        <v>20</v>
      </c>
      <c r="B22" s="45" t="s">
        <v>57</v>
      </c>
      <c r="C22" s="45" t="s">
        <v>56</v>
      </c>
      <c r="D22" s="45" t="s">
        <v>58</v>
      </c>
      <c r="E22" s="45"/>
      <c r="F22" s="45"/>
      <c r="G22" s="45"/>
      <c r="H22" s="45"/>
      <c r="I22" s="45" t="s">
        <v>60</v>
      </c>
      <c r="J22" s="45"/>
      <c r="K22" s="45" t="s">
        <v>60</v>
      </c>
      <c r="L22" s="46"/>
      <c r="M22" s="46"/>
      <c r="N22" s="47">
        <v>40</v>
      </c>
      <c r="O22" s="46">
        <v>1.85</v>
      </c>
      <c r="P22" s="46" t="s">
        <v>59</v>
      </c>
      <c r="Q22" s="46"/>
      <c r="R22" s="46">
        <v>14.72</v>
      </c>
      <c r="S22" s="48">
        <v>34</v>
      </c>
      <c r="T22" s="48">
        <v>40</v>
      </c>
      <c r="U22" s="48"/>
      <c r="V22" s="48"/>
      <c r="W22" s="48"/>
      <c r="X22" s="48"/>
      <c r="Y22" s="48"/>
      <c r="Z22" s="48"/>
    </row>
    <row r="23" spans="1:26" x14ac:dyDescent="0.25">
      <c r="A23" s="24">
        <v>21</v>
      </c>
      <c r="B23" t="s">
        <v>57</v>
      </c>
      <c r="C23" s="19" t="s">
        <v>56</v>
      </c>
      <c r="D23" s="19" t="s">
        <v>58</v>
      </c>
      <c r="E23" s="19"/>
      <c r="F23" s="19"/>
      <c r="G23" s="37"/>
      <c r="H23"/>
      <c r="I23" s="19" t="s">
        <v>60</v>
      </c>
      <c r="J23" s="19"/>
      <c r="K23" s="19" t="s">
        <v>60</v>
      </c>
      <c r="L23" s="19"/>
      <c r="M23"/>
      <c r="N23">
        <v>24</v>
      </c>
      <c r="O23">
        <v>1.85</v>
      </c>
      <c r="P23" t="s">
        <v>59</v>
      </c>
      <c r="Q23"/>
      <c r="R23">
        <v>34.5</v>
      </c>
      <c r="S23">
        <v>64</v>
      </c>
      <c r="T23">
        <v>24</v>
      </c>
      <c r="U23"/>
      <c r="V23"/>
      <c r="W23"/>
      <c r="X23"/>
      <c r="Y23"/>
      <c r="Z23"/>
    </row>
    <row r="24" spans="1:26" x14ac:dyDescent="0.25">
      <c r="A24" s="24">
        <v>22</v>
      </c>
      <c r="B24" t="s">
        <v>57</v>
      </c>
      <c r="C24" s="19" t="s">
        <v>56</v>
      </c>
      <c r="D24" s="19" t="s">
        <v>58</v>
      </c>
      <c r="E24" s="19"/>
      <c r="F24" s="19"/>
      <c r="G24" s="37"/>
      <c r="H24"/>
      <c r="I24" s="19" t="s">
        <v>60</v>
      </c>
      <c r="J24" s="19"/>
      <c r="K24" s="19" t="s">
        <v>60</v>
      </c>
      <c r="L24" s="19"/>
      <c r="M24" s="19"/>
      <c r="N24" s="19">
        <v>12</v>
      </c>
      <c r="O24" s="19">
        <v>1.8</v>
      </c>
      <c r="P24" s="19"/>
      <c r="Q24" s="19"/>
      <c r="R24" s="19">
        <v>25</v>
      </c>
      <c r="S24">
        <v>25</v>
      </c>
      <c r="T24">
        <v>10</v>
      </c>
      <c r="U24"/>
      <c r="V24"/>
      <c r="W24"/>
      <c r="X24"/>
      <c r="Y24"/>
      <c r="Z24"/>
    </row>
    <row r="25" spans="1:26" x14ac:dyDescent="0.25">
      <c r="A25" s="24">
        <v>23</v>
      </c>
      <c r="B25" t="s">
        <v>62</v>
      </c>
      <c r="C25" t="s">
        <v>56</v>
      </c>
      <c r="D25" t="s">
        <v>63</v>
      </c>
      <c r="E25"/>
      <c r="F25"/>
      <c r="G25"/>
      <c r="H25"/>
      <c r="I25" t="s">
        <v>60</v>
      </c>
      <c r="J25"/>
      <c r="K25" t="s">
        <v>60</v>
      </c>
      <c r="L25">
        <v>1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C29" s="19"/>
      <c r="D29" s="39"/>
      <c r="E29" s="37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C30" s="19"/>
      <c r="D30" s="39"/>
      <c r="E30" s="37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C31" s="19"/>
      <c r="D31" s="39"/>
      <c r="E31" s="37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C32" s="19"/>
      <c r="D32" s="39"/>
      <c r="E32" s="37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C33" s="19"/>
      <c r="D33" s="39"/>
      <c r="E33" s="3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C34" s="19"/>
      <c r="D34" s="39"/>
      <c r="E34" s="3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C35" s="19"/>
      <c r="D35" s="39"/>
      <c r="E35" s="3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 s="50"/>
      <c r="B36" s="51"/>
      <c r="C36" s="52"/>
      <c r="D36" s="53"/>
      <c r="E36" s="5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 s="50"/>
      <c r="B37" s="51"/>
      <c r="C37" s="52"/>
      <c r="D37" s="53"/>
      <c r="E37" s="5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 s="50"/>
      <c r="B38" s="51"/>
      <c r="C38" s="52"/>
      <c r="D38" s="53"/>
      <c r="E38" s="5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 s="50"/>
      <c r="B39" s="55"/>
      <c r="C39" s="56"/>
      <c r="D39" s="53"/>
      <c r="E39" s="5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 s="50"/>
      <c r="B40" s="57"/>
      <c r="C40" s="57"/>
      <c r="D40" s="57"/>
      <c r="E40" s="5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 s="50"/>
      <c r="B41" s="57"/>
      <c r="C41" s="57"/>
      <c r="D41" s="57"/>
      <c r="E41" s="5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 s="50"/>
      <c r="B42" s="57"/>
      <c r="C42" s="57"/>
      <c r="D42" s="57"/>
      <c r="E42" s="57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 s="50"/>
      <c r="B43" s="57"/>
      <c r="C43" s="57"/>
      <c r="D43" s="57"/>
      <c r="E43" s="5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 s="50"/>
      <c r="B44" s="57"/>
      <c r="C44" s="57"/>
      <c r="D44" s="57"/>
      <c r="E44" s="57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 s="50"/>
      <c r="B45" s="57"/>
      <c r="C45" s="57"/>
      <c r="D45" s="57"/>
      <c r="E45" s="57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 s="50"/>
      <c r="B46" s="51"/>
      <c r="C46" s="51"/>
      <c r="D46" s="58"/>
      <c r="E46" s="51"/>
    </row>
  </sheetData>
  <sheetProtection algorithmName="SHA-512" hashValue="fheELJCkLLkJmArGWizMeamMEk1KkAg8vfv5O+RovmAZk9hJd1CE8xgyAGKhPkZtW+wpCioccRbZRUMBw11f1A==" saltValue="Bg9IT9ZYFGctrlARv/zvYQ==" spinCount="100000" sheet="1" objects="1" scenarios="1"/>
  <conditionalFormatting sqref="A1:XFD100000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Versus begroting</vt:lpstr>
      <vt:lpstr>wk 1</vt:lpstr>
      <vt:lpstr>wk 1 (origineel)</vt:lpstr>
      <vt:lpstr>wk 2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2021-04-15T18:02:23Z</dcterms:modified>
</cp:coreProperties>
</file>