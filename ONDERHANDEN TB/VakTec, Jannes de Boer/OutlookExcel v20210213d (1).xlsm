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7d9bc0e849224efc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jitskeSchaafsma\AppData\Local\Microsoft\Windows\INetCache\Content.Outlook\PC713536\"/>
    </mc:Choice>
  </mc:AlternateContent>
  <xr:revisionPtr revIDLastSave="0" documentId="13_ncr:1_{C21903F2-1114-44BB-A9B8-9A434C262966}" xr6:coauthVersionLast="46" xr6:coauthVersionMax="46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AlleFolders" sheetId="3" state="hidden" r:id="rId1"/>
    <sheet name="Basisrooster" sheetId="6" r:id="rId2"/>
    <sheet name="Controle Overzicht" sheetId="7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" i="7" l="1"/>
  <c r="H1" i="7" s="1"/>
  <c r="K1" i="7" s="1"/>
  <c r="N1" i="7" s="1"/>
  <c r="Q1" i="7" s="1"/>
  <c r="T1" i="7" s="1"/>
  <c r="W1" i="7" s="1"/>
  <c r="Z1" i="7" s="1"/>
  <c r="AC1" i="7" s="1"/>
  <c r="AF1" i="7" s="1"/>
  <c r="AI1" i="7" s="1"/>
  <c r="AL1" i="7" s="1"/>
  <c r="AO1" i="7" s="1"/>
  <c r="AR1" i="7" s="1"/>
  <c r="AU1" i="7" s="1"/>
  <c r="AX1" i="7" s="1"/>
  <c r="BA1" i="7" s="1"/>
  <c r="BD1" i="7" s="1"/>
  <c r="BG1" i="7" s="1"/>
  <c r="BJ1" i="7" s="1"/>
  <c r="BM1" i="7" s="1"/>
  <c r="BP1" i="7" s="1"/>
  <c r="BS1" i="7" s="1"/>
  <c r="BV1" i="7" s="1"/>
  <c r="BY1" i="7" s="1"/>
  <c r="CB1" i="7" s="1"/>
  <c r="CE1" i="7" s="1"/>
  <c r="CH1" i="7" s="1"/>
  <c r="CK1" i="7" s="1"/>
  <c r="CN1" i="7" s="1"/>
  <c r="CQ1" i="7" s="1"/>
  <c r="CT1" i="7" s="1"/>
  <c r="CW1" i="7" s="1"/>
  <c r="CZ1" i="7" s="1"/>
  <c r="DC1" i="7" s="1"/>
  <c r="DF1" i="7" s="1"/>
  <c r="DI1" i="7" s="1"/>
  <c r="DL1" i="7" s="1"/>
  <c r="DO1" i="7" s="1"/>
  <c r="DR1" i="7" s="1"/>
  <c r="DU1" i="7" s="1"/>
  <c r="DX1" i="7" s="1"/>
  <c r="EA1" i="7" s="1"/>
  <c r="ED1" i="7" s="1"/>
  <c r="EG1" i="7" s="1"/>
  <c r="EJ1" i="7" s="1"/>
  <c r="EM1" i="7" s="1"/>
  <c r="EP1" i="7" s="1"/>
  <c r="ES1" i="7" s="1"/>
  <c r="EV1" i="7" s="1"/>
  <c r="EY1" i="7" s="1"/>
  <c r="FB1" i="7" s="1"/>
  <c r="M65" i="6" l="1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L65" i="6"/>
  <c r="D62" i="6" l="1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0" i="6"/>
  <c r="D9" i="6"/>
  <c r="D8" i="6"/>
  <c r="D7" i="6"/>
  <c r="D6" i="6"/>
  <c r="D5" i="6"/>
  <c r="D4" i="6"/>
  <c r="D3" i="6"/>
  <c r="D2" i="6"/>
</calcChain>
</file>

<file path=xl/sharedStrings.xml><?xml version="1.0" encoding="utf-8"?>
<sst xmlns="http://schemas.openxmlformats.org/spreadsheetml/2006/main" count="730" uniqueCount="257">
  <si>
    <t>Internetagenda's</t>
  </si>
  <si>
    <t>Verwijderde items</t>
  </si>
  <si>
    <t>Ineke</t>
  </si>
  <si>
    <t>Tjitske</t>
  </si>
  <si>
    <t>Nienke</t>
  </si>
  <si>
    <t>Jantien</t>
  </si>
  <si>
    <t>Margriet</t>
  </si>
  <si>
    <t>Remco</t>
  </si>
  <si>
    <t>Nathalie</t>
  </si>
  <si>
    <t>Paulien</t>
  </si>
  <si>
    <t>Sanna</t>
  </si>
  <si>
    <t>Gerben</t>
  </si>
  <si>
    <t>Suzanna</t>
  </si>
  <si>
    <t>Outlook-gegevensbestand (1)</t>
  </si>
  <si>
    <t>Postvak IN</t>
  </si>
  <si>
    <t>Postvak UIT</t>
  </si>
  <si>
    <t>Verzonden items</t>
  </si>
  <si>
    <t>Ongewenste e-mail</t>
  </si>
  <si>
    <t>Agenda</t>
  </si>
  <si>
    <t>Contactpersonen</t>
  </si>
  <si>
    <t>Logboek</t>
  </si>
  <si>
    <t>Notities</t>
  </si>
  <si>
    <t>Taken</t>
  </si>
  <si>
    <t>Concepten</t>
  </si>
  <si>
    <t>RSS-feeds</t>
  </si>
  <si>
    <t>Actie-instellingen gesprek</t>
  </si>
  <si>
    <t>Instellingen voor snelle stappen</t>
  </si>
  <si>
    <t>Danjella</t>
  </si>
  <si>
    <t>Cliënten</t>
  </si>
  <si>
    <t>Startdatum indicatie</t>
  </si>
  <si>
    <t>Herindicatie aanvragen</t>
  </si>
  <si>
    <t xml:space="preserve">Einde indicatie </t>
  </si>
  <si>
    <t>Uren p.w</t>
  </si>
  <si>
    <t>Financieringsvorm</t>
  </si>
  <si>
    <t>Regie voerder</t>
  </si>
  <si>
    <t>Koppel</t>
  </si>
  <si>
    <t xml:space="preserve">Consulent </t>
  </si>
  <si>
    <t>uitzondering week</t>
  </si>
  <si>
    <t>Simon</t>
  </si>
  <si>
    <t>Basis WMO</t>
  </si>
  <si>
    <t>Jeltsje</t>
  </si>
  <si>
    <t>Jolanda Rozendaal</t>
  </si>
  <si>
    <t>Kian</t>
  </si>
  <si>
    <t xml:space="preserve">Jeugd </t>
  </si>
  <si>
    <t>Marrit</t>
  </si>
  <si>
    <t>Tirzah</t>
  </si>
  <si>
    <t xml:space="preserve">Marrit </t>
  </si>
  <si>
    <t>Rins Herder</t>
  </si>
  <si>
    <t>Roan</t>
  </si>
  <si>
    <t xml:space="preserve">Els Bos </t>
  </si>
  <si>
    <t>Iain</t>
  </si>
  <si>
    <t xml:space="preserve">Sanna </t>
  </si>
  <si>
    <t>Jeferson</t>
  </si>
  <si>
    <t>Natasja Zwik</t>
  </si>
  <si>
    <t xml:space="preserve">Jarno </t>
  </si>
  <si>
    <t>Chinouk Dobber/Jaklien de Jong</t>
  </si>
  <si>
    <t>Sebastiaan</t>
  </si>
  <si>
    <t xml:space="preserve">Intensief WMO </t>
  </si>
  <si>
    <t>Janny Donkers</t>
  </si>
  <si>
    <t>Petra</t>
  </si>
  <si>
    <t>Carin Enderlé</t>
  </si>
  <si>
    <t xml:space="preserve">Chantal Osinga </t>
  </si>
  <si>
    <t>Damian</t>
  </si>
  <si>
    <t>Lise Marin</t>
  </si>
  <si>
    <t>Begeleiding plus</t>
  </si>
  <si>
    <t>Afke Krikke</t>
  </si>
  <si>
    <t>Ina Brouwer</t>
  </si>
  <si>
    <t>Sigrid</t>
  </si>
  <si>
    <t xml:space="preserve"> 01-05-2020</t>
  </si>
  <si>
    <t>Remon</t>
  </si>
  <si>
    <t xml:space="preserve">Ineke </t>
  </si>
  <si>
    <t>Anna Marleen</t>
  </si>
  <si>
    <t>WMO</t>
  </si>
  <si>
    <t>Marleen</t>
  </si>
  <si>
    <t>Intensief WMO</t>
  </si>
  <si>
    <t xml:space="preserve">Jantien  </t>
  </si>
  <si>
    <t>Jurjen</t>
  </si>
  <si>
    <t xml:space="preserve">Basis WMO </t>
  </si>
  <si>
    <t xml:space="preserve">Nienke </t>
  </si>
  <si>
    <t>Mathijs</t>
  </si>
  <si>
    <t xml:space="preserve">Laura M </t>
  </si>
  <si>
    <t>Sanne</t>
  </si>
  <si>
    <t>Erik</t>
  </si>
  <si>
    <t>Karel</t>
  </si>
  <si>
    <t>Gonda van der Ploeg</t>
  </si>
  <si>
    <t xml:space="preserve">Jan Harry </t>
  </si>
  <si>
    <t xml:space="preserve">Gerben </t>
  </si>
  <si>
    <t xml:space="preserve">Ina Brouwer </t>
  </si>
  <si>
    <t xml:space="preserve">Hendrika </t>
  </si>
  <si>
    <t>n.v.t.</t>
  </si>
  <si>
    <t>Onderaannemerschap</t>
  </si>
  <si>
    <t>Marloes</t>
  </si>
  <si>
    <t>Roelof</t>
  </si>
  <si>
    <t>Danique</t>
  </si>
  <si>
    <t xml:space="preserve">Janny Donker </t>
  </si>
  <si>
    <t>Annelies</t>
  </si>
  <si>
    <t>Marc</t>
  </si>
  <si>
    <t>Trees van Sloten</t>
  </si>
  <si>
    <t>Danja</t>
  </si>
  <si>
    <t>Tjitske/Ineke</t>
  </si>
  <si>
    <t>Diana</t>
  </si>
  <si>
    <t xml:space="preserve">Jeltsje </t>
  </si>
  <si>
    <t xml:space="preserve">Milou </t>
  </si>
  <si>
    <t>Alieke Roest</t>
  </si>
  <si>
    <t>Laura A</t>
  </si>
  <si>
    <t>Marjolein</t>
  </si>
  <si>
    <t>Natacha</t>
  </si>
  <si>
    <t xml:space="preserve">Nathalie </t>
  </si>
  <si>
    <t>Marsha</t>
  </si>
  <si>
    <t>Nanda</t>
  </si>
  <si>
    <t>Steven</t>
  </si>
  <si>
    <t>Delana</t>
  </si>
  <si>
    <t>Rienke Vegter</t>
  </si>
  <si>
    <t>Irma</t>
  </si>
  <si>
    <t>Lotte</t>
  </si>
  <si>
    <t>6,9,12….</t>
  </si>
  <si>
    <t>Kirsten</t>
  </si>
  <si>
    <t>5,8….</t>
  </si>
  <si>
    <t>Magriet</t>
  </si>
  <si>
    <t>Rick</t>
  </si>
  <si>
    <t>Eva</t>
  </si>
  <si>
    <t>Teun</t>
  </si>
  <si>
    <t>Klaas</t>
  </si>
  <si>
    <t>Tetsje</t>
  </si>
  <si>
    <t>Melanie</t>
  </si>
  <si>
    <t>Eline</t>
  </si>
  <si>
    <t>Silla Jansen</t>
  </si>
  <si>
    <t>Jelmer</t>
  </si>
  <si>
    <t xml:space="preserve">Tjitske </t>
  </si>
  <si>
    <t>Aimee</t>
  </si>
  <si>
    <t>Femke</t>
  </si>
  <si>
    <t>Hillie Draijer</t>
  </si>
  <si>
    <t>Melissa</t>
  </si>
  <si>
    <t>Shirley</t>
  </si>
  <si>
    <t>Sjoukje</t>
  </si>
  <si>
    <t>Liza</t>
  </si>
  <si>
    <t>Ina Moltmaker</t>
  </si>
  <si>
    <t>Tijmen</t>
  </si>
  <si>
    <t>Simone van der Sijden</t>
  </si>
  <si>
    <t>Gerda</t>
  </si>
  <si>
    <t>01-09-20202</t>
  </si>
  <si>
    <t>Thijs</t>
  </si>
  <si>
    <t>Anja Klatter</t>
  </si>
  <si>
    <t>Afspraak ID</t>
  </si>
  <si>
    <t>Sync Status</t>
  </si>
  <si>
    <t>BR20210210192129003</t>
  </si>
  <si>
    <t>BR20210210192210004</t>
  </si>
  <si>
    <t>BR20210210192219005</t>
  </si>
  <si>
    <t>BR20210210192227006</t>
  </si>
  <si>
    <t>BR20210210192303007</t>
  </si>
  <si>
    <t>BR20210210192510008</t>
  </si>
  <si>
    <t>BR20210210192550009</t>
  </si>
  <si>
    <t>BR20210210192646010</t>
  </si>
  <si>
    <t>BR20210210193001012</t>
  </si>
  <si>
    <t>BR20210210193025013</t>
  </si>
  <si>
    <t>BR20210210193028014</t>
  </si>
  <si>
    <t>BR20210210193031015</t>
  </si>
  <si>
    <t>BR20210210193035016</t>
  </si>
  <si>
    <t>BR20210210193039017</t>
  </si>
  <si>
    <t>BR20210210205339002</t>
  </si>
  <si>
    <t>BR20210210214821018</t>
  </si>
  <si>
    <t>BR20210210214833019</t>
  </si>
  <si>
    <t>BR20210210214837020</t>
  </si>
  <si>
    <t>BR20210210214842021</t>
  </si>
  <si>
    <t>BR20210210214846022</t>
  </si>
  <si>
    <t>BR20210210214850023</t>
  </si>
  <si>
    <t>BR20210210214856024</t>
  </si>
  <si>
    <t>BR20210210214901025</t>
  </si>
  <si>
    <t>BR20210210214904026</t>
  </si>
  <si>
    <t>BR20210210214908027</t>
  </si>
  <si>
    <t>BR20210210214913028</t>
  </si>
  <si>
    <t>BR20210210214916029</t>
  </si>
  <si>
    <t>BR20210210214919030</t>
  </si>
  <si>
    <t>BR20210210214943032</t>
  </si>
  <si>
    <t>BR20210210214947033</t>
  </si>
  <si>
    <t>BR20210210214952034</t>
  </si>
  <si>
    <t>BR20210210214955035</t>
  </si>
  <si>
    <t>BR20210210214958036</t>
  </si>
  <si>
    <t>BR20210210215002037</t>
  </si>
  <si>
    <t>BR20210210215006038</t>
  </si>
  <si>
    <t>BR20210210215012039</t>
  </si>
  <si>
    <t>BR20210210215017040</t>
  </si>
  <si>
    <t>BR20210210215021041</t>
  </si>
  <si>
    <t>BR20210210215031043</t>
  </si>
  <si>
    <t>BR20210210215035044</t>
  </si>
  <si>
    <t>BR20210210215040045</t>
  </si>
  <si>
    <t>BR20210210215044046</t>
  </si>
  <si>
    <t>BR20210210215047047</t>
  </si>
  <si>
    <t>BR20210210215050048</t>
  </si>
  <si>
    <t>BR20210210215053049</t>
  </si>
  <si>
    <t>BR20210210215056050</t>
  </si>
  <si>
    <t>BR20210210215100051</t>
  </si>
  <si>
    <t>BR20210210215103052</t>
  </si>
  <si>
    <t>BR20210210215106053</t>
  </si>
  <si>
    <t>BR20210210215111054</t>
  </si>
  <si>
    <t>BR20210210215115055</t>
  </si>
  <si>
    <t>BR20210210215118056</t>
  </si>
  <si>
    <t>BR20210210215122057</t>
  </si>
  <si>
    <t>BR20210210215126058</t>
  </si>
  <si>
    <t>BR20210210215129059</t>
  </si>
  <si>
    <t>BR20210210215133060</t>
  </si>
  <si>
    <t>BR20210210215136061</t>
  </si>
  <si>
    <t>BR20210210215142062</t>
  </si>
  <si>
    <t>BR20210210215147063</t>
  </si>
  <si>
    <t>BR20210210215152064</t>
  </si>
  <si>
    <t>BR20210210224923042</t>
  </si>
  <si>
    <t>Regie voerder ma even start</t>
  </si>
  <si>
    <t>Regie voerder ma even eind</t>
  </si>
  <si>
    <t>Regie voerder ma oneven start</t>
  </si>
  <si>
    <t>Regie voerder ma oneven eind</t>
  </si>
  <si>
    <t>Regie voerder di even start</t>
  </si>
  <si>
    <t>Regie voerder di even eind</t>
  </si>
  <si>
    <t>Regie voerder di oneven start</t>
  </si>
  <si>
    <t>Regie voerder di oneven eind</t>
  </si>
  <si>
    <t>Regie voerder wo even start</t>
  </si>
  <si>
    <t>Regie voerder wo even eind</t>
  </si>
  <si>
    <t>Regie voerder wo oneven start</t>
  </si>
  <si>
    <t>Regie voerder wo oneven eind</t>
  </si>
  <si>
    <t>Regie voerder do even start</t>
  </si>
  <si>
    <t>Regie voerder do even eind</t>
  </si>
  <si>
    <t>Regie voerder do oneven start</t>
  </si>
  <si>
    <t>Regie voerder do oneven eind</t>
  </si>
  <si>
    <t>Regie voerder vr even start</t>
  </si>
  <si>
    <t>Regie voerder vr even eind</t>
  </si>
  <si>
    <t>Regie voerder vr oneven start</t>
  </si>
  <si>
    <t>Regie voerder vr oneven eind</t>
  </si>
  <si>
    <t>Koppel ma even start</t>
  </si>
  <si>
    <t>Koppel ma even eind</t>
  </si>
  <si>
    <t>Koppel ma oneven start</t>
  </si>
  <si>
    <t>Koppel ma oneven eind</t>
  </si>
  <si>
    <t>Koppel di even start</t>
  </si>
  <si>
    <t>Koppel di even eind</t>
  </si>
  <si>
    <t>Koppel di oneven start</t>
  </si>
  <si>
    <t>Koppel di oneven eind</t>
  </si>
  <si>
    <t>Koppel wo even start</t>
  </si>
  <si>
    <t>Koppel wo even eind</t>
  </si>
  <si>
    <t>Koppel wo oneven start</t>
  </si>
  <si>
    <t>Koppel wo oneven eind</t>
  </si>
  <si>
    <t>Koppel do even start</t>
  </si>
  <si>
    <t>Koppel do even eind</t>
  </si>
  <si>
    <t>Koppel do oneven start</t>
  </si>
  <si>
    <t>Koppel do oneven eind</t>
  </si>
  <si>
    <t>Koppel vr even start</t>
  </si>
  <si>
    <t>Koppel vr even eind</t>
  </si>
  <si>
    <t>Koppel vr oneven start</t>
  </si>
  <si>
    <t>Koppel vr oneven eind</t>
  </si>
  <si>
    <t>BR20210211131950031</t>
  </si>
  <si>
    <t>BR20210212095558011</t>
  </si>
  <si>
    <t>Week</t>
  </si>
  <si>
    <t>Uren per week</t>
  </si>
  <si>
    <t>Te Boeken Outlook</t>
  </si>
  <si>
    <t>Nu in Outlook</t>
  </si>
  <si>
    <t>OW</t>
  </si>
  <si>
    <t xml:space="preserve">Paulien </t>
  </si>
  <si>
    <t>Simone van der Snijden</t>
  </si>
  <si>
    <t>Gerben van der Weij</t>
  </si>
  <si>
    <t>Jantien Reitsma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</si>
</sst>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20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14" fontId="0" fillId="2" borderId="0" xfId="0" applyNumberFormat="1" applyFill="1" applyAlignment="1">
      <alignment horizontal="left"/>
    </xf>
    <xf numFmtId="0" fontId="0" fillId="4" borderId="0" xfId="0" applyFill="1" applyAlignment="1">
      <alignment horizontal="left"/>
    </xf>
    <xf numFmtId="0" fontId="0" fillId="3" borderId="0" xfId="0" applyFill="1" applyAlignment="1">
      <alignment horizontal="left"/>
    </xf>
    <xf numFmtId="14" fontId="0" fillId="3" borderId="0" xfId="0" applyNumberFormat="1" applyFill="1" applyAlignment="1">
      <alignment horizontal="left"/>
    </xf>
    <xf numFmtId="14" fontId="0" fillId="2" borderId="0" xfId="0" applyNumberFormat="1" applyFill="1" applyAlignment="1">
      <alignment horizontal="lef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20" fontId="0" fillId="2" borderId="0" xfId="0" applyNumberFormat="1" applyFill="1" applyAlignment="1">
      <alignment horizontal="left"/>
    </xf>
    <xf numFmtId="20" fontId="0" fillId="3" borderId="0" xfId="0" applyNumberFormat="1" applyFill="1" applyAlignment="1">
      <alignment horizontal="left"/>
    </xf>
    <xf numFmtId="20" fontId="0" fillId="0" borderId="0" xfId="0" applyNumberFormat="1" applyAlignment="1">
      <alignment horizontal="right"/>
    </xf>
    <xf numFmtId="20" fontId="0" fillId="0" borderId="0" xfId="0" applyNumberFormat="1" applyAlignment="1">
      <alignment horizontal="center" vertical="center"/>
    </xf>
    <xf numFmtId="0" fontId="0" fillId="0" borderId="0" xfId="0" applyAlignment="1"/>
    <xf numFmtId="0" fontId="0" fillId="0" borderId="1" xfId="0" applyBorder="1"/>
    <xf numFmtId="0" fontId="0" fillId="0" borderId="0" xfId="0" applyBorder="1"/>
    <xf numFmtId="0" fontId="0" fillId="0" borderId="3" xfId="0" applyFont="1" applyBorder="1" applyAlignment="1">
      <alignment horizontal="center" textRotation="180"/>
    </xf>
    <xf numFmtId="0" fontId="0" fillId="0" borderId="4" xfId="0" applyBorder="1"/>
    <xf numFmtId="0" fontId="0" fillId="0" borderId="5" xfId="0" applyBorder="1" applyAlignment="1">
      <alignment horizontal="center" textRotation="180"/>
    </xf>
    <xf numFmtId="0" fontId="0" fillId="0" borderId="6" xfId="0" applyBorder="1"/>
    <xf numFmtId="0" fontId="0" fillId="0" borderId="2" xfId="0" applyBorder="1" applyAlignment="1">
      <alignment horizontal="center" textRotation="180"/>
    </xf>
  </cellXfs>
  <cellStyles count="1">
    <cellStyle name="Standaard" xfId="0" builtinId="0"/>
  </cellStyles>
  <dxfs count="54"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numFmt numFmtId="25" formatCode="hh:mm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numFmt numFmtId="25" formatCode="hh:mm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numFmt numFmtId="25" formatCode="hh:mm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numFmt numFmtId="25" formatCode="hh:mm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numFmt numFmtId="25" formatCode="hh:mm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numFmt numFmtId="25" formatCode="hh:mm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numFmt numFmtId="25" formatCode="hh:mm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numFmt numFmtId="25" formatCode="hh:mm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numFmt numFmtId="25" formatCode="hh:mm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numFmt numFmtId="25" formatCode="hh:mm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numFmt numFmtId="25" formatCode="hh:mm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numFmt numFmtId="25" formatCode="hh:mm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numFmt numFmtId="25" formatCode="hh:mm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numFmt numFmtId="25" formatCode="hh:mm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numFmt numFmtId="25" formatCode="hh:mm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numFmt numFmtId="25" formatCode="hh:mm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numFmt numFmtId="25" formatCode="hh:mm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numFmt numFmtId="25" formatCode="hh:mm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numFmt numFmtId="25" formatCode="hh:mm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numFmt numFmtId="25" formatCode="hh:mm"/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3D349C-A5ED-4998-ABBF-31FBAD79ECAA}" name="tbBasisRooster" displayName="tbBasisRooster" ref="A1:AZ62" totalsRowShown="0" headerRowDxfId="53" dataDxfId="52">
  <autoFilter ref="A1:AZ62" xr:uid="{268D67A0-5375-4336-8F1D-6B21505D68EA}"/>
  <tableColumns count="52">
    <tableColumn id="6" xr3:uid="{B045363E-C5D5-430E-B921-6B77790BDB92}" name="Afspraak ID" dataDxfId="51"/>
    <tableColumn id="16" xr3:uid="{B5DD04F1-D22E-441F-B5C1-8776C07B9D34}" name="Cliënten" dataDxfId="50"/>
    <tableColumn id="15" xr3:uid="{07B38F55-8091-4CFB-9FF1-B2A9D0AAF1C1}" name="Startdatum indicatie" dataDxfId="49"/>
    <tableColumn id="14" xr3:uid="{1C6F0844-3C22-43A7-8230-93F21073B04F}" name="Herindicatie aanvragen" dataDxfId="48"/>
    <tableColumn id="13" xr3:uid="{45FF3B15-6BA0-482E-8156-A5E830F7B807}" name="Einde indicatie " dataDxfId="47"/>
    <tableColumn id="12" xr3:uid="{7D5051DA-79F8-4E64-A0ED-9216A0096DA6}" name="Uren p.w" dataDxfId="46"/>
    <tableColumn id="11" xr3:uid="{962907A4-2E15-47C7-B5A6-4C24D2C55A1A}" name="Financieringsvorm" dataDxfId="45"/>
    <tableColumn id="10" xr3:uid="{282D6D5D-792B-4B9C-9FEB-121849261A9E}" name="Regie voerder" dataDxfId="44"/>
    <tableColumn id="9" xr3:uid="{C53B88D1-2D32-4D13-8869-76BD6320084A}" name="Koppel" dataDxfId="43"/>
    <tableColumn id="8" xr3:uid="{27225010-B8A9-4B6F-A371-71543DA30B56}" name="Consulent " dataDxfId="42"/>
    <tableColumn id="22" xr3:uid="{AA9A1674-FBA1-42C0-8248-49DFC4EEA09D}" name="uitzondering week" dataDxfId="41"/>
    <tableColumn id="33" xr3:uid="{374D09C1-4329-4E99-B1B0-1BC3EB8F738B}" name="Regie voerder ma even start" dataDxfId="40"/>
    <tableColumn id="34" xr3:uid="{1ED39DC5-56CA-43C9-842F-E62E5A134D37}" name="Regie voerder ma even eind" dataDxfId="39"/>
    <tableColumn id="35" xr3:uid="{EC8CCCAB-7349-49A2-9C32-8C8251C66851}" name="Regie voerder ma oneven start" dataDxfId="38"/>
    <tableColumn id="36" xr3:uid="{6570521C-5182-434D-928C-9243408932B4}" name="Regie voerder ma oneven eind" dataDxfId="37"/>
    <tableColumn id="37" xr3:uid="{F7CAADAD-9E7F-44E9-96FE-093412B577E9}" name="Regie voerder di even start" dataDxfId="36"/>
    <tableColumn id="38" xr3:uid="{ADA5B60F-332B-4E82-81E3-6C3AE9F89358}" name="Regie voerder di even eind" dataDxfId="35"/>
    <tableColumn id="39" xr3:uid="{72B62055-40DD-48B5-AF5B-31FAD1CF53D1}" name="Regie voerder di oneven start" dataDxfId="34"/>
    <tableColumn id="40" xr3:uid="{38262D2A-E023-4324-88DF-1D6651BBEEBD}" name="Regie voerder di oneven eind" dataDxfId="33"/>
    <tableColumn id="41" xr3:uid="{FA38A134-81D8-49C3-8B5A-4657B52000FF}" name="Regie voerder wo even start" dataDxfId="32"/>
    <tableColumn id="42" xr3:uid="{8F701455-03B6-4FE6-8C8A-6988952BC1ED}" name="Regie voerder wo even eind" dataDxfId="31"/>
    <tableColumn id="43" xr3:uid="{180BAFE8-3A22-47EF-AD08-1F5085EF9869}" name="Regie voerder wo oneven start" dataDxfId="30"/>
    <tableColumn id="44" xr3:uid="{00070C15-9C59-45EA-BD59-B3621617B8D5}" name="Regie voerder wo oneven eind" dataDxfId="29"/>
    <tableColumn id="45" xr3:uid="{E311F883-4C75-42B3-9435-8DE0552379BE}" name="Regie voerder do even start" dataDxfId="28"/>
    <tableColumn id="46" xr3:uid="{45B50625-43A7-4A0D-AD51-A6F041757B65}" name="Regie voerder do even eind" dataDxfId="27"/>
    <tableColumn id="47" xr3:uid="{FA99DCD7-A790-4895-ACCF-85E396296834}" name="Regie voerder do oneven start" dataDxfId="26"/>
    <tableColumn id="48" xr3:uid="{033B887D-795B-422C-9520-7E78614AAFE1}" name="Regie voerder do oneven eind" dataDxfId="25"/>
    <tableColumn id="49" xr3:uid="{97C42AD0-09CB-4751-BA51-874C4B1CFF97}" name="Regie voerder vr even start" dataDxfId="24"/>
    <tableColumn id="50" xr3:uid="{7E45E1C3-466B-4481-9CCD-D7E379D83B01}" name="Regie voerder vr even eind" dataDxfId="23"/>
    <tableColumn id="51" xr3:uid="{004DE063-3676-41E3-80D2-D6EE181568AC}" name="Regie voerder vr oneven start" dataDxfId="22"/>
    <tableColumn id="52" xr3:uid="{4B4251AA-9A63-493F-83E0-BFBA193C36C2}" name="Regie voerder vr oneven eind" dataDxfId="21"/>
    <tableColumn id="23" xr3:uid="{97DC0CC3-C3D0-436F-99D3-3183547CF9C0}" name="Koppel ma even start" dataDxfId="20"/>
    <tableColumn id="1" xr3:uid="{ECD713E2-83F7-47E7-8633-BAD8D8158239}" name="Koppel ma even eind" dataDxfId="19"/>
    <tableColumn id="24" xr3:uid="{D333D9C8-9727-46DC-901D-D719B7B3D9C3}" name="Koppel ma oneven start" dataDxfId="18"/>
    <tableColumn id="7" xr3:uid="{C29E0758-2596-4492-A0F6-0B5632F09B32}" name="Koppel ma oneven eind" dataDxfId="17"/>
    <tableColumn id="25" xr3:uid="{6730F307-B49A-4BD5-9445-7040AD0C3F63}" name="Koppel di even start" dataDxfId="16"/>
    <tableColumn id="2" xr3:uid="{091D5CE2-3342-4DE8-8DC7-C257DDFD2C5C}" name="Koppel di even eind" dataDxfId="15"/>
    <tableColumn id="26" xr3:uid="{6693E7BD-3D1E-4E86-966F-44C20EC7BDEF}" name="Koppel di oneven start" dataDxfId="14"/>
    <tableColumn id="17" xr3:uid="{C9253835-1420-4D22-A429-4DCB3404455A}" name="Koppel di oneven eind" dataDxfId="13"/>
    <tableColumn id="27" xr3:uid="{199FF6C9-A816-4D5C-B5C8-C8DDCE6966BD}" name="Koppel wo even start" dataDxfId="12"/>
    <tableColumn id="3" xr3:uid="{978FBCB2-6E7C-4533-9718-39AFDAF67155}" name="Koppel wo even eind" dataDxfId="11"/>
    <tableColumn id="28" xr3:uid="{98B90BAA-D833-4B04-B80C-AC86E232BF57}" name="Koppel wo oneven start" dataDxfId="10"/>
    <tableColumn id="18" xr3:uid="{40B0736C-79AF-4BD6-8E54-34D76E880891}" name="Koppel wo oneven eind" dataDxfId="9"/>
    <tableColumn id="29" xr3:uid="{BCE9D707-5781-430F-9D0D-B365C0C7CC10}" name="Koppel do even start" dataDxfId="8"/>
    <tableColumn id="4" xr3:uid="{883E8FCB-753E-4017-8364-FA1519ABDF1A}" name="Koppel do even eind" dataDxfId="7"/>
    <tableColumn id="30" xr3:uid="{8D2F4F0E-DE3E-4547-869C-ED8E376DCCB0}" name="Koppel do oneven start" dataDxfId="6"/>
    <tableColumn id="5" xr3:uid="{ABD0E2D5-1EE8-4CA2-9785-F81A87B06C02}" name="Koppel do oneven eind" dataDxfId="5"/>
    <tableColumn id="31" xr3:uid="{E68AE6EA-3465-40D6-B617-9652475FD33F}" name="Koppel vr even start" dataDxfId="4"/>
    <tableColumn id="20" xr3:uid="{1485360E-BE95-4604-B2CA-727DD166349B}" name="Koppel vr even eind" dataDxfId="3"/>
    <tableColumn id="32" xr3:uid="{5DDE3B73-76FA-476C-95D7-D65AB364EFBA}" name="Koppel vr oneven start" dataDxfId="2"/>
    <tableColumn id="21" xr3:uid="{55406EF4-AC88-4146-972B-7E955DE7E89B}" name="Koppel vr oneven eind" dataDxfId="1"/>
    <tableColumn id="19" xr3:uid="{9F9A0C0B-0F33-4B25-B52B-ED2741721A4C}" name="Sync 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47F01-1863-4D1F-AB2B-3F85B80341AD}">
  <sheetPr codeName="wbAlleFolders"/>
  <dimension ref="A2:B27"/>
  <sheetViews>
    <sheetView workbookViewId="0">
      <selection activeCell="D8" sqref="D8"/>
    </sheetView>
  </sheetViews>
  <sheetFormatPr defaultRowHeight="14.4" x14ac:dyDescent="0.3"/>
  <cols>
    <col min="1" max="1" width="36.5546875" customWidth="1"/>
  </cols>
  <sheetData>
    <row r="2" spans="1:2" x14ac:dyDescent="0.3">
      <c r="A2" t="s">
        <v>0</v>
      </c>
      <c r="B2" t="s">
        <v>1</v>
      </c>
    </row>
    <row r="3" spans="1:2" x14ac:dyDescent="0.3">
      <c r="B3" t="s">
        <v>2</v>
      </c>
    </row>
    <row r="4" spans="1:2" x14ac:dyDescent="0.3">
      <c r="B4" t="s">
        <v>3</v>
      </c>
    </row>
    <row r="5" spans="1:2" x14ac:dyDescent="0.3">
      <c r="B5" t="s">
        <v>4</v>
      </c>
    </row>
    <row r="6" spans="1:2" x14ac:dyDescent="0.3">
      <c r="B6" t="s">
        <v>5</v>
      </c>
    </row>
    <row r="7" spans="1:2" x14ac:dyDescent="0.3">
      <c r="B7" t="s">
        <v>6</v>
      </c>
    </row>
    <row r="8" spans="1:2" x14ac:dyDescent="0.3">
      <c r="B8" t="s">
        <v>7</v>
      </c>
    </row>
    <row r="9" spans="1:2" x14ac:dyDescent="0.3">
      <c r="B9" t="s">
        <v>8</v>
      </c>
    </row>
    <row r="10" spans="1:2" x14ac:dyDescent="0.3">
      <c r="B10" t="s">
        <v>9</v>
      </c>
    </row>
    <row r="11" spans="1:2" x14ac:dyDescent="0.3">
      <c r="B11" t="s">
        <v>10</v>
      </c>
    </row>
    <row r="12" spans="1:2" x14ac:dyDescent="0.3">
      <c r="B12" t="s">
        <v>11</v>
      </c>
    </row>
    <row r="13" spans="1:2" x14ac:dyDescent="0.3">
      <c r="B13" t="s">
        <v>12</v>
      </c>
    </row>
    <row r="14" spans="1:2" x14ac:dyDescent="0.3">
      <c r="A14" t="s">
        <v>13</v>
      </c>
      <c r="B14" t="s">
        <v>1</v>
      </c>
    </row>
    <row r="15" spans="1:2" x14ac:dyDescent="0.3">
      <c r="B15" t="s">
        <v>14</v>
      </c>
    </row>
    <row r="16" spans="1:2" x14ac:dyDescent="0.3">
      <c r="B16" t="s">
        <v>15</v>
      </c>
    </row>
    <row r="17" spans="2:2" x14ac:dyDescent="0.3">
      <c r="B17" t="s">
        <v>16</v>
      </c>
    </row>
    <row r="18" spans="2:2" x14ac:dyDescent="0.3">
      <c r="B18" t="s">
        <v>17</v>
      </c>
    </row>
    <row r="19" spans="2:2" x14ac:dyDescent="0.3">
      <c r="B19" t="s">
        <v>18</v>
      </c>
    </row>
    <row r="20" spans="2:2" x14ac:dyDescent="0.3">
      <c r="B20" t="s">
        <v>19</v>
      </c>
    </row>
    <row r="21" spans="2:2" x14ac:dyDescent="0.3">
      <c r="B21" t="s">
        <v>20</v>
      </c>
    </row>
    <row r="22" spans="2:2" x14ac:dyDescent="0.3">
      <c r="B22" t="s">
        <v>21</v>
      </c>
    </row>
    <row r="23" spans="2:2" x14ac:dyDescent="0.3">
      <c r="B23" t="s">
        <v>22</v>
      </c>
    </row>
    <row r="24" spans="2:2" x14ac:dyDescent="0.3">
      <c r="B24" t="s">
        <v>23</v>
      </c>
    </row>
    <row r="25" spans="2:2" x14ac:dyDescent="0.3">
      <c r="B25" t="s">
        <v>24</v>
      </c>
    </row>
    <row r="26" spans="2:2" x14ac:dyDescent="0.3">
      <c r="B26" t="s">
        <v>25</v>
      </c>
    </row>
    <row r="27" spans="2:2" x14ac:dyDescent="0.3">
      <c r="B27" t="s">
        <v>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6929B-5279-45C3-A20D-5A9D61B272D9}">
  <sheetPr codeName="wbBasisrooster"/>
  <dimension ref="A1:AZ65"/>
  <sheetViews>
    <sheetView tabSelected="1" workbookViewId="0">
      <pane ySplit="1" topLeftCell="A32" activePane="bottomLeft" state="frozen"/>
      <selection pane="bottomLeft" activeCell="A46" sqref="A46"/>
    </sheetView>
  </sheetViews>
  <sheetFormatPr defaultRowHeight="12.75" customHeight="1" x14ac:dyDescent="0.3"/>
  <cols>
    <col min="1" max="1" width="20" customWidth="1"/>
    <col min="2" max="2" width="18.33203125" customWidth="1"/>
    <col min="3" max="3" width="20.5546875" customWidth="1"/>
    <col min="4" max="4" width="13.6640625" customWidth="1"/>
    <col min="5" max="5" width="17" bestFit="1" customWidth="1"/>
    <col min="6" max="6" width="16.44140625" customWidth="1"/>
    <col min="7" max="7" width="12.5546875" bestFit="1" customWidth="1"/>
    <col min="8" max="8" width="8" bestFit="1" customWidth="1"/>
    <col min="9" max="9" width="17.88671875" bestFit="1" customWidth="1"/>
    <col min="10" max="10" width="20.109375" bestFit="1" customWidth="1"/>
    <col min="11" max="11" width="18" customWidth="1"/>
    <col min="12" max="21" width="8.6640625" customWidth="1"/>
    <col min="22" max="22" width="8.6640625" style="10" customWidth="1"/>
    <col min="23" max="27" width="8.6640625" customWidth="1"/>
  </cols>
  <sheetData>
    <row r="1" spans="1:52" s="15" customFormat="1" ht="81" customHeight="1" x14ac:dyDescent="0.3">
      <c r="A1" s="13" t="s">
        <v>143</v>
      </c>
      <c r="B1" s="13" t="s">
        <v>28</v>
      </c>
      <c r="C1" s="13" t="s">
        <v>29</v>
      </c>
      <c r="D1" s="13" t="s">
        <v>30</v>
      </c>
      <c r="E1" s="13" t="s">
        <v>31</v>
      </c>
      <c r="F1" s="13" t="s">
        <v>32</v>
      </c>
      <c r="G1" s="13" t="s">
        <v>33</v>
      </c>
      <c r="H1" s="13" t="s">
        <v>34</v>
      </c>
      <c r="I1" s="13" t="s">
        <v>35</v>
      </c>
      <c r="J1" s="13" t="s">
        <v>36</v>
      </c>
      <c r="K1" s="13" t="s">
        <v>37</v>
      </c>
      <c r="L1" s="13" t="s">
        <v>206</v>
      </c>
      <c r="M1" s="13" t="s">
        <v>207</v>
      </c>
      <c r="N1" s="13" t="s">
        <v>208</v>
      </c>
      <c r="O1" s="13" t="s">
        <v>209</v>
      </c>
      <c r="P1" s="13" t="s">
        <v>210</v>
      </c>
      <c r="Q1" s="13" t="s">
        <v>211</v>
      </c>
      <c r="R1" s="13" t="s">
        <v>212</v>
      </c>
      <c r="S1" s="13" t="s">
        <v>213</v>
      </c>
      <c r="T1" s="13" t="s">
        <v>214</v>
      </c>
      <c r="U1" s="13" t="s">
        <v>215</v>
      </c>
      <c r="V1" s="13" t="s">
        <v>216</v>
      </c>
      <c r="W1" s="13" t="s">
        <v>217</v>
      </c>
      <c r="X1" s="13" t="s">
        <v>218</v>
      </c>
      <c r="Y1" s="13" t="s">
        <v>219</v>
      </c>
      <c r="Z1" s="13" t="s">
        <v>220</v>
      </c>
      <c r="AA1" s="13" t="s">
        <v>221</v>
      </c>
      <c r="AB1" s="13" t="s">
        <v>222</v>
      </c>
      <c r="AC1" s="13" t="s">
        <v>223</v>
      </c>
      <c r="AD1" s="13" t="s">
        <v>224</v>
      </c>
      <c r="AE1" s="13" t="s">
        <v>225</v>
      </c>
      <c r="AF1" s="13" t="s">
        <v>226</v>
      </c>
      <c r="AG1" s="13" t="s">
        <v>227</v>
      </c>
      <c r="AH1" s="13" t="s">
        <v>228</v>
      </c>
      <c r="AI1" s="13" t="s">
        <v>229</v>
      </c>
      <c r="AJ1" s="13" t="s">
        <v>230</v>
      </c>
      <c r="AK1" s="13" t="s">
        <v>231</v>
      </c>
      <c r="AL1" s="13" t="s">
        <v>232</v>
      </c>
      <c r="AM1" s="13" t="s">
        <v>233</v>
      </c>
      <c r="AN1" s="13" t="s">
        <v>234</v>
      </c>
      <c r="AO1" s="13" t="s">
        <v>235</v>
      </c>
      <c r="AP1" s="13" t="s">
        <v>236</v>
      </c>
      <c r="AQ1" s="13" t="s">
        <v>237</v>
      </c>
      <c r="AR1" s="13" t="s">
        <v>238</v>
      </c>
      <c r="AS1" s="13" t="s">
        <v>239</v>
      </c>
      <c r="AT1" s="13" t="s">
        <v>240</v>
      </c>
      <c r="AU1" s="13" t="s">
        <v>241</v>
      </c>
      <c r="AV1" s="13" t="s">
        <v>242</v>
      </c>
      <c r="AW1" s="13" t="s">
        <v>243</v>
      </c>
      <c r="AX1" s="13" t="s">
        <v>244</v>
      </c>
      <c r="AY1" s="13" t="s">
        <v>245</v>
      </c>
      <c r="AZ1" s="14" t="s">
        <v>144</v>
      </c>
    </row>
    <row r="2" spans="1:52" ht="12.75" customHeight="1" x14ac:dyDescent="0.3">
      <c r="A2" s="3" t="s">
        <v>159</v>
      </c>
      <c r="B2" s="3" t="s">
        <v>38</v>
      </c>
      <c r="C2" s="4">
        <v>44432</v>
      </c>
      <c r="D2" s="4">
        <f>E2-56</f>
        <v>44397</v>
      </c>
      <c r="E2" s="4">
        <v>44453</v>
      </c>
      <c r="F2" s="3">
        <v>1.5</v>
      </c>
      <c r="G2" s="3" t="s">
        <v>39</v>
      </c>
      <c r="H2" s="3" t="s">
        <v>40</v>
      </c>
      <c r="I2" s="3" t="s">
        <v>11</v>
      </c>
      <c r="J2" s="3" t="s">
        <v>41</v>
      </c>
      <c r="K2" s="3"/>
      <c r="L2" s="16"/>
      <c r="M2" s="16"/>
      <c r="N2" s="16"/>
      <c r="O2" s="16"/>
      <c r="P2" s="16"/>
      <c r="Q2" s="16"/>
      <c r="R2" s="16"/>
      <c r="S2" s="16"/>
      <c r="T2" s="16">
        <v>0.54166666666666663</v>
      </c>
      <c r="U2" s="16">
        <v>0.625</v>
      </c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>
        <v>0.4375</v>
      </c>
      <c r="AI2" s="16">
        <v>0.52083333333333337</v>
      </c>
      <c r="AJ2" s="3"/>
      <c r="AK2" s="3"/>
      <c r="AL2" s="16"/>
      <c r="AM2" s="16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11" t="s">
        <v>252</v>
      </c>
    </row>
    <row r="3" spans="1:52" ht="12.75" customHeight="1" x14ac:dyDescent="0.3">
      <c r="A3" s="3" t="s">
        <v>145</v>
      </c>
      <c r="B3" s="3" t="s">
        <v>42</v>
      </c>
      <c r="C3" s="4">
        <v>44146</v>
      </c>
      <c r="D3" s="4">
        <f>tbBasisRooster[[#This Row],[Einde indicatie ]]-56</f>
        <v>44454</v>
      </c>
      <c r="E3" s="4">
        <v>44510</v>
      </c>
      <c r="F3" s="3">
        <v>6</v>
      </c>
      <c r="G3" s="3" t="s">
        <v>43</v>
      </c>
      <c r="H3" s="3" t="s">
        <v>44</v>
      </c>
      <c r="I3" s="3" t="s">
        <v>11</v>
      </c>
      <c r="J3" s="3" t="s">
        <v>254</v>
      </c>
      <c r="K3" s="3"/>
      <c r="L3" s="16">
        <v>0.35416666666666669</v>
      </c>
      <c r="M3" s="16">
        <v>0.4375</v>
      </c>
      <c r="N3" s="16">
        <v>0.35416666666666669</v>
      </c>
      <c r="O3" s="16">
        <v>0.4375</v>
      </c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>
        <v>0.35416666666666669</v>
      </c>
      <c r="AC3" s="16">
        <v>0.4375</v>
      </c>
      <c r="AD3" s="16">
        <v>0.35416666666666669</v>
      </c>
      <c r="AE3" s="16">
        <v>0.4375</v>
      </c>
      <c r="AF3" s="3"/>
      <c r="AG3" s="3"/>
      <c r="AH3" s="3"/>
      <c r="AI3" s="3"/>
      <c r="AJ3" s="16">
        <v>0.35416666666666669</v>
      </c>
      <c r="AK3" s="16">
        <v>0.4375</v>
      </c>
      <c r="AL3" s="16">
        <v>0.35416666666666669</v>
      </c>
      <c r="AM3" s="16">
        <v>0.4375</v>
      </c>
      <c r="AN3" s="16">
        <v>0.35416666666666669</v>
      </c>
      <c r="AO3" s="16">
        <v>0.4375</v>
      </c>
      <c r="AP3" s="16">
        <v>0.35416666666666669</v>
      </c>
      <c r="AQ3" s="16">
        <v>0.4375</v>
      </c>
      <c r="AR3" s="3"/>
      <c r="AS3" s="3"/>
      <c r="AT3" s="16"/>
      <c r="AU3" s="16"/>
      <c r="AV3" s="3"/>
      <c r="AW3" s="3"/>
      <c r="AX3" s="3"/>
      <c r="AY3" s="3"/>
      <c r="AZ3" s="11" t="s">
        <v>252</v>
      </c>
    </row>
    <row r="4" spans="1:52" ht="12.75" customHeight="1" x14ac:dyDescent="0.3">
      <c r="A4" s="3" t="s">
        <v>146</v>
      </c>
      <c r="B4" s="3" t="s">
        <v>45</v>
      </c>
      <c r="C4" s="4">
        <v>43936</v>
      </c>
      <c r="D4" s="4">
        <f>tbBasisRooster[[#This Row],[Einde indicatie ]]-56</f>
        <v>44244</v>
      </c>
      <c r="E4" s="4">
        <v>44300</v>
      </c>
      <c r="F4" s="3">
        <v>8</v>
      </c>
      <c r="G4" s="3" t="s">
        <v>43</v>
      </c>
      <c r="H4" s="3" t="s">
        <v>46</v>
      </c>
      <c r="I4" s="3" t="s">
        <v>11</v>
      </c>
      <c r="J4" s="3" t="s">
        <v>47</v>
      </c>
      <c r="K4" s="3"/>
      <c r="L4" s="16">
        <v>0.625</v>
      </c>
      <c r="M4" s="16">
        <v>0.70833333333333337</v>
      </c>
      <c r="N4" s="16">
        <v>0.625</v>
      </c>
      <c r="O4" s="16">
        <v>0.70833333333333337</v>
      </c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>
        <v>0.625</v>
      </c>
      <c r="AC4" s="16">
        <v>0.70833333333333337</v>
      </c>
      <c r="AD4" s="16">
        <v>0.625</v>
      </c>
      <c r="AE4" s="16">
        <v>0.70833333333333337</v>
      </c>
      <c r="AF4" s="16">
        <v>0.625</v>
      </c>
      <c r="AG4" s="16">
        <v>0.70833333333333337</v>
      </c>
      <c r="AH4" s="16">
        <v>0.625</v>
      </c>
      <c r="AI4" s="16">
        <v>0.70833333333333337</v>
      </c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16">
        <v>0.625</v>
      </c>
      <c r="AW4" s="16">
        <v>0.70833333333333337</v>
      </c>
      <c r="AX4" s="16">
        <v>0.625</v>
      </c>
      <c r="AY4" s="16">
        <v>0.70833333333333337</v>
      </c>
      <c r="AZ4" s="11" t="s">
        <v>252</v>
      </c>
    </row>
    <row r="5" spans="1:52" ht="12.75" customHeight="1" x14ac:dyDescent="0.3">
      <c r="A5" s="3" t="s">
        <v>147</v>
      </c>
      <c r="B5" s="3" t="s">
        <v>48</v>
      </c>
      <c r="C5" s="4">
        <v>43935</v>
      </c>
      <c r="D5" s="4">
        <f>tbBasisRooster[[#This Row],[Einde indicatie ]]-56</f>
        <v>44243</v>
      </c>
      <c r="E5" s="4">
        <v>44299</v>
      </c>
      <c r="F5" s="3">
        <v>5</v>
      </c>
      <c r="G5" s="3" t="s">
        <v>43</v>
      </c>
      <c r="H5" s="3" t="s">
        <v>9</v>
      </c>
      <c r="I5" s="3" t="s">
        <v>11</v>
      </c>
      <c r="J5" s="3" t="s">
        <v>49</v>
      </c>
      <c r="K5" s="3"/>
      <c r="L5" s="16"/>
      <c r="M5" s="16"/>
      <c r="N5" s="16"/>
      <c r="O5" s="16"/>
      <c r="P5" s="16"/>
      <c r="Q5" s="16"/>
      <c r="R5" s="16"/>
      <c r="S5" s="16"/>
      <c r="T5" s="16">
        <v>0.625</v>
      </c>
      <c r="U5" s="16">
        <v>0.72916666666666663</v>
      </c>
      <c r="V5" s="16">
        <v>0.625</v>
      </c>
      <c r="W5" s="16">
        <v>0.72916666666666663</v>
      </c>
      <c r="X5" s="16"/>
      <c r="Y5" s="16"/>
      <c r="Z5" s="16"/>
      <c r="AA5" s="16"/>
      <c r="AB5" s="16"/>
      <c r="AC5" s="16"/>
      <c r="AD5" s="16"/>
      <c r="AE5" s="16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11" t="s">
        <v>252</v>
      </c>
    </row>
    <row r="6" spans="1:52" ht="12.75" customHeight="1" x14ac:dyDescent="0.3">
      <c r="A6" s="3" t="s">
        <v>148</v>
      </c>
      <c r="B6" s="3" t="s">
        <v>50</v>
      </c>
      <c r="C6" s="4">
        <v>44197</v>
      </c>
      <c r="D6" s="4">
        <f>tbBasisRooster[[#This Row],[Einde indicatie ]]-56</f>
        <v>44321</v>
      </c>
      <c r="E6" s="4">
        <v>44377</v>
      </c>
      <c r="F6" s="3">
        <v>4</v>
      </c>
      <c r="G6" s="3" t="s">
        <v>43</v>
      </c>
      <c r="H6" s="3" t="s">
        <v>51</v>
      </c>
      <c r="I6" s="3" t="s">
        <v>11</v>
      </c>
      <c r="J6" s="3" t="s">
        <v>49</v>
      </c>
      <c r="K6" s="3"/>
      <c r="L6" s="16"/>
      <c r="M6" s="16"/>
      <c r="N6" s="16"/>
      <c r="O6" s="16"/>
      <c r="P6" s="16"/>
      <c r="Q6" s="16"/>
      <c r="R6" s="16"/>
      <c r="S6" s="16"/>
      <c r="T6" s="16">
        <v>0.625</v>
      </c>
      <c r="U6" s="16">
        <v>0.72916666666666663</v>
      </c>
      <c r="V6" s="16">
        <v>0.625</v>
      </c>
      <c r="W6" s="16">
        <v>0.72916666666666663</v>
      </c>
      <c r="X6" s="16"/>
      <c r="Y6" s="16"/>
      <c r="Z6" s="16"/>
      <c r="AA6" s="16"/>
      <c r="AB6" s="16"/>
      <c r="AC6" s="16"/>
      <c r="AD6" s="16"/>
      <c r="AE6" s="16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11" t="s">
        <v>252</v>
      </c>
    </row>
    <row r="7" spans="1:52" ht="12.75" customHeight="1" x14ac:dyDescent="0.3">
      <c r="A7" s="3" t="s">
        <v>149</v>
      </c>
      <c r="B7" s="3" t="s">
        <v>52</v>
      </c>
      <c r="C7" s="4">
        <v>44211</v>
      </c>
      <c r="D7" s="4">
        <f>tbBasisRooster[[#This Row],[Einde indicatie ]]-56</f>
        <v>44519</v>
      </c>
      <c r="E7" s="4">
        <v>44575</v>
      </c>
      <c r="F7" s="3">
        <v>1.5</v>
      </c>
      <c r="G7" s="3" t="s">
        <v>39</v>
      </c>
      <c r="H7" s="3" t="s">
        <v>3</v>
      </c>
      <c r="I7" s="3" t="s">
        <v>11</v>
      </c>
      <c r="J7" s="3" t="s">
        <v>53</v>
      </c>
      <c r="K7" s="3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3"/>
      <c r="AG7" s="3"/>
      <c r="AH7" s="3"/>
      <c r="AI7" s="3"/>
      <c r="AJ7" s="3"/>
      <c r="AK7" s="3"/>
      <c r="AL7" s="16">
        <v>0.4375</v>
      </c>
      <c r="AM7" s="16">
        <v>0.54166666666666663</v>
      </c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11" t="s">
        <v>252</v>
      </c>
    </row>
    <row r="8" spans="1:52" ht="12.75" customHeight="1" x14ac:dyDescent="0.3">
      <c r="A8" s="3" t="s">
        <v>150</v>
      </c>
      <c r="B8" s="3" t="s">
        <v>54</v>
      </c>
      <c r="C8" s="4">
        <v>44075</v>
      </c>
      <c r="D8" s="4">
        <f>tbBasisRooster[[#This Row],[Einde indicatie ]]-56</f>
        <v>44334</v>
      </c>
      <c r="E8" s="4">
        <v>44390</v>
      </c>
      <c r="F8" s="3">
        <v>3</v>
      </c>
      <c r="G8" s="3" t="s">
        <v>43</v>
      </c>
      <c r="H8" s="3" t="s">
        <v>44</v>
      </c>
      <c r="I8" s="3" t="s">
        <v>86</v>
      </c>
      <c r="J8" s="3" t="s">
        <v>55</v>
      </c>
      <c r="K8" s="3"/>
      <c r="L8" s="16"/>
      <c r="M8" s="16"/>
      <c r="N8" s="16"/>
      <c r="O8" s="16"/>
      <c r="P8" s="16">
        <v>0.625</v>
      </c>
      <c r="Q8" s="16">
        <v>0.70833333333333337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3"/>
      <c r="AG8" s="3"/>
      <c r="AH8" s="3"/>
      <c r="AI8" s="3"/>
      <c r="AJ8" s="16"/>
      <c r="AK8" s="16"/>
      <c r="AL8" s="16">
        <v>0.5625</v>
      </c>
      <c r="AM8" s="16">
        <v>0.64583333333333337</v>
      </c>
      <c r="AN8" s="16"/>
      <c r="AO8" s="16"/>
      <c r="AP8" s="16"/>
      <c r="AQ8" s="16"/>
      <c r="AR8" s="3"/>
      <c r="AS8" s="3"/>
      <c r="AT8" s="3"/>
      <c r="AU8" s="3"/>
      <c r="AV8" s="3"/>
      <c r="AW8" s="3"/>
      <c r="AX8" s="3"/>
      <c r="AY8" s="3"/>
      <c r="AZ8" s="11" t="s">
        <v>252</v>
      </c>
    </row>
    <row r="9" spans="1:52" ht="12.75" customHeight="1" x14ac:dyDescent="0.3">
      <c r="A9" s="3" t="s">
        <v>151</v>
      </c>
      <c r="B9" s="3" t="s">
        <v>56</v>
      </c>
      <c r="C9" s="4">
        <v>44208</v>
      </c>
      <c r="D9" s="4">
        <f>tbBasisRooster[[#This Row],[Einde indicatie ]]-56</f>
        <v>44536</v>
      </c>
      <c r="E9" s="4">
        <v>44592</v>
      </c>
      <c r="F9" s="3">
        <v>5</v>
      </c>
      <c r="G9" s="3" t="s">
        <v>57</v>
      </c>
      <c r="H9" s="3" t="s">
        <v>11</v>
      </c>
      <c r="I9" s="3" t="s">
        <v>5</v>
      </c>
      <c r="J9" s="3" t="s">
        <v>58</v>
      </c>
      <c r="K9" s="3"/>
      <c r="L9" s="16"/>
      <c r="M9" s="16"/>
      <c r="N9" s="16"/>
      <c r="O9" s="16"/>
      <c r="P9" s="16"/>
      <c r="Q9" s="16"/>
      <c r="R9" s="16"/>
      <c r="S9" s="16"/>
      <c r="T9" s="16">
        <v>0.52083333333333337</v>
      </c>
      <c r="U9" s="16">
        <v>0.625</v>
      </c>
      <c r="V9" s="16">
        <v>0.52083333333333337</v>
      </c>
      <c r="W9" s="16">
        <v>0.625</v>
      </c>
      <c r="X9" s="16"/>
      <c r="Y9" s="16"/>
      <c r="Z9" s="16"/>
      <c r="AA9" s="16"/>
      <c r="AB9" s="16"/>
      <c r="AC9" s="16"/>
      <c r="AD9" s="16"/>
      <c r="AE9" s="16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16">
        <v>0.66666666666666663</v>
      </c>
      <c r="AU9" s="16">
        <v>0.75</v>
      </c>
      <c r="AV9" s="3"/>
      <c r="AW9" s="3"/>
      <c r="AX9" s="3"/>
      <c r="AY9" s="3"/>
      <c r="AZ9" s="11" t="s">
        <v>252</v>
      </c>
    </row>
    <row r="10" spans="1:52" ht="12.75" customHeight="1" x14ac:dyDescent="0.3">
      <c r="A10" s="3" t="s">
        <v>152</v>
      </c>
      <c r="B10" s="3" t="s">
        <v>59</v>
      </c>
      <c r="C10" s="4">
        <v>44210</v>
      </c>
      <c r="D10" s="4">
        <f>tbBasisRooster[[#This Row],[Einde indicatie ]]-56</f>
        <v>44518</v>
      </c>
      <c r="E10" s="4">
        <v>44574</v>
      </c>
      <c r="F10" s="3">
        <v>2</v>
      </c>
      <c r="G10" s="3" t="s">
        <v>39</v>
      </c>
      <c r="H10" s="3" t="s">
        <v>8</v>
      </c>
      <c r="I10" s="3" t="s">
        <v>2</v>
      </c>
      <c r="J10" s="3" t="s">
        <v>60</v>
      </c>
      <c r="K10" s="3"/>
      <c r="L10" s="16"/>
      <c r="M10" s="16"/>
      <c r="N10" s="16"/>
      <c r="O10" s="16"/>
      <c r="P10" s="16">
        <v>0.66666666666666663</v>
      </c>
      <c r="Q10" s="16">
        <v>0.75</v>
      </c>
      <c r="R10" s="16">
        <v>0.66666666666666663</v>
      </c>
      <c r="S10" s="16">
        <v>0.75</v>
      </c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11" t="s">
        <v>252</v>
      </c>
    </row>
    <row r="11" spans="1:52" ht="12.75" customHeight="1" x14ac:dyDescent="0.3">
      <c r="A11" s="3" t="s">
        <v>247</v>
      </c>
      <c r="B11" s="3" t="s">
        <v>27</v>
      </c>
      <c r="C11" s="4">
        <v>44287</v>
      </c>
      <c r="D11" s="4">
        <v>44330</v>
      </c>
      <c r="E11" s="4">
        <v>44386</v>
      </c>
      <c r="F11" s="3">
        <v>4</v>
      </c>
      <c r="G11" s="3" t="s">
        <v>39</v>
      </c>
      <c r="H11" s="3" t="s">
        <v>4</v>
      </c>
      <c r="I11" s="3" t="s">
        <v>2</v>
      </c>
      <c r="J11" s="3" t="s">
        <v>61</v>
      </c>
      <c r="K11" s="3"/>
      <c r="L11" s="16">
        <v>0.39583333333333331</v>
      </c>
      <c r="M11" s="16">
        <v>0.47916666666666669</v>
      </c>
      <c r="N11" s="16">
        <v>0.39583333333333331</v>
      </c>
      <c r="O11" s="16">
        <v>0.47916666666666669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1" t="s">
        <v>252</v>
      </c>
    </row>
    <row r="12" spans="1:52" ht="12.75" customHeight="1" x14ac:dyDescent="0.3">
      <c r="A12" s="3" t="s">
        <v>153</v>
      </c>
      <c r="B12" s="3" t="s">
        <v>62</v>
      </c>
      <c r="C12" s="4">
        <v>43862</v>
      </c>
      <c r="D12" s="4">
        <f>tbBasisRooster[[#This Row],[Einde indicatie ]]-56</f>
        <v>44444</v>
      </c>
      <c r="E12" s="4">
        <v>44500</v>
      </c>
      <c r="F12" s="3">
        <v>4</v>
      </c>
      <c r="G12" s="3" t="s">
        <v>43</v>
      </c>
      <c r="H12" s="3" t="s">
        <v>3</v>
      </c>
      <c r="I12" s="3" t="s">
        <v>2</v>
      </c>
      <c r="J12" s="3" t="s">
        <v>49</v>
      </c>
      <c r="K12" s="3"/>
      <c r="L12" s="16">
        <v>0.375</v>
      </c>
      <c r="M12" s="16">
        <v>0.45833333333333331</v>
      </c>
      <c r="N12" s="16">
        <v>0.375</v>
      </c>
      <c r="O12" s="16">
        <v>0.45833333333333331</v>
      </c>
      <c r="P12" s="16"/>
      <c r="Q12" s="16"/>
      <c r="R12" s="16"/>
      <c r="S12" s="16"/>
      <c r="T12" s="16"/>
      <c r="U12" s="16"/>
      <c r="V12" s="16"/>
      <c r="W12" s="16"/>
      <c r="X12" s="16">
        <v>0.625</v>
      </c>
      <c r="Y12" s="16">
        <v>0.70833333333333337</v>
      </c>
      <c r="Z12" s="16">
        <v>0.625</v>
      </c>
      <c r="AA12" s="16">
        <v>0.70833333333333337</v>
      </c>
      <c r="AB12" s="16"/>
      <c r="AC12" s="16"/>
      <c r="AD12" s="16"/>
      <c r="AE12" s="16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11" t="s">
        <v>252</v>
      </c>
    </row>
    <row r="13" spans="1:52" ht="12.75" customHeight="1" x14ac:dyDescent="0.3">
      <c r="A13" s="6" t="s">
        <v>154</v>
      </c>
      <c r="B13" s="6" t="s">
        <v>63</v>
      </c>
      <c r="C13" s="7">
        <v>43892</v>
      </c>
      <c r="D13" s="7">
        <f>tbBasisRooster[[#This Row],[Einde indicatie ]]-56</f>
        <v>44199</v>
      </c>
      <c r="E13" s="7">
        <v>44255</v>
      </c>
      <c r="F13" s="6">
        <v>3</v>
      </c>
      <c r="G13" s="6" t="s">
        <v>64</v>
      </c>
      <c r="H13" s="6" t="s">
        <v>3</v>
      </c>
      <c r="I13" s="6" t="s">
        <v>2</v>
      </c>
      <c r="J13" s="6" t="s">
        <v>65</v>
      </c>
      <c r="K13" s="6"/>
      <c r="L13" s="17"/>
      <c r="M13" s="17"/>
      <c r="N13" s="17"/>
      <c r="O13" s="17"/>
      <c r="P13" s="17"/>
      <c r="Q13" s="17"/>
      <c r="R13" s="17"/>
      <c r="S13" s="17"/>
      <c r="T13" s="17">
        <v>0.33333333333333331</v>
      </c>
      <c r="U13" s="17">
        <v>0.45833333333333331</v>
      </c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12" t="s">
        <v>252</v>
      </c>
    </row>
    <row r="14" spans="1:52" ht="12.75" customHeight="1" x14ac:dyDescent="0.3">
      <c r="A14" s="3" t="s">
        <v>156</v>
      </c>
      <c r="B14" s="3" t="s">
        <v>67</v>
      </c>
      <c r="C14" s="4" t="s">
        <v>68</v>
      </c>
      <c r="D14" s="4">
        <f>tbBasisRooster[[#This Row],[Einde indicatie ]]-56</f>
        <v>44260</v>
      </c>
      <c r="E14" s="4">
        <v>44316</v>
      </c>
      <c r="F14" s="3">
        <v>1</v>
      </c>
      <c r="G14" s="3" t="s">
        <v>39</v>
      </c>
      <c r="H14" s="3" t="s">
        <v>3</v>
      </c>
      <c r="I14" s="3" t="s">
        <v>2</v>
      </c>
      <c r="J14" s="3" t="s">
        <v>58</v>
      </c>
      <c r="K14" s="3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>
        <v>0.54166666666666663</v>
      </c>
      <c r="Y14" s="16">
        <v>0.625</v>
      </c>
      <c r="Z14" s="16"/>
      <c r="AA14" s="16"/>
      <c r="AB14" s="16"/>
      <c r="AC14" s="16"/>
      <c r="AD14" s="16"/>
      <c r="AE14" s="16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11" t="s">
        <v>252</v>
      </c>
    </row>
    <row r="15" spans="1:52" ht="12.75" customHeight="1" x14ac:dyDescent="0.3">
      <c r="A15" s="3" t="s">
        <v>157</v>
      </c>
      <c r="B15" s="3" t="s">
        <v>69</v>
      </c>
      <c r="C15" s="4">
        <v>44157</v>
      </c>
      <c r="D15" s="4">
        <f>tbBasisRooster[[#This Row],[Einde indicatie ]]-56</f>
        <v>44291</v>
      </c>
      <c r="E15" s="4">
        <v>44347</v>
      </c>
      <c r="F15" s="3">
        <v>5</v>
      </c>
      <c r="G15" s="3" t="s">
        <v>39</v>
      </c>
      <c r="H15" s="3" t="s">
        <v>5</v>
      </c>
      <c r="I15" s="3" t="s">
        <v>253</v>
      </c>
      <c r="J15" s="3"/>
      <c r="K15" s="3"/>
      <c r="L15" s="16">
        <v>0.64583333333333337</v>
      </c>
      <c r="M15" s="16">
        <v>0.72916666666666663</v>
      </c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>
        <v>0.64583333333333337</v>
      </c>
      <c r="AE15" s="16">
        <v>0.72916666666666663</v>
      </c>
      <c r="AF15" s="3"/>
      <c r="AG15" s="3"/>
      <c r="AH15" s="3"/>
      <c r="AI15" s="3"/>
      <c r="AJ15" s="3"/>
      <c r="AK15" s="3"/>
      <c r="AL15" s="3"/>
      <c r="AM15" s="3"/>
      <c r="AN15" s="16">
        <v>0.375</v>
      </c>
      <c r="AO15" s="16">
        <v>0.45833333333333331</v>
      </c>
      <c r="AP15" s="16">
        <v>0.375</v>
      </c>
      <c r="AQ15" s="16">
        <v>0.45833333333333331</v>
      </c>
      <c r="AR15" s="16"/>
      <c r="AS15" s="16"/>
      <c r="AT15" s="16"/>
      <c r="AU15" s="16"/>
      <c r="AV15" s="3"/>
      <c r="AW15" s="3"/>
      <c r="AX15" s="3"/>
      <c r="AY15" s="3"/>
      <c r="AZ15" s="11" t="s">
        <v>252</v>
      </c>
    </row>
    <row r="16" spans="1:52" ht="12.75" customHeight="1" x14ac:dyDescent="0.3">
      <c r="A16" s="3" t="s">
        <v>158</v>
      </c>
      <c r="B16" s="3" t="s">
        <v>71</v>
      </c>
      <c r="C16" s="4">
        <v>44095</v>
      </c>
      <c r="D16" s="4">
        <f>tbBasisRooster[[#This Row],[Einde indicatie ]]-56</f>
        <v>44219</v>
      </c>
      <c r="E16" s="4">
        <v>44275</v>
      </c>
      <c r="F16" s="3">
        <v>4</v>
      </c>
      <c r="G16" s="3" t="s">
        <v>39</v>
      </c>
      <c r="H16" s="3" t="s">
        <v>5</v>
      </c>
      <c r="I16" s="3" t="s">
        <v>70</v>
      </c>
      <c r="J16" s="3" t="s">
        <v>53</v>
      </c>
      <c r="K16" s="3"/>
      <c r="L16" s="16">
        <v>0.72916666666666663</v>
      </c>
      <c r="M16" s="16">
        <v>0.79166666666666663</v>
      </c>
      <c r="N16" s="16">
        <v>0.72916666666666663</v>
      </c>
      <c r="O16" s="16">
        <v>0.79166666666666663</v>
      </c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3"/>
      <c r="AG16" s="3"/>
      <c r="AH16" s="3"/>
      <c r="AI16" s="3"/>
      <c r="AJ16" s="3"/>
      <c r="AK16" s="3"/>
      <c r="AL16" s="3"/>
      <c r="AM16" s="3"/>
      <c r="AN16" s="16">
        <v>0.375</v>
      </c>
      <c r="AO16" s="16">
        <v>0.45833333333333331</v>
      </c>
      <c r="AP16" s="16">
        <v>0.375</v>
      </c>
      <c r="AQ16" s="16">
        <v>0.45833333333333331</v>
      </c>
      <c r="AR16" s="3"/>
      <c r="AS16" s="3"/>
      <c r="AT16" s="3"/>
      <c r="AU16" s="3"/>
      <c r="AV16" s="3"/>
      <c r="AW16" s="3"/>
      <c r="AX16" s="3"/>
      <c r="AY16" s="3"/>
      <c r="AZ16" s="11" t="s">
        <v>252</v>
      </c>
    </row>
    <row r="17" spans="1:52" ht="12.75" customHeight="1" x14ac:dyDescent="0.3">
      <c r="A17" s="3" t="s">
        <v>161</v>
      </c>
      <c r="B17" s="3" t="s">
        <v>73</v>
      </c>
      <c r="C17" s="4">
        <v>44136</v>
      </c>
      <c r="D17" s="4">
        <f>tbBasisRooster[[#This Row],[Einde indicatie ]]-56</f>
        <v>44311</v>
      </c>
      <c r="E17" s="4">
        <v>44367</v>
      </c>
      <c r="F17" s="3">
        <v>10</v>
      </c>
      <c r="G17" s="3" t="s">
        <v>74</v>
      </c>
      <c r="H17" s="3" t="s">
        <v>46</v>
      </c>
      <c r="I17" s="3" t="s">
        <v>75</v>
      </c>
      <c r="J17" s="3" t="s">
        <v>66</v>
      </c>
      <c r="K17" s="3"/>
      <c r="L17" s="16"/>
      <c r="M17" s="16"/>
      <c r="N17" s="16"/>
      <c r="O17" s="16"/>
      <c r="P17" s="16">
        <v>0.35416666666666669</v>
      </c>
      <c r="Q17" s="16">
        <v>0.4375</v>
      </c>
      <c r="R17" s="16">
        <v>0.35416666666666669</v>
      </c>
      <c r="S17" s="16">
        <v>0.4375</v>
      </c>
      <c r="T17" s="16">
        <v>0.35416666666666669</v>
      </c>
      <c r="U17" s="16">
        <v>0.4375</v>
      </c>
      <c r="V17" s="16">
        <v>0.35416666666666669</v>
      </c>
      <c r="W17" s="16">
        <v>0.4375</v>
      </c>
      <c r="X17" s="16"/>
      <c r="Y17" s="16"/>
      <c r="Z17" s="16"/>
      <c r="AA17" s="16"/>
      <c r="AB17" s="16">
        <v>0.54166666666666663</v>
      </c>
      <c r="AC17" s="16">
        <v>0.625</v>
      </c>
      <c r="AD17" s="16">
        <v>0.54166666666666663</v>
      </c>
      <c r="AE17" s="16">
        <v>0.625</v>
      </c>
      <c r="AF17" s="16">
        <v>0.35416666666666669</v>
      </c>
      <c r="AG17" s="16">
        <v>0.4375</v>
      </c>
      <c r="AH17" s="16">
        <v>0.35416666666666669</v>
      </c>
      <c r="AI17" s="16">
        <v>0.4375</v>
      </c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11" t="s">
        <v>252</v>
      </c>
    </row>
    <row r="18" spans="1:52" ht="12.75" customHeight="1" x14ac:dyDescent="0.3">
      <c r="A18" s="3" t="s">
        <v>162</v>
      </c>
      <c r="B18" s="3" t="s">
        <v>76</v>
      </c>
      <c r="C18" s="4">
        <v>44155</v>
      </c>
      <c r="D18" s="4">
        <f>tbBasisRooster[[#This Row],[Einde indicatie ]]-56</f>
        <v>44279</v>
      </c>
      <c r="E18" s="4">
        <v>44335</v>
      </c>
      <c r="F18" s="3">
        <v>2</v>
      </c>
      <c r="G18" s="3" t="s">
        <v>77</v>
      </c>
      <c r="H18" s="5" t="s">
        <v>78</v>
      </c>
      <c r="I18" s="3" t="s">
        <v>40</v>
      </c>
      <c r="J18" s="3" t="s">
        <v>53</v>
      </c>
      <c r="K18" s="3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>
        <v>0.54166666666666663</v>
      </c>
      <c r="AC18" s="16">
        <v>0.625</v>
      </c>
      <c r="AD18" s="16"/>
      <c r="AE18" s="16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16"/>
      <c r="AW18" s="16"/>
      <c r="AX18" s="16">
        <v>0.54166666666666663</v>
      </c>
      <c r="AY18" s="16">
        <v>0.625</v>
      </c>
      <c r="AZ18" s="11" t="s">
        <v>252</v>
      </c>
    </row>
    <row r="19" spans="1:52" ht="12.75" customHeight="1" x14ac:dyDescent="0.3">
      <c r="A19" s="3" t="s">
        <v>163</v>
      </c>
      <c r="B19" s="3" t="s">
        <v>79</v>
      </c>
      <c r="C19" s="4">
        <v>44105</v>
      </c>
      <c r="D19" s="4">
        <f>tbBasisRooster[[#This Row],[Einde indicatie ]]-56</f>
        <v>44413</v>
      </c>
      <c r="E19" s="4">
        <v>44469</v>
      </c>
      <c r="F19" s="3">
        <v>5</v>
      </c>
      <c r="G19" s="3" t="s">
        <v>43</v>
      </c>
      <c r="H19" s="5" t="s">
        <v>4</v>
      </c>
      <c r="I19" s="3" t="s">
        <v>6</v>
      </c>
      <c r="J19" s="3" t="s">
        <v>49</v>
      </c>
      <c r="K19" s="3"/>
      <c r="L19" s="16">
        <v>0.64583333333333337</v>
      </c>
      <c r="M19" s="16">
        <v>0.72916666666666663</v>
      </c>
      <c r="N19" s="16">
        <v>0.64583333333333337</v>
      </c>
      <c r="O19" s="16">
        <v>0.72916666666666663</v>
      </c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16">
        <v>0.45833333333333331</v>
      </c>
      <c r="AS19" s="16">
        <v>0.54166666666666663</v>
      </c>
      <c r="AT19" s="16">
        <v>0.45833333333333331</v>
      </c>
      <c r="AU19" s="16">
        <v>0.54166666666666663</v>
      </c>
      <c r="AV19" s="16"/>
      <c r="AW19" s="16"/>
      <c r="AX19" s="16"/>
      <c r="AY19" s="16"/>
      <c r="AZ19" s="11" t="s">
        <v>252</v>
      </c>
    </row>
    <row r="20" spans="1:52" ht="12.75" customHeight="1" x14ac:dyDescent="0.3">
      <c r="A20" s="6" t="s">
        <v>164</v>
      </c>
      <c r="B20" s="6" t="s">
        <v>80</v>
      </c>
      <c r="C20" s="7">
        <v>44079</v>
      </c>
      <c r="D20" s="7">
        <f>tbBasisRooster[[#This Row],[Einde indicatie ]]-56</f>
        <v>44204</v>
      </c>
      <c r="E20" s="7">
        <v>44260</v>
      </c>
      <c r="F20" s="6">
        <v>2</v>
      </c>
      <c r="G20" s="6" t="s">
        <v>39</v>
      </c>
      <c r="H20" s="6" t="s">
        <v>9</v>
      </c>
      <c r="I20" s="6" t="s">
        <v>6</v>
      </c>
      <c r="J20" s="6" t="s">
        <v>58</v>
      </c>
      <c r="K20" s="6"/>
      <c r="L20" s="17"/>
      <c r="M20" s="17"/>
      <c r="N20" s="17"/>
      <c r="O20" s="17"/>
      <c r="P20" s="17">
        <v>0.58333333333333337</v>
      </c>
      <c r="Q20" s="17">
        <v>0.66666666666666663</v>
      </c>
      <c r="R20" s="17">
        <v>0.54166666666666663</v>
      </c>
      <c r="S20" s="17">
        <v>0.625</v>
      </c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17">
        <v>0.54166666666666663</v>
      </c>
      <c r="AS20" s="17">
        <v>0.625</v>
      </c>
      <c r="AT20" s="17">
        <v>0.54166666666666663</v>
      </c>
      <c r="AU20" s="17">
        <v>0.625</v>
      </c>
      <c r="AV20" s="6"/>
      <c r="AW20" s="6"/>
      <c r="AX20" s="6"/>
      <c r="AY20" s="6"/>
      <c r="AZ20" s="12" t="s">
        <v>252</v>
      </c>
    </row>
    <row r="21" spans="1:52" ht="12.75" customHeight="1" x14ac:dyDescent="0.3">
      <c r="A21" s="6" t="s">
        <v>165</v>
      </c>
      <c r="B21" s="6" t="s">
        <v>81</v>
      </c>
      <c r="C21" s="7">
        <v>44013</v>
      </c>
      <c r="D21" s="7">
        <f>tbBasisRooster[[#This Row],[Einde indicatie ]]-56</f>
        <v>44171</v>
      </c>
      <c r="E21" s="7">
        <v>44227</v>
      </c>
      <c r="F21" s="6">
        <v>6</v>
      </c>
      <c r="G21" s="6" t="s">
        <v>74</v>
      </c>
      <c r="H21" s="6" t="s">
        <v>9</v>
      </c>
      <c r="I21" s="6" t="s">
        <v>6</v>
      </c>
      <c r="J21" s="6"/>
      <c r="K21" s="6"/>
      <c r="L21" s="17"/>
      <c r="M21" s="17"/>
      <c r="N21" s="17"/>
      <c r="O21" s="17"/>
      <c r="P21" s="17"/>
      <c r="Q21" s="17"/>
      <c r="R21" s="17"/>
      <c r="S21" s="17"/>
      <c r="T21" s="17">
        <v>0.45833333333333331</v>
      </c>
      <c r="U21" s="17">
        <v>0.54166666666666663</v>
      </c>
      <c r="V21" s="17">
        <v>0.45833333333333331</v>
      </c>
      <c r="W21" s="17">
        <v>0.54166666666666663</v>
      </c>
      <c r="X21" s="17"/>
      <c r="Y21" s="17"/>
      <c r="Z21" s="17"/>
      <c r="AA21" s="17"/>
      <c r="AB21" s="17">
        <v>0.5625</v>
      </c>
      <c r="AC21" s="17">
        <v>0.64583333333333337</v>
      </c>
      <c r="AD21" s="17">
        <v>0.5625</v>
      </c>
      <c r="AE21" s="17">
        <v>0.64583333333333337</v>
      </c>
      <c r="AF21" s="17">
        <v>0.70833333333333337</v>
      </c>
      <c r="AG21" s="17">
        <v>0.79166666666666663</v>
      </c>
      <c r="AH21" s="17">
        <v>0.70833333333333337</v>
      </c>
      <c r="AI21" s="17">
        <v>0.79166666666666663</v>
      </c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12" t="s">
        <v>252</v>
      </c>
    </row>
    <row r="22" spans="1:52" ht="12.75" customHeight="1" x14ac:dyDescent="0.3">
      <c r="A22" s="6" t="s">
        <v>166</v>
      </c>
      <c r="B22" s="6" t="s">
        <v>82</v>
      </c>
      <c r="C22" s="7">
        <v>43875</v>
      </c>
      <c r="D22" s="7">
        <f>tbBasisRooster[[#This Row],[Einde indicatie ]]-56</f>
        <v>44190</v>
      </c>
      <c r="E22" s="7">
        <v>44246</v>
      </c>
      <c r="F22" s="6">
        <v>2</v>
      </c>
      <c r="G22" s="6" t="s">
        <v>39</v>
      </c>
      <c r="H22" s="6" t="s">
        <v>101</v>
      </c>
      <c r="I22" s="6" t="s">
        <v>6</v>
      </c>
      <c r="J22" s="6" t="s">
        <v>53</v>
      </c>
      <c r="K22" s="6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>
        <v>0.45833333333333331</v>
      </c>
      <c r="AC22" s="17">
        <v>0.54166666666666663</v>
      </c>
      <c r="AD22" s="17"/>
      <c r="AE22" s="17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12" t="s">
        <v>252</v>
      </c>
    </row>
    <row r="23" spans="1:52" ht="12.75" customHeight="1" x14ac:dyDescent="0.3">
      <c r="A23" s="6" t="s">
        <v>167</v>
      </c>
      <c r="B23" s="6" t="s">
        <v>83</v>
      </c>
      <c r="C23" s="7">
        <v>43922</v>
      </c>
      <c r="D23" s="7">
        <f>tbBasisRooster[[#This Row],[Einde indicatie ]]-56</f>
        <v>44199</v>
      </c>
      <c r="E23" s="7">
        <v>44255</v>
      </c>
      <c r="F23" s="6">
        <v>2</v>
      </c>
      <c r="G23" s="6" t="s">
        <v>74</v>
      </c>
      <c r="H23" s="6" t="s">
        <v>3</v>
      </c>
      <c r="I23" s="6" t="s">
        <v>6</v>
      </c>
      <c r="J23" s="6" t="s">
        <v>84</v>
      </c>
      <c r="K23" s="6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>
        <v>0.375</v>
      </c>
      <c r="Y23" s="17">
        <v>0.45833333333333331</v>
      </c>
      <c r="Z23" s="17"/>
      <c r="AA23" s="17"/>
      <c r="AB23" s="17"/>
      <c r="AC23" s="17"/>
      <c r="AD23" s="17"/>
      <c r="AE23" s="17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17">
        <v>0.375</v>
      </c>
      <c r="AU23" s="17">
        <v>0.45833333333333331</v>
      </c>
      <c r="AV23" s="6"/>
      <c r="AW23" s="6"/>
      <c r="AX23" s="6"/>
      <c r="AY23" s="6"/>
      <c r="AZ23" s="12" t="s">
        <v>252</v>
      </c>
    </row>
    <row r="24" spans="1:52" ht="12.75" customHeight="1" x14ac:dyDescent="0.3">
      <c r="A24" s="3" t="s">
        <v>168</v>
      </c>
      <c r="B24" s="3" t="s">
        <v>85</v>
      </c>
      <c r="C24" s="4">
        <v>43922</v>
      </c>
      <c r="D24" s="4">
        <f>tbBasisRooster[[#This Row],[Einde indicatie ]]-56</f>
        <v>44230</v>
      </c>
      <c r="E24" s="4">
        <v>44286</v>
      </c>
      <c r="F24" s="3">
        <v>3</v>
      </c>
      <c r="G24" s="3" t="s">
        <v>77</v>
      </c>
      <c r="H24" s="3" t="s">
        <v>86</v>
      </c>
      <c r="I24" s="3" t="s">
        <v>46</v>
      </c>
      <c r="J24" s="3" t="s">
        <v>87</v>
      </c>
      <c r="K24" s="3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>
        <v>0.47916666666666669</v>
      </c>
      <c r="AC24" s="16">
        <v>0.54166666666666663</v>
      </c>
      <c r="AD24" s="16">
        <v>0.5625</v>
      </c>
      <c r="AE24" s="16">
        <v>0.625</v>
      </c>
      <c r="AF24" s="16"/>
      <c r="AG24" s="16"/>
      <c r="AH24" s="16"/>
      <c r="AI24" s="16"/>
      <c r="AJ24" s="16">
        <v>0.4375</v>
      </c>
      <c r="AK24" s="16">
        <v>0.5</v>
      </c>
      <c r="AL24" s="16">
        <v>0.4375</v>
      </c>
      <c r="AM24" s="16">
        <v>0.5</v>
      </c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11" t="s">
        <v>252</v>
      </c>
    </row>
    <row r="25" spans="1:52" ht="12.75" customHeight="1" x14ac:dyDescent="0.3">
      <c r="A25" s="3" t="s">
        <v>169</v>
      </c>
      <c r="B25" s="3" t="s">
        <v>88</v>
      </c>
      <c r="C25" s="4"/>
      <c r="D25" s="4" t="s">
        <v>89</v>
      </c>
      <c r="E25" s="4" t="s">
        <v>89</v>
      </c>
      <c r="F25" s="3">
        <v>3</v>
      </c>
      <c r="G25" s="3" t="s">
        <v>43</v>
      </c>
      <c r="H25" s="3" t="s">
        <v>6</v>
      </c>
      <c r="I25" s="3" t="s">
        <v>46</v>
      </c>
      <c r="J25" s="3" t="s">
        <v>90</v>
      </c>
      <c r="K25" s="3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>
        <v>0.45833333333333331</v>
      </c>
      <c r="AC25" s="16">
        <v>0.54166666666666663</v>
      </c>
      <c r="AD25" s="16"/>
      <c r="AE25" s="16"/>
      <c r="AF25" s="3"/>
      <c r="AG25" s="3"/>
      <c r="AH25" s="3"/>
      <c r="AI25" s="3"/>
      <c r="AJ25" s="16"/>
      <c r="AK25" s="16"/>
      <c r="AL25" s="16">
        <v>0.66666666666666663</v>
      </c>
      <c r="AM25" s="16">
        <v>0.75</v>
      </c>
      <c r="AN25" s="16">
        <v>0.625</v>
      </c>
      <c r="AO25" s="16">
        <v>0.70833333333333337</v>
      </c>
      <c r="AP25" s="16"/>
      <c r="AQ25" s="16"/>
      <c r="AR25" s="3"/>
      <c r="AS25" s="3"/>
      <c r="AT25" s="3"/>
      <c r="AU25" s="3"/>
      <c r="AV25" s="3"/>
      <c r="AW25" s="3"/>
      <c r="AX25" s="3"/>
      <c r="AY25" s="3"/>
      <c r="AZ25" s="11" t="s">
        <v>252</v>
      </c>
    </row>
    <row r="26" spans="1:52" ht="12.75" customHeight="1" x14ac:dyDescent="0.3">
      <c r="A26" s="3" t="s">
        <v>170</v>
      </c>
      <c r="B26" s="3" t="s">
        <v>91</v>
      </c>
      <c r="C26" s="4">
        <v>43746</v>
      </c>
      <c r="D26" s="4">
        <f>tbBasisRooster[[#This Row],[Einde indicatie ]]-56</f>
        <v>44420</v>
      </c>
      <c r="E26" s="4">
        <v>44476</v>
      </c>
      <c r="F26" s="3">
        <v>3</v>
      </c>
      <c r="G26" s="3" t="s">
        <v>74</v>
      </c>
      <c r="H26" s="3" t="s">
        <v>6</v>
      </c>
      <c r="I26" s="3" t="s">
        <v>46</v>
      </c>
      <c r="J26" s="3"/>
      <c r="K26" s="3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>
        <v>0.375</v>
      </c>
      <c r="Y26" s="16">
        <v>0.45833333333333331</v>
      </c>
      <c r="Z26" s="16"/>
      <c r="AA26" s="16"/>
      <c r="AB26" s="16"/>
      <c r="AC26" s="16"/>
      <c r="AD26" s="16"/>
      <c r="AE26" s="16"/>
      <c r="AF26" s="3"/>
      <c r="AG26" s="3"/>
      <c r="AH26" s="3"/>
      <c r="AI26" s="3"/>
      <c r="AJ26" s="3"/>
      <c r="AK26" s="3"/>
      <c r="AL26" s="16">
        <v>0.58333333333333337</v>
      </c>
      <c r="AM26" s="16">
        <v>0.66666666666666663</v>
      </c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11" t="s">
        <v>252</v>
      </c>
    </row>
    <row r="27" spans="1:52" ht="12.75" customHeight="1" x14ac:dyDescent="0.3">
      <c r="A27" s="3" t="s">
        <v>171</v>
      </c>
      <c r="B27" s="3" t="s">
        <v>92</v>
      </c>
      <c r="C27" s="4">
        <v>43739</v>
      </c>
      <c r="D27" s="4">
        <f>tbBasisRooster[[#This Row],[Einde indicatie ]]-56</f>
        <v>44413</v>
      </c>
      <c r="E27" s="4">
        <v>44469</v>
      </c>
      <c r="F27" s="3">
        <v>2</v>
      </c>
      <c r="G27" s="3" t="s">
        <v>39</v>
      </c>
      <c r="H27" s="3" t="s">
        <v>6</v>
      </c>
      <c r="I27" s="3" t="s">
        <v>46</v>
      </c>
      <c r="J27" s="3" t="s">
        <v>84</v>
      </c>
      <c r="K27" s="3"/>
      <c r="L27" s="16">
        <v>0.5625</v>
      </c>
      <c r="M27" s="16">
        <v>0.64583333333333337</v>
      </c>
      <c r="N27" s="16">
        <v>0.5625</v>
      </c>
      <c r="O27" s="16">
        <v>0.64583333333333337</v>
      </c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11" t="s">
        <v>252</v>
      </c>
    </row>
    <row r="28" spans="1:52" ht="12.75" customHeight="1" x14ac:dyDescent="0.3">
      <c r="A28" s="3" t="s">
        <v>172</v>
      </c>
      <c r="B28" s="3" t="s">
        <v>4</v>
      </c>
      <c r="C28" s="4">
        <v>44166</v>
      </c>
      <c r="D28" s="4">
        <f>tbBasisRooster[[#This Row],[Einde indicatie ]]-56</f>
        <v>44299</v>
      </c>
      <c r="E28" s="4">
        <v>44355</v>
      </c>
      <c r="F28" s="3">
        <v>5</v>
      </c>
      <c r="G28" s="3" t="s">
        <v>43</v>
      </c>
      <c r="H28" s="3" t="s">
        <v>8</v>
      </c>
      <c r="I28" s="3" t="s">
        <v>46</v>
      </c>
      <c r="J28" s="3" t="s">
        <v>49</v>
      </c>
      <c r="K28" s="3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>
        <v>0.54166666666666663</v>
      </c>
      <c r="AC28" s="16">
        <v>0.70833333333333337</v>
      </c>
      <c r="AD28" s="16">
        <v>0.64583333333333337</v>
      </c>
      <c r="AE28" s="16">
        <v>0.72916666666666663</v>
      </c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11" t="s">
        <v>252</v>
      </c>
    </row>
    <row r="29" spans="1:52" ht="12.75" customHeight="1" x14ac:dyDescent="0.3">
      <c r="A29" s="3" t="s">
        <v>246</v>
      </c>
      <c r="B29" s="3" t="s">
        <v>93</v>
      </c>
      <c r="C29" s="4">
        <v>44256</v>
      </c>
      <c r="D29" s="4">
        <f>tbBasisRooster[[#This Row],[Einde indicatie ]]-56</f>
        <v>44210</v>
      </c>
      <c r="E29" s="8">
        <v>44266</v>
      </c>
      <c r="F29" s="3">
        <v>4</v>
      </c>
      <c r="G29" s="3" t="s">
        <v>39</v>
      </c>
      <c r="H29" s="5" t="s">
        <v>4</v>
      </c>
      <c r="I29" s="3" t="s">
        <v>46</v>
      </c>
      <c r="J29" s="3" t="s">
        <v>94</v>
      </c>
      <c r="K29" s="3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>
        <v>0.375</v>
      </c>
      <c r="Y29" s="16">
        <v>0.45833333333333331</v>
      </c>
      <c r="Z29" s="16">
        <v>0.375</v>
      </c>
      <c r="AA29" s="16">
        <v>0.45833333333333331</v>
      </c>
      <c r="AB29" s="16"/>
      <c r="AC29" s="16"/>
      <c r="AD29" s="16"/>
      <c r="AE29" s="16"/>
      <c r="AF29" s="3"/>
      <c r="AG29" s="3"/>
      <c r="AH29" s="3"/>
      <c r="AI29" s="3"/>
      <c r="AJ29" s="16">
        <v>0.5</v>
      </c>
      <c r="AK29" s="16">
        <v>0.58333333333333337</v>
      </c>
      <c r="AL29" s="16">
        <v>0.5</v>
      </c>
      <c r="AM29" s="16">
        <v>0.58333333333333337</v>
      </c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11" t="s">
        <v>252</v>
      </c>
    </row>
    <row r="30" spans="1:52" ht="12.75" customHeight="1" x14ac:dyDescent="0.3">
      <c r="A30" s="3" t="s">
        <v>173</v>
      </c>
      <c r="B30" s="3" t="s">
        <v>95</v>
      </c>
      <c r="C30" s="4">
        <v>44208</v>
      </c>
      <c r="D30" s="4">
        <f>tbBasisRooster[[#This Row],[Einde indicatie ]]-56</f>
        <v>44516</v>
      </c>
      <c r="E30" s="4">
        <v>44572</v>
      </c>
      <c r="F30" s="3">
        <v>1.5</v>
      </c>
      <c r="G30" s="3" t="s">
        <v>39</v>
      </c>
      <c r="H30" s="3" t="s">
        <v>40</v>
      </c>
      <c r="I30" s="3" t="s">
        <v>46</v>
      </c>
      <c r="J30" s="3" t="s">
        <v>87</v>
      </c>
      <c r="K30" s="3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>
        <v>0.41666666666666669</v>
      </c>
      <c r="AA30" s="16">
        <v>0.5</v>
      </c>
      <c r="AB30" s="16"/>
      <c r="AC30" s="16"/>
      <c r="AD30" s="16"/>
      <c r="AE30" s="16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11" t="s">
        <v>252</v>
      </c>
    </row>
    <row r="31" spans="1:52" ht="12.75" customHeight="1" x14ac:dyDescent="0.3">
      <c r="A31" s="6" t="s">
        <v>174</v>
      </c>
      <c r="B31" s="6" t="s">
        <v>96</v>
      </c>
      <c r="C31" s="7">
        <v>44044</v>
      </c>
      <c r="D31" s="7">
        <f>tbBasisRooster[[#This Row],[Einde indicatie ]]-56</f>
        <v>44161</v>
      </c>
      <c r="E31" s="7">
        <v>44217</v>
      </c>
      <c r="F31" s="6">
        <v>2</v>
      </c>
      <c r="G31" s="6" t="s">
        <v>39</v>
      </c>
      <c r="H31" s="6" t="s">
        <v>51</v>
      </c>
      <c r="I31" s="6" t="s">
        <v>46</v>
      </c>
      <c r="J31" s="6" t="s">
        <v>97</v>
      </c>
      <c r="K31" s="6"/>
      <c r="L31" s="17"/>
      <c r="M31" s="17"/>
      <c r="N31" s="17"/>
      <c r="O31" s="17"/>
      <c r="P31" s="17"/>
      <c r="Q31" s="17"/>
      <c r="R31" s="17"/>
      <c r="S31" s="17"/>
      <c r="T31" s="17">
        <v>0.72916666666666663</v>
      </c>
      <c r="U31" s="17">
        <v>0.8125</v>
      </c>
      <c r="V31" s="17">
        <v>0.72916666666666663</v>
      </c>
      <c r="W31" s="17">
        <v>0.8125</v>
      </c>
      <c r="X31" s="17"/>
      <c r="Y31" s="17"/>
      <c r="Z31" s="17"/>
      <c r="AA31" s="17"/>
      <c r="AB31" s="17"/>
      <c r="AC31" s="17"/>
      <c r="AD31" s="17"/>
      <c r="AE31" s="17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12" t="s">
        <v>252</v>
      </c>
    </row>
    <row r="32" spans="1:52" ht="12.75" customHeight="1" x14ac:dyDescent="0.3">
      <c r="A32" s="3" t="s">
        <v>175</v>
      </c>
      <c r="B32" s="3" t="s">
        <v>98</v>
      </c>
      <c r="C32" s="4">
        <v>43929</v>
      </c>
      <c r="D32" s="4">
        <f>tbBasisRooster[[#This Row],[Einde indicatie ]]- 56</f>
        <v>44237</v>
      </c>
      <c r="E32" s="4">
        <v>44293</v>
      </c>
      <c r="F32" s="3">
        <v>4</v>
      </c>
      <c r="G32" s="3" t="s">
        <v>39</v>
      </c>
      <c r="H32" s="3" t="s">
        <v>128</v>
      </c>
      <c r="I32" s="3" t="s">
        <v>46</v>
      </c>
      <c r="J32" s="3" t="s">
        <v>60</v>
      </c>
      <c r="K32" s="3"/>
      <c r="L32" s="16"/>
      <c r="M32" s="16"/>
      <c r="N32" s="16"/>
      <c r="O32" s="16"/>
      <c r="P32" s="16"/>
      <c r="Q32" s="16"/>
      <c r="R32" s="16"/>
      <c r="S32" s="16"/>
      <c r="T32" s="16">
        <v>0.66666666666666663</v>
      </c>
      <c r="U32" s="16">
        <v>0.75</v>
      </c>
      <c r="V32" s="16">
        <v>0.66666666666666663</v>
      </c>
      <c r="W32" s="16">
        <v>0.75</v>
      </c>
      <c r="X32" s="16"/>
      <c r="Y32" s="16"/>
      <c r="Z32" s="16"/>
      <c r="AA32" s="16"/>
      <c r="AB32" s="16"/>
      <c r="AC32" s="16"/>
      <c r="AD32" s="16"/>
      <c r="AE32" s="16"/>
      <c r="AF32" s="16">
        <v>0.4375</v>
      </c>
      <c r="AG32" s="16">
        <v>0.52083333333333337</v>
      </c>
      <c r="AH32" s="16">
        <v>0.4375</v>
      </c>
      <c r="AI32" s="16">
        <v>0.52083333333333337</v>
      </c>
      <c r="AJ32" s="16"/>
      <c r="AK32" s="16"/>
      <c r="AL32" s="16"/>
      <c r="AM32" s="16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11" t="s">
        <v>252</v>
      </c>
    </row>
    <row r="33" spans="1:52" ht="12.75" customHeight="1" x14ac:dyDescent="0.3">
      <c r="A33" s="3" t="s">
        <v>176</v>
      </c>
      <c r="B33" s="3" t="s">
        <v>100</v>
      </c>
      <c r="C33" s="4">
        <v>44144</v>
      </c>
      <c r="D33" s="4">
        <f>tbBasisRooster[[#This Row],[Einde indicatie ]]-56</f>
        <v>44238</v>
      </c>
      <c r="E33" s="4">
        <v>44294</v>
      </c>
      <c r="F33" s="3">
        <v>2</v>
      </c>
      <c r="G33" s="3" t="s">
        <v>77</v>
      </c>
      <c r="H33" s="3" t="s">
        <v>101</v>
      </c>
      <c r="I33" s="3" t="s">
        <v>102</v>
      </c>
      <c r="J33" s="3" t="s">
        <v>103</v>
      </c>
      <c r="K33" s="3"/>
      <c r="L33" s="16"/>
      <c r="M33" s="16"/>
      <c r="N33" s="16"/>
      <c r="O33" s="16"/>
      <c r="P33" s="16"/>
      <c r="Q33" s="16"/>
      <c r="R33" s="16"/>
      <c r="S33" s="16"/>
      <c r="T33" s="16">
        <v>0.45833333333333331</v>
      </c>
      <c r="U33" s="16">
        <v>0.54166666666666663</v>
      </c>
      <c r="V33" s="16">
        <v>0.54166666666666663</v>
      </c>
      <c r="W33" s="16">
        <v>0.625</v>
      </c>
      <c r="X33" s="16"/>
      <c r="Y33" s="16"/>
      <c r="Z33" s="16"/>
      <c r="AA33" s="16"/>
      <c r="AB33" s="16"/>
      <c r="AC33" s="16"/>
      <c r="AD33" s="16"/>
      <c r="AE33" s="16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11" t="s">
        <v>252</v>
      </c>
    </row>
    <row r="34" spans="1:52" ht="12.75" customHeight="1" x14ac:dyDescent="0.3">
      <c r="A34" s="6" t="s">
        <v>177</v>
      </c>
      <c r="B34" s="6" t="s">
        <v>104</v>
      </c>
      <c r="C34" s="7">
        <v>43671</v>
      </c>
      <c r="D34" s="7">
        <f>tbBasisRooster[[#This Row],[Einde indicatie ]]-56</f>
        <v>44164</v>
      </c>
      <c r="E34" s="7">
        <v>44220</v>
      </c>
      <c r="F34" s="6">
        <v>9</v>
      </c>
      <c r="G34" s="6" t="s">
        <v>74</v>
      </c>
      <c r="H34" s="5" t="s">
        <v>4</v>
      </c>
      <c r="I34" s="6" t="s">
        <v>102</v>
      </c>
      <c r="J34" s="6"/>
      <c r="K34" s="6"/>
      <c r="L34" s="17"/>
      <c r="M34" s="17"/>
      <c r="N34" s="17"/>
      <c r="O34" s="17"/>
      <c r="P34" s="17">
        <v>0.64583333333333337</v>
      </c>
      <c r="Q34" s="17">
        <v>0.72916666666666663</v>
      </c>
      <c r="R34" s="17">
        <v>0.64583333333333337</v>
      </c>
      <c r="S34" s="17">
        <v>0.72916666666666663</v>
      </c>
      <c r="T34" s="17"/>
      <c r="U34" s="17"/>
      <c r="V34" s="17"/>
      <c r="W34" s="17"/>
      <c r="X34" s="17"/>
      <c r="Y34" s="17"/>
      <c r="Z34" s="17"/>
      <c r="AA34" s="17"/>
      <c r="AB34" s="17">
        <v>0.54166666666666663</v>
      </c>
      <c r="AC34" s="17">
        <v>0.625</v>
      </c>
      <c r="AD34" s="17">
        <v>0.625</v>
      </c>
      <c r="AE34" s="17">
        <v>0.70833333333333337</v>
      </c>
      <c r="AF34" s="6"/>
      <c r="AG34" s="6"/>
      <c r="AH34" s="6"/>
      <c r="AI34" s="6"/>
      <c r="AJ34" s="17"/>
      <c r="AK34" s="17"/>
      <c r="AL34" s="17"/>
      <c r="AM34" s="17"/>
      <c r="AN34" s="17">
        <v>0.54166666666666663</v>
      </c>
      <c r="AO34" s="17">
        <v>0.625</v>
      </c>
      <c r="AP34" s="17">
        <v>0.625</v>
      </c>
      <c r="AQ34" s="17">
        <v>0.70833333333333337</v>
      </c>
      <c r="AR34" s="6"/>
      <c r="AS34" s="6"/>
      <c r="AT34" s="6"/>
      <c r="AU34" s="6"/>
      <c r="AV34" s="6"/>
      <c r="AW34" s="6"/>
      <c r="AX34" s="17"/>
      <c r="AY34" s="17"/>
      <c r="AZ34" s="12" t="s">
        <v>252</v>
      </c>
    </row>
    <row r="35" spans="1:52" ht="12.75" customHeight="1" x14ac:dyDescent="0.3">
      <c r="A35" s="3" t="s">
        <v>178</v>
      </c>
      <c r="B35" s="3" t="s">
        <v>105</v>
      </c>
      <c r="C35" s="4">
        <v>44148</v>
      </c>
      <c r="D35" s="4">
        <f>tbBasisRooster[[#This Row],[Einde indicatie ]]-56</f>
        <v>44456</v>
      </c>
      <c r="E35" s="4">
        <v>44512</v>
      </c>
      <c r="F35" s="3">
        <v>3</v>
      </c>
      <c r="G35" s="3" t="s">
        <v>43</v>
      </c>
      <c r="H35" s="3" t="s">
        <v>5</v>
      </c>
      <c r="I35" s="3" t="s">
        <v>102</v>
      </c>
      <c r="J35" s="3" t="s">
        <v>4</v>
      </c>
      <c r="K35" s="3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>
        <v>0.58333333333333337</v>
      </c>
      <c r="AA35" s="16">
        <v>0.66666666666666663</v>
      </c>
      <c r="AB35" s="16"/>
      <c r="AC35" s="16"/>
      <c r="AD35" s="16"/>
      <c r="AE35" s="16"/>
      <c r="AF35" s="3"/>
      <c r="AG35" s="3"/>
      <c r="AH35" s="3"/>
      <c r="AI35" s="3"/>
      <c r="AJ35" s="3"/>
      <c r="AK35" s="3"/>
      <c r="AL35" s="3"/>
      <c r="AM35" s="3"/>
      <c r="AN35" s="16">
        <v>0.625</v>
      </c>
      <c r="AO35" s="16">
        <v>0.70833333333333337</v>
      </c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11" t="s">
        <v>252</v>
      </c>
    </row>
    <row r="36" spans="1:52" ht="12.75" customHeight="1" x14ac:dyDescent="0.3">
      <c r="A36" s="3" t="s">
        <v>179</v>
      </c>
      <c r="B36" s="3" t="s">
        <v>106</v>
      </c>
      <c r="C36" s="4">
        <v>44109</v>
      </c>
      <c r="D36" s="4">
        <f>tbBasisRooster[[#This Row],[Einde indicatie ]]-56</f>
        <v>44417</v>
      </c>
      <c r="E36" s="4">
        <v>44473</v>
      </c>
      <c r="F36" s="3">
        <v>2</v>
      </c>
      <c r="G36" s="3" t="s">
        <v>39</v>
      </c>
      <c r="H36" s="3" t="s">
        <v>40</v>
      </c>
      <c r="I36" s="3" t="s">
        <v>107</v>
      </c>
      <c r="J36" s="3" t="s">
        <v>60</v>
      </c>
      <c r="K36" s="3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>
        <v>0.625</v>
      </c>
      <c r="AC36" s="16">
        <v>0.70833333333333337</v>
      </c>
      <c r="AD36" s="16"/>
      <c r="AE36" s="16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16">
        <v>0.5625</v>
      </c>
      <c r="AY36" s="16">
        <v>0.64583333333333337</v>
      </c>
      <c r="AZ36" s="11" t="s">
        <v>252</v>
      </c>
    </row>
    <row r="37" spans="1:52" ht="12.75" customHeight="1" x14ac:dyDescent="0.3">
      <c r="A37" s="3" t="s">
        <v>180</v>
      </c>
      <c r="B37" s="3" t="s">
        <v>108</v>
      </c>
      <c r="C37" s="4">
        <v>44166</v>
      </c>
      <c r="D37" s="4">
        <f>tbBasisRooster[[#This Row],[Einde indicatie ]]-56</f>
        <v>44474</v>
      </c>
      <c r="E37" s="4">
        <v>44530</v>
      </c>
      <c r="F37" s="3">
        <v>3</v>
      </c>
      <c r="G37" s="3" t="s">
        <v>39</v>
      </c>
      <c r="H37" s="3" t="s">
        <v>44</v>
      </c>
      <c r="I37" s="3" t="s">
        <v>107</v>
      </c>
      <c r="J37" s="3" t="s">
        <v>66</v>
      </c>
      <c r="K37" s="3"/>
      <c r="L37" s="16"/>
      <c r="M37" s="16"/>
      <c r="N37" s="16"/>
      <c r="O37" s="16"/>
      <c r="P37" s="16"/>
      <c r="Q37" s="16"/>
      <c r="R37" s="16"/>
      <c r="S37" s="16"/>
      <c r="T37" s="16">
        <v>0.4375</v>
      </c>
      <c r="U37" s="16">
        <v>0.52083333333333337</v>
      </c>
      <c r="V37" s="16">
        <v>0.4375</v>
      </c>
      <c r="W37" s="16">
        <v>0.52083333333333337</v>
      </c>
      <c r="X37" s="16"/>
      <c r="Y37" s="16"/>
      <c r="Z37" s="16"/>
      <c r="AA37" s="16"/>
      <c r="AB37" s="16"/>
      <c r="AC37" s="16"/>
      <c r="AD37" s="16"/>
      <c r="AE37" s="16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11" t="s">
        <v>252</v>
      </c>
    </row>
    <row r="38" spans="1:52" ht="12.75" customHeight="1" x14ac:dyDescent="0.3">
      <c r="A38" s="6" t="s">
        <v>181</v>
      </c>
      <c r="B38" s="6" t="s">
        <v>109</v>
      </c>
      <c r="C38" s="7">
        <v>43874</v>
      </c>
      <c r="D38" s="7">
        <f>tbBasisRooster[[#This Row],[Einde indicatie ]]-56</f>
        <v>44161</v>
      </c>
      <c r="E38" s="7">
        <v>44217</v>
      </c>
      <c r="F38" s="6">
        <v>3</v>
      </c>
      <c r="G38" s="6" t="s">
        <v>43</v>
      </c>
      <c r="H38" s="6" t="s">
        <v>9</v>
      </c>
      <c r="I38" s="6" t="s">
        <v>107</v>
      </c>
      <c r="J38" s="6"/>
      <c r="K38" s="6"/>
      <c r="L38" s="17">
        <v>0.54166666666666663</v>
      </c>
      <c r="M38" s="17">
        <v>0.625</v>
      </c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17">
        <v>0.47916666666666669</v>
      </c>
      <c r="AY38" s="17">
        <v>0.5625</v>
      </c>
      <c r="AZ38" s="12" t="s">
        <v>252</v>
      </c>
    </row>
    <row r="39" spans="1:52" ht="12.75" customHeight="1" x14ac:dyDescent="0.3">
      <c r="A39" s="3" t="s">
        <v>182</v>
      </c>
      <c r="B39" s="3" t="s">
        <v>110</v>
      </c>
      <c r="C39" s="4">
        <v>44167</v>
      </c>
      <c r="D39" s="4">
        <f>tbBasisRooster[[#This Row],[Einde indicatie ]]-56</f>
        <v>44475</v>
      </c>
      <c r="E39" s="4">
        <v>44531</v>
      </c>
      <c r="F39" s="3">
        <v>3</v>
      </c>
      <c r="G39" s="3" t="s">
        <v>39</v>
      </c>
      <c r="H39" s="3" t="s">
        <v>51</v>
      </c>
      <c r="I39" s="3" t="s">
        <v>107</v>
      </c>
      <c r="J39" s="3" t="s">
        <v>60</v>
      </c>
      <c r="K39" s="3"/>
      <c r="L39" s="16"/>
      <c r="M39" s="16"/>
      <c r="N39" s="16"/>
      <c r="O39" s="16"/>
      <c r="P39" s="16">
        <v>0.66666666666666663</v>
      </c>
      <c r="Q39" s="16">
        <v>0.72916666666666663</v>
      </c>
      <c r="R39" s="16">
        <v>0.66666666666666663</v>
      </c>
      <c r="S39" s="16">
        <v>0.72916666666666663</v>
      </c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16">
        <v>0.47916666666666669</v>
      </c>
      <c r="AW39" s="16">
        <v>0.54166666666666663</v>
      </c>
      <c r="AX39" s="16">
        <v>0.41666666666666669</v>
      </c>
      <c r="AY39" s="16">
        <v>0.47916666666666669</v>
      </c>
      <c r="AZ39" s="11" t="s">
        <v>252</v>
      </c>
    </row>
    <row r="40" spans="1:52" ht="12.75" customHeight="1" x14ac:dyDescent="0.3">
      <c r="A40" s="6" t="s">
        <v>205</v>
      </c>
      <c r="B40" s="6" t="s">
        <v>111</v>
      </c>
      <c r="C40" s="7">
        <v>44166</v>
      </c>
      <c r="D40" s="7">
        <f>tbBasisRooster[[#This Row],[Einde indicatie ]]-56</f>
        <v>44199</v>
      </c>
      <c r="E40" s="7">
        <v>44255</v>
      </c>
      <c r="F40" s="6">
        <v>10</v>
      </c>
      <c r="G40" s="6" t="s">
        <v>43</v>
      </c>
      <c r="H40" s="6" t="s">
        <v>40</v>
      </c>
      <c r="I40" s="5" t="s">
        <v>4</v>
      </c>
      <c r="J40" s="6" t="s">
        <v>112</v>
      </c>
      <c r="K40" s="6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>
        <v>0.5</v>
      </c>
      <c r="Y40" s="17">
        <v>0.66666666666666663</v>
      </c>
      <c r="Z40" s="17">
        <v>0.5</v>
      </c>
      <c r="AA40" s="17">
        <v>0.66666666666666663</v>
      </c>
      <c r="AB40" s="17"/>
      <c r="AC40" s="17"/>
      <c r="AD40" s="17"/>
      <c r="AE40" s="17"/>
      <c r="AF40" s="17"/>
      <c r="AG40" s="17"/>
      <c r="AH40" s="17"/>
      <c r="AI40" s="17"/>
      <c r="AJ40" s="17">
        <v>0.5</v>
      </c>
      <c r="AK40" s="17">
        <v>0.64583333333333337</v>
      </c>
      <c r="AL40" s="17">
        <v>0.5</v>
      </c>
      <c r="AM40" s="17">
        <v>0.64583333333333337</v>
      </c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12" t="s">
        <v>252</v>
      </c>
    </row>
    <row r="41" spans="1:52" ht="12.75" customHeight="1" x14ac:dyDescent="0.3">
      <c r="A41" s="6" t="s">
        <v>183</v>
      </c>
      <c r="B41" s="6" t="s">
        <v>113</v>
      </c>
      <c r="C41" s="7">
        <v>43851</v>
      </c>
      <c r="D41" s="7">
        <v>44160</v>
      </c>
      <c r="E41" s="7">
        <v>44216</v>
      </c>
      <c r="F41" s="6">
        <v>3</v>
      </c>
      <c r="G41" s="6" t="s">
        <v>43</v>
      </c>
      <c r="H41" s="6" t="s">
        <v>9</v>
      </c>
      <c r="I41" s="5" t="s">
        <v>4</v>
      </c>
      <c r="J41" s="6" t="s">
        <v>49</v>
      </c>
      <c r="K41" s="6"/>
      <c r="L41" s="17"/>
      <c r="M41" s="17"/>
      <c r="N41" s="17"/>
      <c r="O41" s="17"/>
      <c r="P41" s="17"/>
      <c r="Q41" s="17"/>
      <c r="R41" s="17"/>
      <c r="S41" s="17"/>
      <c r="T41" s="17">
        <v>0.54166666666666663</v>
      </c>
      <c r="U41" s="17">
        <v>0.625</v>
      </c>
      <c r="V41" s="17">
        <v>0.54166666666666663</v>
      </c>
      <c r="W41" s="17">
        <v>0.625</v>
      </c>
      <c r="X41" s="17"/>
      <c r="Y41" s="17"/>
      <c r="Z41" s="17"/>
      <c r="AA41" s="17"/>
      <c r="AB41" s="17"/>
      <c r="AC41" s="17"/>
      <c r="AD41" s="17"/>
      <c r="AE41" s="17"/>
      <c r="AF41" s="17">
        <v>0.5625</v>
      </c>
      <c r="AG41" s="17">
        <v>0.64583333333333337</v>
      </c>
      <c r="AH41" s="17">
        <v>0.5625</v>
      </c>
      <c r="AI41" s="17">
        <v>0.64583333333333337</v>
      </c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12" t="s">
        <v>252</v>
      </c>
    </row>
    <row r="42" spans="1:52" ht="12.75" customHeight="1" x14ac:dyDescent="0.3">
      <c r="A42" s="3" t="s">
        <v>184</v>
      </c>
      <c r="B42" s="3" t="s">
        <v>114</v>
      </c>
      <c r="C42" s="4">
        <v>44075</v>
      </c>
      <c r="D42" s="4">
        <f>tbBasisRooster[[#This Row],[Einde indicatie ]]-56</f>
        <v>44383</v>
      </c>
      <c r="E42" s="4">
        <v>44439</v>
      </c>
      <c r="F42" s="3">
        <v>3</v>
      </c>
      <c r="G42" s="3" t="s">
        <v>43</v>
      </c>
      <c r="H42" s="3" t="s">
        <v>9</v>
      </c>
      <c r="I42" s="5" t="s">
        <v>4</v>
      </c>
      <c r="J42" s="3" t="s">
        <v>49</v>
      </c>
      <c r="K42" s="3" t="s">
        <v>115</v>
      </c>
      <c r="L42" s="16">
        <v>0.625</v>
      </c>
      <c r="M42" s="16">
        <v>0.75</v>
      </c>
      <c r="N42" s="16">
        <v>0.625</v>
      </c>
      <c r="O42" s="16">
        <v>0.75</v>
      </c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11" t="s">
        <v>252</v>
      </c>
    </row>
    <row r="43" spans="1:52" ht="12.75" customHeight="1" x14ac:dyDescent="0.3">
      <c r="A43" s="6" t="s">
        <v>185</v>
      </c>
      <c r="B43" s="6" t="s">
        <v>116</v>
      </c>
      <c r="C43" s="7">
        <v>43891</v>
      </c>
      <c r="D43" s="7">
        <f>tbBasisRooster[[#This Row],[Einde indicatie ]]-56</f>
        <v>44199</v>
      </c>
      <c r="E43" s="7">
        <v>44255</v>
      </c>
      <c r="F43" s="6">
        <v>4</v>
      </c>
      <c r="G43" s="6" t="s">
        <v>43</v>
      </c>
      <c r="H43" s="6" t="s">
        <v>6</v>
      </c>
      <c r="I43" s="5" t="s">
        <v>78</v>
      </c>
      <c r="J43" s="6"/>
      <c r="K43" s="6" t="s">
        <v>117</v>
      </c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>
        <v>0.625</v>
      </c>
      <c r="Y43" s="17">
        <v>0.70833333333333337</v>
      </c>
      <c r="Z43" s="17">
        <v>0.625</v>
      </c>
      <c r="AA43" s="17">
        <v>0.70833333333333337</v>
      </c>
      <c r="AB43" s="17">
        <v>0.54166666666666663</v>
      </c>
      <c r="AC43" s="17">
        <v>0.625</v>
      </c>
      <c r="AD43" s="17"/>
      <c r="AE43" s="17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17"/>
      <c r="AS43" s="17"/>
      <c r="AT43" s="6"/>
      <c r="AU43" s="6"/>
      <c r="AV43" s="6"/>
      <c r="AW43" s="6"/>
      <c r="AX43" s="6"/>
      <c r="AY43" s="6"/>
      <c r="AZ43" s="12" t="s">
        <v>252</v>
      </c>
    </row>
    <row r="44" spans="1:52" ht="12.75" customHeight="1" x14ac:dyDescent="0.3">
      <c r="A44" s="3" t="s">
        <v>186</v>
      </c>
      <c r="B44" s="3" t="s">
        <v>118</v>
      </c>
      <c r="C44" s="4">
        <v>44126</v>
      </c>
      <c r="D44" s="4">
        <f>tbBasisRooster[[#This Row],[Einde indicatie ]]-56</f>
        <v>44436</v>
      </c>
      <c r="E44" s="4">
        <v>44492</v>
      </c>
      <c r="F44" s="3">
        <v>3</v>
      </c>
      <c r="G44" s="3" t="s">
        <v>39</v>
      </c>
      <c r="H44" s="3" t="s">
        <v>6</v>
      </c>
      <c r="I44" s="3" t="s">
        <v>9</v>
      </c>
      <c r="J44" s="3" t="s">
        <v>66</v>
      </c>
      <c r="K44" s="3"/>
      <c r="L44" s="16">
        <v>0.64583333333333337</v>
      </c>
      <c r="M44" s="16">
        <v>0.70833333333333337</v>
      </c>
      <c r="N44" s="16">
        <v>0.64583333333333337</v>
      </c>
      <c r="O44" s="16">
        <v>0.70833333333333337</v>
      </c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>
        <v>0.39583333333333331</v>
      </c>
      <c r="AC44" s="16">
        <v>0.45833333333333331</v>
      </c>
      <c r="AD44" s="16">
        <v>0.45833333333333331</v>
      </c>
      <c r="AE44" s="16">
        <v>0.52083333333333337</v>
      </c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11" t="s">
        <v>252</v>
      </c>
    </row>
    <row r="45" spans="1:52" ht="12.75" customHeight="1" x14ac:dyDescent="0.3">
      <c r="A45" s="3" t="s">
        <v>187</v>
      </c>
      <c r="B45" s="3" t="s">
        <v>119</v>
      </c>
      <c r="C45" s="4">
        <v>43994</v>
      </c>
      <c r="D45" s="4">
        <f>tbBasisRooster[[#This Row],[Einde indicatie ]]-56</f>
        <v>44667</v>
      </c>
      <c r="E45" s="4">
        <v>44723</v>
      </c>
      <c r="F45" s="3">
        <v>3</v>
      </c>
      <c r="G45" s="3" t="s">
        <v>77</v>
      </c>
      <c r="H45" s="3" t="s">
        <v>44</v>
      </c>
      <c r="I45" s="3" t="s">
        <v>9</v>
      </c>
      <c r="J45" s="3" t="s">
        <v>61</v>
      </c>
      <c r="K45" s="3"/>
      <c r="L45" s="16"/>
      <c r="M45" s="16"/>
      <c r="N45" s="16"/>
      <c r="O45" s="16"/>
      <c r="P45" s="16">
        <v>0.70833333333333337</v>
      </c>
      <c r="Q45" s="16">
        <v>0.77083333333333337</v>
      </c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3"/>
      <c r="AG45" s="3"/>
      <c r="AH45" s="3"/>
      <c r="AI45" s="3"/>
      <c r="AJ45" s="3"/>
      <c r="AK45" s="3"/>
      <c r="AL45" s="16">
        <v>0.70833333333333337</v>
      </c>
      <c r="AM45" s="16">
        <v>0.77083333333333337</v>
      </c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11" t="s">
        <v>252</v>
      </c>
    </row>
    <row r="46" spans="1:52" ht="12.75" customHeight="1" x14ac:dyDescent="0.3">
      <c r="A46" s="3" t="s">
        <v>188</v>
      </c>
      <c r="B46" s="3" t="s">
        <v>120</v>
      </c>
      <c r="C46" s="4">
        <v>44075</v>
      </c>
      <c r="D46" s="4">
        <f>tbBasisRooster[[#This Row],[Einde indicatie ]]-56</f>
        <v>44383</v>
      </c>
      <c r="E46" s="4">
        <v>44439</v>
      </c>
      <c r="F46" s="3">
        <v>3</v>
      </c>
      <c r="G46" s="3" t="s">
        <v>39</v>
      </c>
      <c r="H46" s="3" t="s">
        <v>11</v>
      </c>
      <c r="I46" s="3" t="s">
        <v>10</v>
      </c>
      <c r="J46" s="3" t="s">
        <v>60</v>
      </c>
      <c r="K46" s="3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>
        <v>0.54166666666666663</v>
      </c>
      <c r="AC46" s="16">
        <v>0.625</v>
      </c>
      <c r="AD46" s="16"/>
      <c r="AE46" s="16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16">
        <v>0.5</v>
      </c>
      <c r="AY46" s="16">
        <v>0.58333333333333337</v>
      </c>
      <c r="AZ46" s="11" t="s">
        <v>252</v>
      </c>
    </row>
    <row r="47" spans="1:52" ht="12.75" customHeight="1" x14ac:dyDescent="0.3">
      <c r="A47" s="3" t="s">
        <v>189</v>
      </c>
      <c r="B47" s="3" t="s">
        <v>121</v>
      </c>
      <c r="C47" s="4">
        <v>43920</v>
      </c>
      <c r="D47" s="4">
        <f>tbBasisRooster[[#This Row],[Einde indicatie ]]-56</f>
        <v>44228</v>
      </c>
      <c r="E47" s="4">
        <v>44284</v>
      </c>
      <c r="F47" s="3">
        <v>6</v>
      </c>
      <c r="G47" s="3" t="s">
        <v>43</v>
      </c>
      <c r="H47" s="3" t="s">
        <v>11</v>
      </c>
      <c r="I47" s="3" t="s">
        <v>10</v>
      </c>
      <c r="J47" s="3" t="s">
        <v>49</v>
      </c>
      <c r="K47" s="3"/>
      <c r="L47" s="16"/>
      <c r="M47" s="16"/>
      <c r="N47" s="16"/>
      <c r="O47" s="16"/>
      <c r="P47" s="16"/>
      <c r="Q47" s="16"/>
      <c r="R47" s="16"/>
      <c r="S47" s="16"/>
      <c r="T47" s="16">
        <v>0.625</v>
      </c>
      <c r="U47" s="16">
        <v>0.77083333333333337</v>
      </c>
      <c r="V47" s="16">
        <v>0.625</v>
      </c>
      <c r="W47" s="16">
        <v>0.77083333333333337</v>
      </c>
      <c r="X47" s="16"/>
      <c r="Y47" s="16"/>
      <c r="Z47" s="16"/>
      <c r="AA47" s="16"/>
      <c r="AB47" s="16"/>
      <c r="AC47" s="16"/>
      <c r="AD47" s="16"/>
      <c r="AE47" s="16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11" t="s">
        <v>252</v>
      </c>
    </row>
    <row r="48" spans="1:52" ht="12.75" customHeight="1" x14ac:dyDescent="0.3">
      <c r="A48" s="3" t="s">
        <v>190</v>
      </c>
      <c r="B48" s="3" t="s">
        <v>122</v>
      </c>
      <c r="C48" s="4">
        <v>44049</v>
      </c>
      <c r="D48" s="4">
        <f>tbBasisRooster[[#This Row],[Einde indicatie ]]-56</f>
        <v>44357</v>
      </c>
      <c r="E48" s="4">
        <v>44413</v>
      </c>
      <c r="F48" s="3">
        <v>2</v>
      </c>
      <c r="G48" s="3" t="s">
        <v>39</v>
      </c>
      <c r="H48" s="3" t="s">
        <v>8</v>
      </c>
      <c r="I48" s="3" t="s">
        <v>4</v>
      </c>
      <c r="J48" s="3" t="s">
        <v>58</v>
      </c>
      <c r="K48" s="3"/>
      <c r="L48" s="16"/>
      <c r="M48" s="16"/>
      <c r="N48" s="16"/>
      <c r="O48" s="16"/>
      <c r="P48" s="16">
        <v>0.375</v>
      </c>
      <c r="Q48" s="16">
        <v>0.45833333333333331</v>
      </c>
      <c r="R48" s="16">
        <v>0.5</v>
      </c>
      <c r="S48" s="16">
        <v>0.58333333333333337</v>
      </c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16">
        <v>0.45833333333333331</v>
      </c>
      <c r="AS48" s="16">
        <v>0.54166666666666663</v>
      </c>
      <c r="AT48" s="16">
        <v>0.45833333333333331</v>
      </c>
      <c r="AU48" s="16">
        <v>0.54166666666666663</v>
      </c>
      <c r="AV48" s="3"/>
      <c r="AW48" s="3"/>
      <c r="AX48" s="3"/>
      <c r="AY48" s="3"/>
      <c r="AZ48" s="11" t="s">
        <v>252</v>
      </c>
    </row>
    <row r="49" spans="1:52" ht="12.75" customHeight="1" x14ac:dyDescent="0.3">
      <c r="A49" s="3" t="s">
        <v>191</v>
      </c>
      <c r="B49" s="3" t="s">
        <v>7</v>
      </c>
      <c r="C49" s="4">
        <v>44160</v>
      </c>
      <c r="D49" s="4">
        <f>tbBasisRooster[[#This Row],[Einde indicatie ]]-56</f>
        <v>44468</v>
      </c>
      <c r="E49" s="4">
        <v>44524</v>
      </c>
      <c r="F49" s="3">
        <v>4</v>
      </c>
      <c r="G49" s="3" t="s">
        <v>43</v>
      </c>
      <c r="H49" s="3" t="s">
        <v>107</v>
      </c>
      <c r="I49" s="3" t="s">
        <v>10</v>
      </c>
      <c r="J49" s="3"/>
      <c r="K49" s="3"/>
      <c r="L49" s="16"/>
      <c r="M49" s="16"/>
      <c r="N49" s="16"/>
      <c r="O49" s="16"/>
      <c r="P49" s="16">
        <v>0.58333333333333337</v>
      </c>
      <c r="Q49" s="16">
        <v>0.66666666666666663</v>
      </c>
      <c r="R49" s="16">
        <v>0.58333333333333337</v>
      </c>
      <c r="S49" s="16">
        <v>0.66666666666666663</v>
      </c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16">
        <v>0.5625</v>
      </c>
      <c r="AS49" s="16">
        <v>0.64583333333333337</v>
      </c>
      <c r="AT49" s="16">
        <v>0.5625</v>
      </c>
      <c r="AU49" s="16">
        <v>0.64583333333333337</v>
      </c>
      <c r="AV49" s="3"/>
      <c r="AW49" s="3"/>
      <c r="AX49" s="3"/>
      <c r="AY49" s="3"/>
      <c r="AZ49" s="11" t="s">
        <v>252</v>
      </c>
    </row>
    <row r="50" spans="1:52" ht="12.75" customHeight="1" x14ac:dyDescent="0.3">
      <c r="A50" s="3" t="s">
        <v>192</v>
      </c>
      <c r="B50" s="3" t="s">
        <v>123</v>
      </c>
      <c r="C50" s="4">
        <v>44211</v>
      </c>
      <c r="D50" s="4">
        <f>tbBasisRooster[[#This Row],[Einde indicatie ]]-56</f>
        <v>44519</v>
      </c>
      <c r="E50" s="4">
        <v>44575</v>
      </c>
      <c r="F50" s="3">
        <v>3</v>
      </c>
      <c r="G50" s="3" t="s">
        <v>39</v>
      </c>
      <c r="H50" s="3" t="s">
        <v>107</v>
      </c>
      <c r="I50" s="3" t="s">
        <v>10</v>
      </c>
      <c r="J50" s="3" t="s">
        <v>41</v>
      </c>
      <c r="K50" s="3"/>
      <c r="L50" s="16"/>
      <c r="M50" s="16"/>
      <c r="N50" s="16"/>
      <c r="O50" s="16"/>
      <c r="P50" s="16"/>
      <c r="Q50" s="16"/>
      <c r="R50" s="16"/>
      <c r="S50" s="16"/>
      <c r="T50" s="16">
        <v>0.45833333333333331</v>
      </c>
      <c r="U50" s="16">
        <v>0.58333333333333337</v>
      </c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3"/>
      <c r="AG50" s="3"/>
      <c r="AH50" s="16">
        <v>0.41666666666666669</v>
      </c>
      <c r="AI50" s="16">
        <v>0.54166666666666663</v>
      </c>
      <c r="AJ50" s="3"/>
      <c r="AK50" s="3"/>
      <c r="AL50" s="16"/>
      <c r="AM50" s="16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11" t="s">
        <v>252</v>
      </c>
    </row>
    <row r="51" spans="1:52" ht="12.75" customHeight="1" x14ac:dyDescent="0.3">
      <c r="A51" s="3" t="s">
        <v>193</v>
      </c>
      <c r="B51" s="3" t="s">
        <v>124</v>
      </c>
      <c r="C51" s="4">
        <v>43566</v>
      </c>
      <c r="D51" s="4">
        <f>tbBasisRooster[[#This Row],[Einde indicatie ]]-56</f>
        <v>44240</v>
      </c>
      <c r="E51" s="4">
        <v>44296</v>
      </c>
      <c r="F51" s="3">
        <v>4</v>
      </c>
      <c r="G51" s="3" t="s">
        <v>39</v>
      </c>
      <c r="H51" s="5" t="s">
        <v>4</v>
      </c>
      <c r="I51" s="3" t="s">
        <v>10</v>
      </c>
      <c r="J51" s="3" t="s">
        <v>61</v>
      </c>
      <c r="K51" s="3"/>
      <c r="L51" s="16">
        <v>0.47916666666666669</v>
      </c>
      <c r="M51" s="16">
        <v>0.5625</v>
      </c>
      <c r="N51" s="16">
        <v>0.47916666666666669</v>
      </c>
      <c r="O51" s="16">
        <v>0.5625</v>
      </c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3"/>
      <c r="AG51" s="3"/>
      <c r="AH51" s="3"/>
      <c r="AI51" s="3"/>
      <c r="AJ51" s="16"/>
      <c r="AK51" s="16"/>
      <c r="AL51" s="16"/>
      <c r="AM51" s="16"/>
      <c r="AN51" s="3"/>
      <c r="AO51" s="3"/>
      <c r="AP51" s="3"/>
      <c r="AQ51" s="3"/>
      <c r="AR51" s="16">
        <v>0.64583333333333337</v>
      </c>
      <c r="AS51" s="16">
        <v>0.72916666666666663</v>
      </c>
      <c r="AT51" s="16">
        <v>0.64583333333333337</v>
      </c>
      <c r="AU51" s="16">
        <v>0.72916666666666663</v>
      </c>
      <c r="AV51" s="3"/>
      <c r="AW51" s="3"/>
      <c r="AX51" s="3"/>
      <c r="AY51" s="3"/>
      <c r="AZ51" s="11" t="s">
        <v>252</v>
      </c>
    </row>
    <row r="52" spans="1:52" ht="12.75" customHeight="1" x14ac:dyDescent="0.3">
      <c r="A52" s="3" t="s">
        <v>194</v>
      </c>
      <c r="B52" s="3" t="s">
        <v>125</v>
      </c>
      <c r="C52" s="4">
        <v>43927</v>
      </c>
      <c r="D52" s="4">
        <f>tbBasisRooster[[#This Row],[Einde indicatie ]]-56</f>
        <v>44235</v>
      </c>
      <c r="E52" s="4">
        <v>44291</v>
      </c>
      <c r="F52" s="3">
        <v>3</v>
      </c>
      <c r="G52" s="3" t="s">
        <v>43</v>
      </c>
      <c r="H52" s="3" t="s">
        <v>9</v>
      </c>
      <c r="I52" s="3" t="s">
        <v>10</v>
      </c>
      <c r="J52" s="3" t="s">
        <v>126</v>
      </c>
      <c r="K52" s="3"/>
      <c r="L52" s="16"/>
      <c r="M52" s="16"/>
      <c r="N52" s="16"/>
      <c r="O52" s="16"/>
      <c r="P52" s="16">
        <v>0.66666666666666663</v>
      </c>
      <c r="Q52" s="16">
        <v>0.75</v>
      </c>
      <c r="R52" s="16">
        <v>0.625</v>
      </c>
      <c r="S52" s="16">
        <v>0.70833333333333337</v>
      </c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11" t="s">
        <v>252</v>
      </c>
    </row>
    <row r="53" spans="1:52" ht="12.75" customHeight="1" x14ac:dyDescent="0.3">
      <c r="A53" s="3" t="s">
        <v>195</v>
      </c>
      <c r="B53" s="3" t="s">
        <v>127</v>
      </c>
      <c r="C53" s="4">
        <v>43891</v>
      </c>
      <c r="D53" s="4">
        <f>tbBasisRooster[[#This Row],[Einde indicatie ]]-56</f>
        <v>44564</v>
      </c>
      <c r="E53" s="4">
        <v>44620</v>
      </c>
      <c r="F53" s="3">
        <v>4</v>
      </c>
      <c r="G53" s="3" t="s">
        <v>72</v>
      </c>
      <c r="H53" s="3" t="s">
        <v>5</v>
      </c>
      <c r="I53" s="3" t="s">
        <v>11</v>
      </c>
      <c r="J53" s="3" t="s">
        <v>66</v>
      </c>
      <c r="K53" s="3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>
        <v>0.58333333333333337</v>
      </c>
      <c r="Y53" s="16">
        <v>0.66666666666666663</v>
      </c>
      <c r="Z53" s="16">
        <v>0.5</v>
      </c>
      <c r="AA53" s="16">
        <v>0.58333333333333337</v>
      </c>
      <c r="AB53" s="16"/>
      <c r="AC53" s="16"/>
      <c r="AD53" s="16"/>
      <c r="AE53" s="16"/>
      <c r="AF53" s="16">
        <v>0.54166666666666663</v>
      </c>
      <c r="AG53" s="16">
        <v>0.625</v>
      </c>
      <c r="AH53" s="16">
        <v>0.54166666666666663</v>
      </c>
      <c r="AI53" s="16">
        <v>0.625</v>
      </c>
      <c r="AJ53" s="3"/>
      <c r="AK53" s="3"/>
      <c r="AL53" s="16"/>
      <c r="AM53" s="16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11" t="s">
        <v>252</v>
      </c>
    </row>
    <row r="54" spans="1:52" ht="12.75" customHeight="1" x14ac:dyDescent="0.3">
      <c r="A54" s="3" t="s">
        <v>196</v>
      </c>
      <c r="B54" s="3" t="s">
        <v>129</v>
      </c>
      <c r="C54" s="4">
        <v>44151</v>
      </c>
      <c r="D54" s="4">
        <f>tbBasisRooster[[#This Row],[Einde indicatie ]]-56</f>
        <v>44669</v>
      </c>
      <c r="E54" s="4">
        <v>44725</v>
      </c>
      <c r="F54" s="3">
        <v>3</v>
      </c>
      <c r="G54" s="3" t="s">
        <v>74</v>
      </c>
      <c r="H54" s="3" t="s">
        <v>2</v>
      </c>
      <c r="I54" s="3" t="s">
        <v>128</v>
      </c>
      <c r="J54" s="3" t="s">
        <v>61</v>
      </c>
      <c r="K54" s="3"/>
      <c r="L54" s="16"/>
      <c r="M54" s="16"/>
      <c r="N54" s="16"/>
      <c r="O54" s="16"/>
      <c r="P54" s="16"/>
      <c r="Q54" s="16"/>
      <c r="R54" s="16"/>
      <c r="S54" s="16"/>
      <c r="T54" s="16">
        <v>0.54166666666666663</v>
      </c>
      <c r="U54" s="16">
        <v>0.66666666666666663</v>
      </c>
      <c r="V54" s="16">
        <v>0.54166666666666663</v>
      </c>
      <c r="W54" s="16">
        <v>0.66666666666666663</v>
      </c>
      <c r="X54" s="16"/>
      <c r="Y54" s="16"/>
      <c r="Z54" s="16"/>
      <c r="AA54" s="16"/>
      <c r="AB54" s="16"/>
      <c r="AC54" s="16"/>
      <c r="AD54" s="16"/>
      <c r="AE54" s="16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11" t="s">
        <v>252</v>
      </c>
    </row>
    <row r="55" spans="1:52" ht="12.75" customHeight="1" x14ac:dyDescent="0.3">
      <c r="A55" s="3" t="s">
        <v>197</v>
      </c>
      <c r="B55" s="3" t="s">
        <v>130</v>
      </c>
      <c r="C55" s="4">
        <v>44136</v>
      </c>
      <c r="D55" s="4">
        <f>tbBasisRooster[[#This Row],[Einde indicatie ]]- 56</f>
        <v>44444</v>
      </c>
      <c r="E55" s="4">
        <v>44500</v>
      </c>
      <c r="F55" s="3">
        <v>5</v>
      </c>
      <c r="G55" s="3" t="s">
        <v>43</v>
      </c>
      <c r="H55" s="3" t="s">
        <v>2</v>
      </c>
      <c r="I55" s="3" t="s">
        <v>128</v>
      </c>
      <c r="J55" s="3" t="s">
        <v>131</v>
      </c>
      <c r="K55" s="3"/>
      <c r="L55" s="16">
        <v>0.66666666666666663</v>
      </c>
      <c r="M55" s="16">
        <v>0.75</v>
      </c>
      <c r="N55" s="16">
        <v>0.66666666666666663</v>
      </c>
      <c r="O55" s="16">
        <v>0.75</v>
      </c>
      <c r="P55" s="16">
        <v>0.35416666666666669</v>
      </c>
      <c r="Q55" s="16">
        <v>0.39583333333333331</v>
      </c>
      <c r="R55" s="16">
        <v>0.35416666666666669</v>
      </c>
      <c r="S55" s="16">
        <v>0.39583333333333331</v>
      </c>
      <c r="T55" s="16"/>
      <c r="U55" s="16"/>
      <c r="V55" s="16"/>
      <c r="W55" s="16"/>
      <c r="X55" s="16">
        <v>0.35416666666666669</v>
      </c>
      <c r="Y55" s="16">
        <v>0.39583333333333331</v>
      </c>
      <c r="Z55" s="16">
        <v>0.35416666666666669</v>
      </c>
      <c r="AA55" s="16">
        <v>0.39583333333333331</v>
      </c>
      <c r="AB55" s="16"/>
      <c r="AC55" s="16"/>
      <c r="AD55" s="16"/>
      <c r="AE55" s="16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11" t="s">
        <v>252</v>
      </c>
    </row>
    <row r="56" spans="1:52" ht="12.75" customHeight="1" x14ac:dyDescent="0.3">
      <c r="A56" s="3" t="s">
        <v>198</v>
      </c>
      <c r="B56" s="3" t="s">
        <v>132</v>
      </c>
      <c r="C56" s="4">
        <v>44105</v>
      </c>
      <c r="D56" s="4">
        <f>tbBasisRooster[[#This Row],[Einde indicatie ]]-56</f>
        <v>44413</v>
      </c>
      <c r="E56" s="4">
        <v>44469</v>
      </c>
      <c r="F56" s="3">
        <v>4</v>
      </c>
      <c r="G56" s="3" t="s">
        <v>74</v>
      </c>
      <c r="H56" s="3" t="s">
        <v>2</v>
      </c>
      <c r="I56" s="3" t="s">
        <v>128</v>
      </c>
      <c r="J56" s="3" t="s">
        <v>103</v>
      </c>
      <c r="K56" s="3"/>
      <c r="L56" s="16"/>
      <c r="M56" s="16"/>
      <c r="N56" s="16"/>
      <c r="O56" s="16"/>
      <c r="P56" s="16">
        <v>0.39583333333333331</v>
      </c>
      <c r="Q56" s="16">
        <v>0.47916666666666669</v>
      </c>
      <c r="R56" s="16">
        <v>0.39583333333333331</v>
      </c>
      <c r="S56" s="16">
        <v>0.47916666666666669</v>
      </c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16">
        <v>0.375</v>
      </c>
      <c r="AS56" s="16">
        <v>0.45833333333333331</v>
      </c>
      <c r="AT56" s="16">
        <v>0.45833333333333331</v>
      </c>
      <c r="AU56" s="16">
        <v>0.54166666666666663</v>
      </c>
      <c r="AV56" s="3"/>
      <c r="AW56" s="3"/>
      <c r="AX56" s="3"/>
      <c r="AY56" s="3"/>
      <c r="AZ56" s="11" t="s">
        <v>252</v>
      </c>
    </row>
    <row r="57" spans="1:52" ht="12.75" customHeight="1" x14ac:dyDescent="0.3">
      <c r="A57" s="3" t="s">
        <v>199</v>
      </c>
      <c r="B57" s="3" t="s">
        <v>133</v>
      </c>
      <c r="C57" s="4">
        <v>44166</v>
      </c>
      <c r="D57" s="4">
        <f>tbBasisRooster[[#This Row],[Einde indicatie ]]-56</f>
        <v>44474</v>
      </c>
      <c r="E57" s="4">
        <v>44530</v>
      </c>
      <c r="F57" s="3">
        <v>2</v>
      </c>
      <c r="G57" s="3" t="s">
        <v>74</v>
      </c>
      <c r="H57" s="3" t="s">
        <v>2</v>
      </c>
      <c r="I57" s="3" t="s">
        <v>128</v>
      </c>
      <c r="J57" s="3" t="s">
        <v>94</v>
      </c>
      <c r="K57" s="3"/>
      <c r="L57" s="16"/>
      <c r="M57" s="16"/>
      <c r="N57" s="16"/>
      <c r="O57" s="16"/>
      <c r="P57" s="16">
        <v>0.47916666666666669</v>
      </c>
      <c r="Q57" s="16">
        <v>0.5625</v>
      </c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11" t="s">
        <v>252</v>
      </c>
    </row>
    <row r="58" spans="1:52" ht="12.75" customHeight="1" x14ac:dyDescent="0.3">
      <c r="A58" s="6" t="s">
        <v>200</v>
      </c>
      <c r="B58" s="6" t="s">
        <v>134</v>
      </c>
      <c r="C58" s="7">
        <v>44099</v>
      </c>
      <c r="D58" s="7">
        <f>tbBasisRooster[[#This Row],[Einde indicatie ]]-56</f>
        <v>44171</v>
      </c>
      <c r="E58" s="7">
        <v>44227</v>
      </c>
      <c r="F58" s="6">
        <v>5</v>
      </c>
      <c r="G58" s="6" t="s">
        <v>39</v>
      </c>
      <c r="H58" s="6" t="s">
        <v>70</v>
      </c>
      <c r="I58" s="6" t="s">
        <v>128</v>
      </c>
      <c r="J58" s="6" t="s">
        <v>60</v>
      </c>
      <c r="K58" s="6"/>
      <c r="L58" s="17"/>
      <c r="M58" s="17"/>
      <c r="N58" s="17"/>
      <c r="O58" s="17"/>
      <c r="P58" s="17"/>
      <c r="Q58" s="17"/>
      <c r="R58" s="17"/>
      <c r="S58" s="17"/>
      <c r="T58" s="17">
        <v>0.66666666666666663</v>
      </c>
      <c r="U58" s="17">
        <v>0.75</v>
      </c>
      <c r="V58" s="17">
        <v>0.66666666666666663</v>
      </c>
      <c r="W58" s="17">
        <v>0.75</v>
      </c>
      <c r="X58" s="17"/>
      <c r="Y58" s="17"/>
      <c r="Z58" s="17"/>
      <c r="AA58" s="17"/>
      <c r="AB58" s="17"/>
      <c r="AC58" s="17"/>
      <c r="AD58" s="17"/>
      <c r="AE58" s="17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12" t="s">
        <v>252</v>
      </c>
    </row>
    <row r="59" spans="1:52" ht="12.75" customHeight="1" x14ac:dyDescent="0.3">
      <c r="A59" s="6" t="s">
        <v>201</v>
      </c>
      <c r="B59" s="6" t="s">
        <v>135</v>
      </c>
      <c r="C59" s="7">
        <v>43891</v>
      </c>
      <c r="D59" s="7">
        <f>tbBasisRooster[[#This Row],[Einde indicatie ]]-56</f>
        <v>44199</v>
      </c>
      <c r="E59" s="7">
        <v>44255</v>
      </c>
      <c r="F59" s="6">
        <v>4</v>
      </c>
      <c r="G59" s="6" t="s">
        <v>74</v>
      </c>
      <c r="H59" s="5" t="s">
        <v>4</v>
      </c>
      <c r="I59" s="6" t="s">
        <v>128</v>
      </c>
      <c r="J59" s="6" t="s">
        <v>136</v>
      </c>
      <c r="K59" s="6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>
        <v>0.54166666666666663</v>
      </c>
      <c r="Y59" s="17">
        <v>0.625</v>
      </c>
      <c r="Z59" s="17">
        <v>0.54166666666666663</v>
      </c>
      <c r="AA59" s="17">
        <v>0.625</v>
      </c>
      <c r="AB59" s="17"/>
      <c r="AC59" s="17"/>
      <c r="AD59" s="17"/>
      <c r="AE59" s="17"/>
      <c r="AF59" s="17">
        <v>0.45833333333333331</v>
      </c>
      <c r="AG59" s="17">
        <v>0.54166666666666663</v>
      </c>
      <c r="AH59" s="17">
        <v>0.45833333333333331</v>
      </c>
      <c r="AI59" s="17">
        <v>0.54166666666666663</v>
      </c>
      <c r="AJ59" s="6"/>
      <c r="AK59" s="6"/>
      <c r="AL59" s="6"/>
      <c r="AM59" s="6"/>
      <c r="AN59" s="6"/>
      <c r="AO59" s="6"/>
      <c r="AP59" s="6"/>
      <c r="AQ59" s="6"/>
      <c r="AR59" s="17"/>
      <c r="AS59" s="17"/>
      <c r="AT59" s="17"/>
      <c r="AU59" s="17"/>
      <c r="AV59" s="6"/>
      <c r="AW59" s="6"/>
      <c r="AX59" s="6"/>
      <c r="AY59" s="6"/>
      <c r="AZ59" s="12" t="s">
        <v>252</v>
      </c>
    </row>
    <row r="60" spans="1:52" ht="12.75" customHeight="1" x14ac:dyDescent="0.3">
      <c r="A60" s="3" t="s">
        <v>202</v>
      </c>
      <c r="B60" s="3" t="s">
        <v>137</v>
      </c>
      <c r="C60" s="4">
        <v>43997</v>
      </c>
      <c r="D60" s="4">
        <f>tbBasisRooster[[#This Row],[Einde indicatie ]]-56</f>
        <v>44305</v>
      </c>
      <c r="E60" s="4">
        <v>44361</v>
      </c>
      <c r="F60" s="3">
        <v>5</v>
      </c>
      <c r="G60" s="3" t="s">
        <v>43</v>
      </c>
      <c r="H60" s="3" t="s">
        <v>40</v>
      </c>
      <c r="I60" s="3" t="s">
        <v>10</v>
      </c>
      <c r="J60" s="3" t="s">
        <v>138</v>
      </c>
      <c r="K60" s="3"/>
      <c r="L60" s="16"/>
      <c r="M60" s="16"/>
      <c r="N60" s="16"/>
      <c r="O60" s="16"/>
      <c r="P60" s="16"/>
      <c r="Q60" s="16"/>
      <c r="R60" s="16"/>
      <c r="S60" s="16"/>
      <c r="T60" s="16">
        <v>0.625</v>
      </c>
      <c r="U60" s="16">
        <v>0.75</v>
      </c>
      <c r="V60" s="16">
        <v>0.625</v>
      </c>
      <c r="W60" s="16">
        <v>0.75</v>
      </c>
      <c r="X60" s="16"/>
      <c r="Y60" s="16"/>
      <c r="Z60" s="16"/>
      <c r="AA60" s="16"/>
      <c r="AB60" s="16"/>
      <c r="AC60" s="16"/>
      <c r="AD60" s="16"/>
      <c r="AE60" s="16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11" t="s">
        <v>252</v>
      </c>
    </row>
    <row r="61" spans="1:52" ht="12.75" customHeight="1" x14ac:dyDescent="0.3">
      <c r="A61" s="3" t="s">
        <v>203</v>
      </c>
      <c r="B61" s="3" t="s">
        <v>139</v>
      </c>
      <c r="C61" s="4" t="s">
        <v>140</v>
      </c>
      <c r="D61" s="4">
        <f>tbBasisRooster[[#This Row],[Einde indicatie ]]-56</f>
        <v>44383</v>
      </c>
      <c r="E61" s="4">
        <v>44439</v>
      </c>
      <c r="F61" s="3">
        <v>2</v>
      </c>
      <c r="G61" s="3" t="s">
        <v>74</v>
      </c>
      <c r="H61" s="3" t="s">
        <v>12</v>
      </c>
      <c r="I61" s="3" t="s">
        <v>99</v>
      </c>
      <c r="J61" s="3" t="s">
        <v>61</v>
      </c>
      <c r="K61" s="3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>
        <v>0.45833333333333331</v>
      </c>
      <c r="Y61" s="16">
        <v>0.54166666666666663</v>
      </c>
      <c r="Z61" s="16"/>
      <c r="AA61" s="16"/>
      <c r="AB61" s="16"/>
      <c r="AC61" s="16"/>
      <c r="AD61" s="16"/>
      <c r="AE61" s="16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11" t="s">
        <v>252</v>
      </c>
    </row>
    <row r="62" spans="1:52" ht="12.75" customHeight="1" x14ac:dyDescent="0.3">
      <c r="A62" s="3" t="s">
        <v>204</v>
      </c>
      <c r="B62" s="3" t="s">
        <v>141</v>
      </c>
      <c r="C62" s="4">
        <v>44186</v>
      </c>
      <c r="D62" s="4">
        <f>tbBasisRooster[[#This Row],[Einde indicatie ]]-56</f>
        <v>44494</v>
      </c>
      <c r="E62" s="4">
        <v>44550</v>
      </c>
      <c r="F62" s="3">
        <v>2</v>
      </c>
      <c r="G62" s="3" t="s">
        <v>39</v>
      </c>
      <c r="H62" s="3" t="s">
        <v>255</v>
      </c>
      <c r="I62" s="3" t="s">
        <v>256</v>
      </c>
      <c r="J62" s="3" t="s">
        <v>142</v>
      </c>
      <c r="K62" s="3"/>
      <c r="L62" s="16"/>
      <c r="M62" s="16"/>
      <c r="N62" s="16"/>
      <c r="O62" s="16"/>
      <c r="P62" s="16"/>
      <c r="Q62" s="16"/>
      <c r="R62" s="16"/>
      <c r="S62" s="16"/>
      <c r="T62" s="16">
        <v>0.4375</v>
      </c>
      <c r="U62" s="16">
        <v>0.52083333333333337</v>
      </c>
      <c r="V62" s="16">
        <v>0.4375</v>
      </c>
      <c r="W62" s="16">
        <v>0.52083333333333337</v>
      </c>
      <c r="X62" s="16"/>
      <c r="Y62" s="16"/>
      <c r="Z62" s="16"/>
      <c r="AA62" s="16"/>
      <c r="AB62" s="16"/>
      <c r="AC62" s="16"/>
      <c r="AD62" s="16"/>
      <c r="AE62" s="16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11" t="s">
        <v>252</v>
      </c>
    </row>
    <row r="63" spans="1:52" ht="12.75" customHeight="1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9"/>
      <c r="L63" s="18"/>
      <c r="M63" s="1"/>
      <c r="N63" s="1"/>
      <c r="O63" s="1"/>
      <c r="P63" s="1"/>
      <c r="Q63" s="1"/>
      <c r="R63" s="1"/>
      <c r="S63" s="1"/>
      <c r="T63" s="1"/>
      <c r="U63" s="1"/>
      <c r="V63" s="19"/>
      <c r="W63" s="1"/>
      <c r="X63" s="1"/>
      <c r="Y63" s="1"/>
      <c r="Z63" s="1"/>
      <c r="AA63" s="1"/>
      <c r="AB63" s="1"/>
      <c r="AC63" s="1"/>
      <c r="AD63" s="1"/>
      <c r="AE63" s="1"/>
    </row>
    <row r="65" spans="12:30" ht="12.75" customHeight="1" x14ac:dyDescent="0.3">
      <c r="L65">
        <f>COLUMN()</f>
        <v>12</v>
      </c>
      <c r="M65">
        <f>COLUMN()</f>
        <v>13</v>
      </c>
      <c r="N65">
        <f>COLUMN()</f>
        <v>14</v>
      </c>
      <c r="O65">
        <f>COLUMN()</f>
        <v>15</v>
      </c>
      <c r="P65">
        <f>COLUMN()</f>
        <v>16</v>
      </c>
      <c r="Q65">
        <f>COLUMN()</f>
        <v>17</v>
      </c>
      <c r="R65">
        <f>COLUMN()</f>
        <v>18</v>
      </c>
      <c r="S65">
        <f>COLUMN()</f>
        <v>19</v>
      </c>
      <c r="T65">
        <f>COLUMN()</f>
        <v>20</v>
      </c>
      <c r="U65">
        <f>COLUMN()</f>
        <v>21</v>
      </c>
      <c r="V65">
        <f>COLUMN()</f>
        <v>22</v>
      </c>
      <c r="W65">
        <f>COLUMN()</f>
        <v>23</v>
      </c>
      <c r="X65">
        <f>COLUMN()</f>
        <v>24</v>
      </c>
      <c r="Y65">
        <f>COLUMN()</f>
        <v>25</v>
      </c>
      <c r="Z65">
        <f>COLUMN()</f>
        <v>26</v>
      </c>
      <c r="AA65">
        <f>COLUMN()</f>
        <v>27</v>
      </c>
      <c r="AB65">
        <f>COLUMN()</f>
        <v>28</v>
      </c>
      <c r="AC65">
        <f>COLUMN()</f>
        <v>29</v>
      </c>
      <c r="AD65">
        <f>COLUMN()</f>
        <v>30</v>
      </c>
    </row>
  </sheetData>
  <phoneticPr fontId="1" type="noConversion"/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8EC48-3725-4C50-8393-7159EF8DE5F0}">
  <sheetPr codeName="wbControleOVZ"/>
  <dimension ref="A1:FD65"/>
  <sheetViews>
    <sheetView workbookViewId="0">
      <pane ySplit="2" topLeftCell="A3" activePane="bottomLeft" state="frozen"/>
      <selection pane="bottomLeft" activeCell="AN12" sqref="AN12"/>
    </sheetView>
  </sheetViews>
  <sheetFormatPr defaultRowHeight="14.4" x14ac:dyDescent="0.3"/>
  <cols>
    <col min="1" max="1" width="25" customWidth="1"/>
    <col min="2" max="2" width="3.6640625" style="24" customWidth="1"/>
    <col min="3" max="3" width="3.6640625" style="22" customWidth="1"/>
    <col min="4" max="4" width="3.6640625" style="26" customWidth="1"/>
    <col min="5" max="5" width="3.6640625" style="24" customWidth="1"/>
    <col min="6" max="6" width="3.6640625" style="22" customWidth="1"/>
    <col min="7" max="7" width="3.6640625" style="26" customWidth="1"/>
    <col min="8" max="8" width="3.6640625" style="24" customWidth="1"/>
    <col min="9" max="9" width="3.6640625" style="22" customWidth="1"/>
    <col min="10" max="10" width="3.6640625" style="26" customWidth="1"/>
    <col min="11" max="11" width="3.6640625" style="24" customWidth="1"/>
    <col min="12" max="12" width="3.6640625" style="22" customWidth="1"/>
    <col min="13" max="13" width="3.6640625" style="26" customWidth="1"/>
    <col min="14" max="14" width="3.6640625" style="24" customWidth="1"/>
    <col min="15" max="15" width="3.6640625" style="22" customWidth="1"/>
    <col min="16" max="16" width="3.6640625" style="26" customWidth="1"/>
    <col min="17" max="17" width="3.6640625" style="24" customWidth="1"/>
    <col min="18" max="18" width="3.6640625" style="22" customWidth="1"/>
    <col min="19" max="19" width="3.6640625" style="26" customWidth="1"/>
    <col min="20" max="20" width="3.6640625" style="24" customWidth="1"/>
    <col min="21" max="21" width="3.6640625" style="22" customWidth="1"/>
    <col min="22" max="22" width="3.6640625" style="26" customWidth="1"/>
    <col min="23" max="23" width="3.6640625" style="24" customWidth="1"/>
    <col min="24" max="24" width="3.6640625" style="22" customWidth="1"/>
    <col min="25" max="25" width="3.6640625" style="26" customWidth="1"/>
    <col min="26" max="26" width="3.6640625" style="24" customWidth="1"/>
    <col min="27" max="27" width="3.6640625" style="22" customWidth="1"/>
    <col min="28" max="28" width="3.6640625" style="26" customWidth="1"/>
    <col min="29" max="29" width="3.6640625" style="24" customWidth="1"/>
    <col min="30" max="30" width="3.6640625" style="22" customWidth="1"/>
    <col min="31" max="31" width="3.6640625" style="26" customWidth="1"/>
    <col min="32" max="32" width="3.6640625" style="24" customWidth="1"/>
    <col min="33" max="33" width="3.6640625" style="22" customWidth="1"/>
    <col min="34" max="34" width="3.6640625" style="26" customWidth="1"/>
    <col min="35" max="35" width="3.6640625" style="24" customWidth="1"/>
    <col min="36" max="36" width="3.6640625" style="22" customWidth="1"/>
    <col min="37" max="37" width="3.6640625" style="26" customWidth="1"/>
    <col min="38" max="38" width="3.6640625" style="24" customWidth="1"/>
    <col min="39" max="39" width="3.6640625" style="22" customWidth="1"/>
    <col min="40" max="40" width="3.6640625" style="26" customWidth="1"/>
    <col min="41" max="41" width="3.6640625" style="24" customWidth="1"/>
    <col min="42" max="42" width="3.6640625" style="22" customWidth="1"/>
    <col min="43" max="43" width="3.6640625" style="26" customWidth="1"/>
    <col min="44" max="44" width="3.6640625" style="24" customWidth="1"/>
    <col min="45" max="45" width="3.6640625" style="22" customWidth="1"/>
    <col min="46" max="46" width="3.6640625" style="26" customWidth="1"/>
    <col min="47" max="47" width="3.6640625" style="24" customWidth="1"/>
    <col min="48" max="48" width="3.6640625" style="22" customWidth="1"/>
    <col min="49" max="49" width="3.6640625" style="26" customWidth="1"/>
    <col min="50" max="50" width="3.6640625" style="24" customWidth="1"/>
    <col min="51" max="51" width="3.6640625" style="22" customWidth="1"/>
    <col min="52" max="52" width="3.6640625" style="26" customWidth="1"/>
    <col min="53" max="53" width="3.6640625" style="24" customWidth="1"/>
    <col min="54" max="54" width="3.6640625" style="22" customWidth="1"/>
    <col min="55" max="55" width="3.6640625" style="26" customWidth="1"/>
    <col min="56" max="56" width="3.6640625" style="24" customWidth="1"/>
    <col min="57" max="57" width="3.6640625" style="22" customWidth="1"/>
    <col min="58" max="58" width="3.6640625" style="26" customWidth="1"/>
    <col min="59" max="59" width="3.6640625" style="24" customWidth="1"/>
    <col min="60" max="60" width="3.6640625" style="22" customWidth="1"/>
    <col min="61" max="61" width="3.6640625" style="26" customWidth="1"/>
    <col min="62" max="62" width="3.6640625" style="24" customWidth="1"/>
    <col min="63" max="63" width="3.6640625" style="22" customWidth="1"/>
    <col min="64" max="64" width="3.6640625" style="26" customWidth="1"/>
    <col min="65" max="65" width="3.6640625" style="24" customWidth="1"/>
    <col min="66" max="66" width="3.6640625" style="22" customWidth="1"/>
    <col min="67" max="67" width="3.6640625" style="26" customWidth="1"/>
    <col min="68" max="68" width="3.6640625" style="24" customWidth="1"/>
    <col min="69" max="69" width="3.6640625" style="22" customWidth="1"/>
    <col min="70" max="70" width="3.6640625" style="26" customWidth="1"/>
    <col min="71" max="71" width="3.6640625" style="24" customWidth="1"/>
    <col min="72" max="72" width="3.6640625" style="22" customWidth="1"/>
    <col min="73" max="73" width="3.6640625" style="26" customWidth="1"/>
    <col min="74" max="74" width="3.6640625" style="24" customWidth="1"/>
    <col min="75" max="75" width="3.6640625" style="22" customWidth="1"/>
    <col min="76" max="76" width="3.6640625" style="26" customWidth="1"/>
    <col min="77" max="77" width="3.6640625" style="24" customWidth="1"/>
    <col min="78" max="78" width="3.6640625" style="22" customWidth="1"/>
    <col min="79" max="79" width="3.6640625" style="26" customWidth="1"/>
    <col min="80" max="80" width="3.6640625" style="24" customWidth="1"/>
    <col min="81" max="81" width="3.6640625" style="22" customWidth="1"/>
    <col min="82" max="82" width="3.6640625" style="26" customWidth="1"/>
    <col min="83" max="83" width="3.6640625" style="24" customWidth="1"/>
    <col min="84" max="84" width="3.6640625" style="22" customWidth="1"/>
    <col min="85" max="85" width="3.6640625" style="26" customWidth="1"/>
    <col min="86" max="86" width="3.6640625" style="24" customWidth="1"/>
    <col min="87" max="87" width="3.6640625" style="22" customWidth="1"/>
    <col min="88" max="88" width="3.6640625" style="26" customWidth="1"/>
    <col min="89" max="89" width="3.6640625" style="24" customWidth="1"/>
    <col min="90" max="90" width="3.6640625" style="22" customWidth="1"/>
    <col min="91" max="91" width="3.6640625" style="26" customWidth="1"/>
    <col min="92" max="92" width="3.6640625" style="24" customWidth="1"/>
    <col min="93" max="93" width="3.6640625" style="22" customWidth="1"/>
    <col min="94" max="94" width="3.6640625" style="26" customWidth="1"/>
    <col min="95" max="95" width="3.6640625" style="24" customWidth="1"/>
    <col min="96" max="96" width="3.6640625" style="22" customWidth="1"/>
    <col min="97" max="97" width="3.6640625" style="26" customWidth="1"/>
    <col min="98" max="98" width="3.6640625" style="24" customWidth="1"/>
    <col min="99" max="99" width="3.6640625" style="22" customWidth="1"/>
    <col min="100" max="100" width="3.6640625" style="26" customWidth="1"/>
    <col min="101" max="101" width="3.6640625" style="24" customWidth="1"/>
    <col min="102" max="102" width="3.6640625" style="22" customWidth="1"/>
    <col min="103" max="103" width="3.6640625" style="26" customWidth="1"/>
    <col min="104" max="104" width="3.6640625" style="24" customWidth="1"/>
    <col min="105" max="105" width="3.6640625" style="22" customWidth="1"/>
    <col min="106" max="106" width="3.6640625" style="26" customWidth="1"/>
    <col min="107" max="107" width="3.6640625" style="24" customWidth="1"/>
    <col min="108" max="108" width="3.6640625" style="22" customWidth="1"/>
    <col min="109" max="109" width="3.6640625" style="26" customWidth="1"/>
    <col min="110" max="110" width="3.6640625" style="24" customWidth="1"/>
    <col min="111" max="111" width="3.6640625" style="22" customWidth="1"/>
    <col min="112" max="112" width="3.6640625" style="26" customWidth="1"/>
    <col min="113" max="113" width="3.6640625" style="24" customWidth="1"/>
    <col min="114" max="114" width="3.6640625" style="22" customWidth="1"/>
    <col min="115" max="115" width="3.6640625" style="26" customWidth="1"/>
    <col min="116" max="116" width="3.6640625" style="24" customWidth="1"/>
    <col min="117" max="117" width="3.6640625" style="22" customWidth="1"/>
    <col min="118" max="118" width="3.6640625" style="26" customWidth="1"/>
    <col min="119" max="119" width="3.6640625" style="24" customWidth="1"/>
    <col min="120" max="120" width="3.6640625" style="22" customWidth="1"/>
    <col min="121" max="121" width="3.6640625" style="26" customWidth="1"/>
    <col min="122" max="122" width="3.6640625" style="24" customWidth="1"/>
    <col min="123" max="123" width="3.6640625" style="22" customWidth="1"/>
    <col min="124" max="124" width="3.6640625" style="26" customWidth="1"/>
    <col min="125" max="125" width="3.6640625" style="24" customWidth="1"/>
    <col min="126" max="126" width="3.6640625" style="22" customWidth="1"/>
    <col min="127" max="127" width="3.6640625" style="26" customWidth="1"/>
    <col min="128" max="128" width="3.6640625" style="24" customWidth="1"/>
    <col min="129" max="129" width="3.6640625" style="22" customWidth="1"/>
    <col min="130" max="130" width="3.6640625" style="26" customWidth="1"/>
    <col min="131" max="131" width="3.6640625" style="24" customWidth="1"/>
    <col min="132" max="132" width="3.6640625" style="22" customWidth="1"/>
    <col min="133" max="133" width="3.6640625" style="26" customWidth="1"/>
    <col min="134" max="134" width="3.6640625" style="24" customWidth="1"/>
    <col min="135" max="135" width="3.6640625" style="22" customWidth="1"/>
    <col min="136" max="136" width="3.6640625" style="26" customWidth="1"/>
    <col min="137" max="137" width="3.6640625" style="24" customWidth="1"/>
    <col min="138" max="138" width="3.6640625" style="22" customWidth="1"/>
    <col min="139" max="139" width="3.6640625" style="26" customWidth="1"/>
    <col min="140" max="140" width="3.6640625" style="24" customWidth="1"/>
    <col min="141" max="141" width="3.6640625" style="22" customWidth="1"/>
    <col min="142" max="142" width="3.6640625" style="26" customWidth="1"/>
    <col min="143" max="143" width="3.6640625" style="24" customWidth="1"/>
    <col min="144" max="144" width="3.6640625" style="22" customWidth="1"/>
    <col min="145" max="145" width="3.6640625" style="26" customWidth="1"/>
    <col min="146" max="146" width="3.6640625" style="24" customWidth="1"/>
    <col min="147" max="147" width="3.6640625" style="22" customWidth="1"/>
    <col min="148" max="148" width="3.6640625" style="26" customWidth="1"/>
    <col min="149" max="149" width="3.6640625" style="24" customWidth="1"/>
    <col min="150" max="150" width="3.6640625" style="22" customWidth="1"/>
    <col min="151" max="151" width="3.6640625" style="26" customWidth="1"/>
    <col min="152" max="152" width="3.6640625" style="24" customWidth="1"/>
    <col min="153" max="153" width="3.6640625" style="22" customWidth="1"/>
    <col min="154" max="154" width="3.6640625" style="26" customWidth="1"/>
    <col min="155" max="155" width="3.6640625" style="24" customWidth="1"/>
    <col min="156" max="156" width="3.6640625" style="22" customWidth="1"/>
    <col min="157" max="157" width="3.6640625" style="26" customWidth="1"/>
    <col min="158" max="158" width="3.6640625" style="24" customWidth="1"/>
    <col min="159" max="159" width="3.6640625" style="22" customWidth="1"/>
    <col min="160" max="160" width="3.6640625" style="26" customWidth="1"/>
  </cols>
  <sheetData>
    <row r="1" spans="1:160" ht="18.75" customHeight="1" thickBot="1" x14ac:dyDescent="0.35">
      <c r="A1" t="s">
        <v>248</v>
      </c>
      <c r="B1" s="24">
        <v>1</v>
      </c>
      <c r="E1" s="24">
        <f>B1+1</f>
        <v>2</v>
      </c>
      <c r="H1" s="24">
        <f t="shared" ref="H1" si="0">E1+1</f>
        <v>3</v>
      </c>
      <c r="K1" s="24">
        <f t="shared" ref="K1" si="1">H1+1</f>
        <v>4</v>
      </c>
      <c r="N1" s="24">
        <f t="shared" ref="N1" si="2">K1+1</f>
        <v>5</v>
      </c>
      <c r="Q1" s="24">
        <f t="shared" ref="Q1" si="3">N1+1</f>
        <v>6</v>
      </c>
      <c r="T1" s="24">
        <f t="shared" ref="T1" si="4">Q1+1</f>
        <v>7</v>
      </c>
      <c r="W1" s="24">
        <f t="shared" ref="W1" si="5">T1+1</f>
        <v>8</v>
      </c>
      <c r="Z1" s="24">
        <f t="shared" ref="Z1" si="6">W1+1</f>
        <v>9</v>
      </c>
      <c r="AC1" s="24">
        <f t="shared" ref="AC1" si="7">Z1+1</f>
        <v>10</v>
      </c>
      <c r="AF1" s="24">
        <f t="shared" ref="AF1" si="8">AC1+1</f>
        <v>11</v>
      </c>
      <c r="AI1" s="24">
        <f t="shared" ref="AI1" si="9">AF1+1</f>
        <v>12</v>
      </c>
      <c r="AL1" s="24">
        <f t="shared" ref="AL1" si="10">AI1+1</f>
        <v>13</v>
      </c>
      <c r="AO1" s="24">
        <f t="shared" ref="AO1" si="11">AL1+1</f>
        <v>14</v>
      </c>
      <c r="AR1" s="24">
        <f t="shared" ref="AR1" si="12">AO1+1</f>
        <v>15</v>
      </c>
      <c r="AU1" s="24">
        <f t="shared" ref="AU1" si="13">AR1+1</f>
        <v>16</v>
      </c>
      <c r="AX1" s="24">
        <f t="shared" ref="AX1" si="14">AU1+1</f>
        <v>17</v>
      </c>
      <c r="BA1" s="24">
        <f t="shared" ref="BA1" si="15">AX1+1</f>
        <v>18</v>
      </c>
      <c r="BD1" s="24">
        <f t="shared" ref="BD1" si="16">BA1+1</f>
        <v>19</v>
      </c>
      <c r="BG1" s="24">
        <f t="shared" ref="BG1" si="17">BD1+1</f>
        <v>20</v>
      </c>
      <c r="BJ1" s="24">
        <f t="shared" ref="BJ1" si="18">BG1+1</f>
        <v>21</v>
      </c>
      <c r="BM1" s="24">
        <f t="shared" ref="BM1" si="19">BJ1+1</f>
        <v>22</v>
      </c>
      <c r="BP1" s="24">
        <f t="shared" ref="BP1" si="20">BM1+1</f>
        <v>23</v>
      </c>
      <c r="BS1" s="24">
        <f t="shared" ref="BS1" si="21">BP1+1</f>
        <v>24</v>
      </c>
      <c r="BV1" s="24">
        <f t="shared" ref="BV1" si="22">BS1+1</f>
        <v>25</v>
      </c>
      <c r="BY1" s="24">
        <f t="shared" ref="BY1" si="23">BV1+1</f>
        <v>26</v>
      </c>
      <c r="CB1" s="24">
        <f t="shared" ref="CB1" si="24">BY1+1</f>
        <v>27</v>
      </c>
      <c r="CE1" s="24">
        <f t="shared" ref="CE1" si="25">CB1+1</f>
        <v>28</v>
      </c>
      <c r="CH1" s="24">
        <f t="shared" ref="CH1" si="26">CE1+1</f>
        <v>29</v>
      </c>
      <c r="CK1" s="24">
        <f t="shared" ref="CK1" si="27">CH1+1</f>
        <v>30</v>
      </c>
      <c r="CN1" s="24">
        <f t="shared" ref="CN1" si="28">CK1+1</f>
        <v>31</v>
      </c>
      <c r="CQ1" s="24">
        <f t="shared" ref="CQ1" si="29">CN1+1</f>
        <v>32</v>
      </c>
      <c r="CT1" s="24">
        <f t="shared" ref="CT1" si="30">CQ1+1</f>
        <v>33</v>
      </c>
      <c r="CW1" s="24">
        <f t="shared" ref="CW1" si="31">CT1+1</f>
        <v>34</v>
      </c>
      <c r="CZ1" s="24">
        <f t="shared" ref="CZ1" si="32">CW1+1</f>
        <v>35</v>
      </c>
      <c r="DC1" s="24">
        <f t="shared" ref="DC1" si="33">CZ1+1</f>
        <v>36</v>
      </c>
      <c r="DF1" s="24">
        <f t="shared" ref="DF1" si="34">DC1+1</f>
        <v>37</v>
      </c>
      <c r="DI1" s="24">
        <f t="shared" ref="DI1" si="35">DF1+1</f>
        <v>38</v>
      </c>
      <c r="DL1" s="24">
        <f t="shared" ref="DL1" si="36">DI1+1</f>
        <v>39</v>
      </c>
      <c r="DO1" s="24">
        <f t="shared" ref="DO1" si="37">DL1+1</f>
        <v>40</v>
      </c>
      <c r="DR1" s="24">
        <f t="shared" ref="DR1" si="38">DO1+1</f>
        <v>41</v>
      </c>
      <c r="DU1" s="24">
        <f t="shared" ref="DU1" si="39">DR1+1</f>
        <v>42</v>
      </c>
      <c r="DX1" s="24">
        <f t="shared" ref="DX1" si="40">DU1+1</f>
        <v>43</v>
      </c>
      <c r="EA1" s="24">
        <f t="shared" ref="EA1" si="41">DX1+1</f>
        <v>44</v>
      </c>
      <c r="ED1" s="24">
        <f t="shared" ref="ED1" si="42">EA1+1</f>
        <v>45</v>
      </c>
      <c r="EG1" s="24">
        <f t="shared" ref="EG1" si="43">ED1+1</f>
        <v>46</v>
      </c>
      <c r="EJ1" s="24">
        <f t="shared" ref="EJ1" si="44">EG1+1</f>
        <v>47</v>
      </c>
      <c r="EM1" s="24">
        <f t="shared" ref="EM1" si="45">EJ1+1</f>
        <v>48</v>
      </c>
      <c r="EP1" s="24">
        <f t="shared" ref="EP1" si="46">EM1+1</f>
        <v>49</v>
      </c>
      <c r="ES1" s="24">
        <f t="shared" ref="ES1" si="47">EP1+1</f>
        <v>50</v>
      </c>
      <c r="EV1" s="24">
        <f t="shared" ref="EV1" si="48">ES1+1</f>
        <v>51</v>
      </c>
      <c r="EY1" s="24">
        <f t="shared" ref="EY1" si="49">EV1+1</f>
        <v>52</v>
      </c>
      <c r="FB1" s="24">
        <f t="shared" ref="FB1" si="50">EY1+1</f>
        <v>53</v>
      </c>
    </row>
    <row r="2" spans="1:160" ht="96" customHeight="1" thickBot="1" x14ac:dyDescent="0.35">
      <c r="A2" s="21" t="s">
        <v>143</v>
      </c>
      <c r="B2" s="25" t="s">
        <v>250</v>
      </c>
      <c r="C2" s="23" t="s">
        <v>249</v>
      </c>
      <c r="D2" s="27" t="s">
        <v>251</v>
      </c>
      <c r="E2" s="25" t="s">
        <v>250</v>
      </c>
      <c r="F2" s="23" t="s">
        <v>249</v>
      </c>
      <c r="G2" s="27" t="s">
        <v>251</v>
      </c>
      <c r="H2" s="25" t="s">
        <v>250</v>
      </c>
      <c r="I2" s="23" t="s">
        <v>249</v>
      </c>
      <c r="J2" s="27" t="s">
        <v>251</v>
      </c>
      <c r="K2" s="25" t="s">
        <v>250</v>
      </c>
      <c r="L2" s="23" t="s">
        <v>249</v>
      </c>
      <c r="M2" s="27" t="s">
        <v>251</v>
      </c>
      <c r="N2" s="25" t="s">
        <v>250</v>
      </c>
      <c r="O2" s="23" t="s">
        <v>249</v>
      </c>
      <c r="P2" s="27" t="s">
        <v>251</v>
      </c>
      <c r="Q2" s="25" t="s">
        <v>250</v>
      </c>
      <c r="R2" s="23" t="s">
        <v>249</v>
      </c>
      <c r="S2" s="27" t="s">
        <v>251</v>
      </c>
      <c r="T2" s="25" t="s">
        <v>250</v>
      </c>
      <c r="U2" s="23" t="s">
        <v>249</v>
      </c>
      <c r="V2" s="27" t="s">
        <v>251</v>
      </c>
      <c r="W2" s="25" t="s">
        <v>250</v>
      </c>
      <c r="X2" s="23" t="s">
        <v>249</v>
      </c>
      <c r="Y2" s="27" t="s">
        <v>251</v>
      </c>
      <c r="Z2" s="25" t="s">
        <v>250</v>
      </c>
      <c r="AA2" s="23" t="s">
        <v>249</v>
      </c>
      <c r="AB2" s="27" t="s">
        <v>251</v>
      </c>
      <c r="AC2" s="25" t="s">
        <v>250</v>
      </c>
      <c r="AD2" s="23" t="s">
        <v>249</v>
      </c>
      <c r="AE2" s="27" t="s">
        <v>251</v>
      </c>
      <c r="AF2" s="25" t="s">
        <v>250</v>
      </c>
      <c r="AG2" s="23" t="s">
        <v>249</v>
      </c>
      <c r="AH2" s="27" t="s">
        <v>251</v>
      </c>
      <c r="AI2" s="25" t="s">
        <v>250</v>
      </c>
      <c r="AJ2" s="23" t="s">
        <v>249</v>
      </c>
      <c r="AK2" s="27" t="s">
        <v>251</v>
      </c>
      <c r="AL2" s="25" t="s">
        <v>250</v>
      </c>
      <c r="AM2" s="23" t="s">
        <v>249</v>
      </c>
      <c r="AN2" s="27" t="s">
        <v>251</v>
      </c>
      <c r="AO2" s="25" t="s">
        <v>250</v>
      </c>
      <c r="AP2" s="23" t="s">
        <v>249</v>
      </c>
      <c r="AQ2" s="27" t="s">
        <v>251</v>
      </c>
      <c r="AR2" s="25" t="s">
        <v>250</v>
      </c>
      <c r="AS2" s="23" t="s">
        <v>249</v>
      </c>
      <c r="AT2" s="27" t="s">
        <v>251</v>
      </c>
      <c r="AU2" s="25" t="s">
        <v>250</v>
      </c>
      <c r="AV2" s="23" t="s">
        <v>249</v>
      </c>
      <c r="AW2" s="27" t="s">
        <v>251</v>
      </c>
      <c r="AX2" s="25" t="s">
        <v>250</v>
      </c>
      <c r="AY2" s="23" t="s">
        <v>249</v>
      </c>
      <c r="AZ2" s="27" t="s">
        <v>251</v>
      </c>
      <c r="BA2" s="25" t="s">
        <v>250</v>
      </c>
      <c r="BB2" s="23" t="s">
        <v>249</v>
      </c>
      <c r="BC2" s="27" t="s">
        <v>251</v>
      </c>
      <c r="BD2" s="25" t="s">
        <v>250</v>
      </c>
      <c r="BE2" s="23" t="s">
        <v>249</v>
      </c>
      <c r="BF2" s="27" t="s">
        <v>251</v>
      </c>
      <c r="BG2" s="25" t="s">
        <v>250</v>
      </c>
      <c r="BH2" s="23" t="s">
        <v>249</v>
      </c>
      <c r="BI2" s="27" t="s">
        <v>251</v>
      </c>
      <c r="BJ2" s="25" t="s">
        <v>250</v>
      </c>
      <c r="BK2" s="23" t="s">
        <v>249</v>
      </c>
      <c r="BL2" s="27" t="s">
        <v>251</v>
      </c>
      <c r="BM2" s="25" t="s">
        <v>250</v>
      </c>
      <c r="BN2" s="23" t="s">
        <v>249</v>
      </c>
      <c r="BO2" s="27" t="s">
        <v>251</v>
      </c>
      <c r="BP2" s="25" t="s">
        <v>250</v>
      </c>
      <c r="BQ2" s="23" t="s">
        <v>249</v>
      </c>
      <c r="BR2" s="27" t="s">
        <v>251</v>
      </c>
      <c r="BS2" s="25" t="s">
        <v>250</v>
      </c>
      <c r="BT2" s="23" t="s">
        <v>249</v>
      </c>
      <c r="BU2" s="27" t="s">
        <v>251</v>
      </c>
      <c r="BV2" s="25" t="s">
        <v>250</v>
      </c>
      <c r="BW2" s="23" t="s">
        <v>249</v>
      </c>
      <c r="BX2" s="27" t="s">
        <v>251</v>
      </c>
      <c r="BY2" s="25" t="s">
        <v>250</v>
      </c>
      <c r="BZ2" s="23" t="s">
        <v>249</v>
      </c>
      <c r="CA2" s="27" t="s">
        <v>251</v>
      </c>
      <c r="CB2" s="25" t="s">
        <v>250</v>
      </c>
      <c r="CC2" s="23" t="s">
        <v>249</v>
      </c>
      <c r="CD2" s="27" t="s">
        <v>251</v>
      </c>
      <c r="CE2" s="25" t="s">
        <v>250</v>
      </c>
      <c r="CF2" s="23" t="s">
        <v>249</v>
      </c>
      <c r="CG2" s="27" t="s">
        <v>251</v>
      </c>
      <c r="CH2" s="25" t="s">
        <v>250</v>
      </c>
      <c r="CI2" s="23" t="s">
        <v>249</v>
      </c>
      <c r="CJ2" s="27" t="s">
        <v>251</v>
      </c>
      <c r="CK2" s="25" t="s">
        <v>250</v>
      </c>
      <c r="CL2" s="23" t="s">
        <v>249</v>
      </c>
      <c r="CM2" s="27" t="s">
        <v>251</v>
      </c>
      <c r="CN2" s="25" t="s">
        <v>250</v>
      </c>
      <c r="CO2" s="23" t="s">
        <v>249</v>
      </c>
      <c r="CP2" s="27" t="s">
        <v>251</v>
      </c>
      <c r="CQ2" s="25" t="s">
        <v>250</v>
      </c>
      <c r="CR2" s="23" t="s">
        <v>249</v>
      </c>
      <c r="CS2" s="27" t="s">
        <v>251</v>
      </c>
      <c r="CT2" s="25" t="s">
        <v>250</v>
      </c>
      <c r="CU2" s="23" t="s">
        <v>249</v>
      </c>
      <c r="CV2" s="27" t="s">
        <v>251</v>
      </c>
      <c r="CW2" s="25" t="s">
        <v>250</v>
      </c>
      <c r="CX2" s="23" t="s">
        <v>249</v>
      </c>
      <c r="CY2" s="27" t="s">
        <v>251</v>
      </c>
      <c r="CZ2" s="25" t="s">
        <v>250</v>
      </c>
      <c r="DA2" s="23" t="s">
        <v>249</v>
      </c>
      <c r="DB2" s="27" t="s">
        <v>251</v>
      </c>
      <c r="DC2" s="25" t="s">
        <v>250</v>
      </c>
      <c r="DD2" s="23" t="s">
        <v>249</v>
      </c>
      <c r="DE2" s="27" t="s">
        <v>251</v>
      </c>
      <c r="DF2" s="25" t="s">
        <v>250</v>
      </c>
      <c r="DG2" s="23" t="s">
        <v>249</v>
      </c>
      <c r="DH2" s="27" t="s">
        <v>251</v>
      </c>
      <c r="DI2" s="25" t="s">
        <v>250</v>
      </c>
      <c r="DJ2" s="23" t="s">
        <v>249</v>
      </c>
      <c r="DK2" s="27" t="s">
        <v>251</v>
      </c>
      <c r="DL2" s="25" t="s">
        <v>250</v>
      </c>
      <c r="DM2" s="23" t="s">
        <v>249</v>
      </c>
      <c r="DN2" s="27" t="s">
        <v>251</v>
      </c>
      <c r="DO2" s="25" t="s">
        <v>250</v>
      </c>
      <c r="DP2" s="23" t="s">
        <v>249</v>
      </c>
      <c r="DQ2" s="27" t="s">
        <v>251</v>
      </c>
      <c r="DR2" s="25" t="s">
        <v>250</v>
      </c>
      <c r="DS2" s="23" t="s">
        <v>249</v>
      </c>
      <c r="DT2" s="27" t="s">
        <v>251</v>
      </c>
      <c r="DU2" s="25" t="s">
        <v>250</v>
      </c>
      <c r="DV2" s="23" t="s">
        <v>249</v>
      </c>
      <c r="DW2" s="27" t="s">
        <v>251</v>
      </c>
      <c r="DX2" s="25" t="s">
        <v>250</v>
      </c>
      <c r="DY2" s="23" t="s">
        <v>249</v>
      </c>
      <c r="DZ2" s="27" t="s">
        <v>251</v>
      </c>
      <c r="EA2" s="25" t="s">
        <v>250</v>
      </c>
      <c r="EB2" s="23" t="s">
        <v>249</v>
      </c>
      <c r="EC2" s="27" t="s">
        <v>251</v>
      </c>
      <c r="ED2" s="25" t="s">
        <v>250</v>
      </c>
      <c r="EE2" s="23" t="s">
        <v>249</v>
      </c>
      <c r="EF2" s="27" t="s">
        <v>251</v>
      </c>
      <c r="EG2" s="25" t="s">
        <v>250</v>
      </c>
      <c r="EH2" s="23" t="s">
        <v>249</v>
      </c>
      <c r="EI2" s="27" t="s">
        <v>251</v>
      </c>
      <c r="EJ2" s="25" t="s">
        <v>250</v>
      </c>
      <c r="EK2" s="23" t="s">
        <v>249</v>
      </c>
      <c r="EL2" s="27" t="s">
        <v>251</v>
      </c>
      <c r="EM2" s="25" t="s">
        <v>250</v>
      </c>
      <c r="EN2" s="23" t="s">
        <v>249</v>
      </c>
      <c r="EO2" s="27" t="s">
        <v>251</v>
      </c>
      <c r="EP2" s="25" t="s">
        <v>250</v>
      </c>
      <c r="EQ2" s="23" t="s">
        <v>249</v>
      </c>
      <c r="ER2" s="27" t="s">
        <v>251</v>
      </c>
      <c r="ES2" s="25" t="s">
        <v>250</v>
      </c>
      <c r="ET2" s="23" t="s">
        <v>249</v>
      </c>
      <c r="EU2" s="27" t="s">
        <v>251</v>
      </c>
      <c r="EV2" s="25" t="s">
        <v>250</v>
      </c>
      <c r="EW2" s="23" t="s">
        <v>249</v>
      </c>
      <c r="EX2" s="27" t="s">
        <v>251</v>
      </c>
      <c r="EY2" s="25" t="s">
        <v>250</v>
      </c>
      <c r="EZ2" s="23" t="s">
        <v>249</v>
      </c>
      <c r="FA2" s="27" t="s">
        <v>251</v>
      </c>
      <c r="FB2" s="25" t="s">
        <v>250</v>
      </c>
      <c r="FC2" s="23" t="s">
        <v>249</v>
      </c>
      <c r="FD2" s="27" t="s">
        <v>251</v>
      </c>
    </row>
    <row r="3" spans="1:160" x14ac:dyDescent="0.3">
      <c r="A3" t="s">
        <v>159</v>
      </c>
      <c r="DC3" s="24">
        <v>1</v>
      </c>
      <c r="DD3" s="22">
        <v>1.5</v>
      </c>
      <c r="DE3" s="26">
        <v>1</v>
      </c>
    </row>
    <row r="4" spans="1:160" x14ac:dyDescent="0.3">
      <c r="A4" t="s">
        <v>145</v>
      </c>
    </row>
    <row r="5" spans="1:160" x14ac:dyDescent="0.3">
      <c r="A5" t="s">
        <v>146</v>
      </c>
    </row>
    <row r="6" spans="1:160" x14ac:dyDescent="0.3">
      <c r="A6" t="s">
        <v>147</v>
      </c>
    </row>
    <row r="7" spans="1:160" x14ac:dyDescent="0.3">
      <c r="A7" t="s">
        <v>148</v>
      </c>
    </row>
    <row r="8" spans="1:160" x14ac:dyDescent="0.3">
      <c r="A8" t="s">
        <v>149</v>
      </c>
    </row>
    <row r="9" spans="1:160" x14ac:dyDescent="0.3">
      <c r="A9" t="s">
        <v>150</v>
      </c>
    </row>
    <row r="10" spans="1:160" x14ac:dyDescent="0.3">
      <c r="A10" s="20" t="s">
        <v>151</v>
      </c>
    </row>
    <row r="11" spans="1:160" x14ac:dyDescent="0.3">
      <c r="A11" t="s">
        <v>152</v>
      </c>
    </row>
    <row r="12" spans="1:160" x14ac:dyDescent="0.3">
      <c r="A12" t="s">
        <v>247</v>
      </c>
      <c r="AL12" s="24">
        <v>1</v>
      </c>
      <c r="AM12" s="22">
        <v>4</v>
      </c>
      <c r="AN12" s="26">
        <v>1</v>
      </c>
      <c r="AO12" s="24">
        <v>3</v>
      </c>
      <c r="AP12" s="22">
        <v>4</v>
      </c>
      <c r="AQ12" s="26">
        <v>4</v>
      </c>
      <c r="AR12" s="24">
        <v>3</v>
      </c>
      <c r="AS12" s="22">
        <v>4</v>
      </c>
      <c r="AU12" s="24">
        <v>3</v>
      </c>
      <c r="AV12" s="22">
        <v>4</v>
      </c>
      <c r="AX12" s="24">
        <v>3</v>
      </c>
      <c r="AY12" s="22">
        <v>4</v>
      </c>
      <c r="BA12" s="24">
        <v>3</v>
      </c>
      <c r="BB12" s="22">
        <v>4</v>
      </c>
      <c r="BD12" s="24">
        <v>3</v>
      </c>
      <c r="BE12" s="22">
        <v>4</v>
      </c>
      <c r="BG12" s="24">
        <v>3</v>
      </c>
      <c r="BH12" s="22">
        <v>4</v>
      </c>
      <c r="BJ12" s="24">
        <v>3</v>
      </c>
      <c r="BK12" s="22">
        <v>4</v>
      </c>
      <c r="BM12" s="24">
        <v>3</v>
      </c>
      <c r="BN12" s="22">
        <v>4</v>
      </c>
      <c r="BP12" s="24">
        <v>3</v>
      </c>
      <c r="BQ12" s="22">
        <v>4</v>
      </c>
      <c r="BS12" s="24">
        <v>3</v>
      </c>
      <c r="BT12" s="22">
        <v>4</v>
      </c>
      <c r="BV12" s="24">
        <v>3</v>
      </c>
      <c r="BW12" s="22">
        <v>4</v>
      </c>
      <c r="BY12" s="24">
        <v>3</v>
      </c>
      <c r="BZ12" s="22">
        <v>4</v>
      </c>
      <c r="CB12" s="24">
        <v>3</v>
      </c>
      <c r="CC12" s="22">
        <v>4</v>
      </c>
    </row>
    <row r="13" spans="1:160" x14ac:dyDescent="0.3">
      <c r="A13" t="s">
        <v>153</v>
      </c>
    </row>
    <row r="14" spans="1:160" x14ac:dyDescent="0.3">
      <c r="A14" t="s">
        <v>154</v>
      </c>
    </row>
    <row r="15" spans="1:160" x14ac:dyDescent="0.3">
      <c r="A15" t="s">
        <v>155</v>
      </c>
    </row>
    <row r="16" spans="1:160" x14ac:dyDescent="0.3">
      <c r="A16" t="s">
        <v>156</v>
      </c>
    </row>
    <row r="17" spans="1:114" x14ac:dyDescent="0.3">
      <c r="A17" t="s">
        <v>157</v>
      </c>
    </row>
    <row r="18" spans="1:114" x14ac:dyDescent="0.3">
      <c r="A18" t="s">
        <v>158</v>
      </c>
    </row>
    <row r="19" spans="1:114" x14ac:dyDescent="0.3">
      <c r="A19" t="s">
        <v>160</v>
      </c>
    </row>
    <row r="20" spans="1:114" x14ac:dyDescent="0.3">
      <c r="A20" t="s">
        <v>161</v>
      </c>
    </row>
    <row r="21" spans="1:114" x14ac:dyDescent="0.3">
      <c r="A21" t="s">
        <v>162</v>
      </c>
      <c r="E21" s="24">
        <v>2</v>
      </c>
      <c r="F21" s="22">
        <v>2</v>
      </c>
      <c r="K21" s="24">
        <v>2</v>
      </c>
      <c r="L21" s="22">
        <v>2</v>
      </c>
      <c r="Q21" s="24">
        <v>2</v>
      </c>
      <c r="R21" s="22">
        <v>2</v>
      </c>
      <c r="W21" s="24">
        <v>2</v>
      </c>
      <c r="X21" s="22">
        <v>2</v>
      </c>
      <c r="AC21" s="24">
        <v>2</v>
      </c>
      <c r="AD21" s="22">
        <v>2</v>
      </c>
      <c r="AI21" s="24">
        <v>2</v>
      </c>
      <c r="AJ21" s="22">
        <v>2</v>
      </c>
      <c r="AO21" s="24">
        <v>2</v>
      </c>
      <c r="AP21" s="22">
        <v>2</v>
      </c>
      <c r="AU21" s="24">
        <v>2</v>
      </c>
      <c r="AV21" s="22">
        <v>2</v>
      </c>
      <c r="BA21" s="24">
        <v>2</v>
      </c>
      <c r="BB21" s="22">
        <v>2</v>
      </c>
    </row>
    <row r="22" spans="1:114" x14ac:dyDescent="0.3">
      <c r="A22" t="s">
        <v>163</v>
      </c>
      <c r="B22" s="24">
        <v>2</v>
      </c>
      <c r="C22" s="22">
        <v>5</v>
      </c>
      <c r="E22" s="24">
        <v>2</v>
      </c>
      <c r="F22" s="22">
        <v>5</v>
      </c>
      <c r="H22" s="24">
        <v>2</v>
      </c>
      <c r="I22" s="22">
        <v>5</v>
      </c>
      <c r="K22" s="24">
        <v>2</v>
      </c>
      <c r="L22" s="22">
        <v>5</v>
      </c>
      <c r="N22" s="24">
        <v>2</v>
      </c>
      <c r="O22" s="22">
        <v>5</v>
      </c>
      <c r="Q22" s="24">
        <v>2</v>
      </c>
      <c r="R22" s="22">
        <v>5</v>
      </c>
      <c r="T22" s="24">
        <v>2</v>
      </c>
      <c r="U22" s="22">
        <v>5</v>
      </c>
      <c r="W22" s="24">
        <v>2</v>
      </c>
      <c r="X22" s="22">
        <v>5</v>
      </c>
      <c r="Z22" s="24">
        <v>2</v>
      </c>
      <c r="AA22" s="22">
        <v>5</v>
      </c>
      <c r="AC22" s="24">
        <v>2</v>
      </c>
      <c r="AD22" s="22">
        <v>5</v>
      </c>
      <c r="AF22" s="24">
        <v>2</v>
      </c>
      <c r="AG22" s="22">
        <v>5</v>
      </c>
      <c r="AI22" s="24">
        <v>2</v>
      </c>
      <c r="AJ22" s="22">
        <v>5</v>
      </c>
      <c r="AL22" s="24">
        <v>2</v>
      </c>
      <c r="AM22" s="22">
        <v>5</v>
      </c>
      <c r="AO22" s="24">
        <v>2</v>
      </c>
      <c r="AP22" s="22">
        <v>5</v>
      </c>
      <c r="AR22" s="24">
        <v>2</v>
      </c>
      <c r="AS22" s="22">
        <v>5</v>
      </c>
      <c r="AU22" s="24">
        <v>2</v>
      </c>
      <c r="AV22" s="22">
        <v>5</v>
      </c>
      <c r="AX22" s="24">
        <v>2</v>
      </c>
      <c r="AY22" s="22">
        <v>5</v>
      </c>
      <c r="BA22" s="24">
        <v>2</v>
      </c>
      <c r="BB22" s="22">
        <v>5</v>
      </c>
      <c r="BD22" s="24">
        <v>2</v>
      </c>
      <c r="BE22" s="22">
        <v>5</v>
      </c>
      <c r="BG22" s="24">
        <v>2</v>
      </c>
      <c r="BH22" s="22">
        <v>5</v>
      </c>
      <c r="BJ22" s="24">
        <v>2</v>
      </c>
      <c r="BK22" s="22">
        <v>5</v>
      </c>
      <c r="BM22" s="24">
        <v>2</v>
      </c>
      <c r="BN22" s="22">
        <v>5</v>
      </c>
      <c r="BP22" s="24">
        <v>2</v>
      </c>
      <c r="BQ22" s="22">
        <v>5</v>
      </c>
      <c r="BS22" s="24">
        <v>2</v>
      </c>
      <c r="BT22" s="22">
        <v>5</v>
      </c>
      <c r="BV22" s="24">
        <v>2</v>
      </c>
      <c r="BW22" s="22">
        <v>5</v>
      </c>
      <c r="BY22" s="24">
        <v>2</v>
      </c>
      <c r="BZ22" s="22">
        <v>5</v>
      </c>
      <c r="CB22" s="24">
        <v>2</v>
      </c>
      <c r="CC22" s="22">
        <v>5</v>
      </c>
      <c r="CE22" s="24">
        <v>2</v>
      </c>
      <c r="CF22" s="22">
        <v>5</v>
      </c>
      <c r="CH22" s="24">
        <v>2</v>
      </c>
      <c r="CI22" s="22">
        <v>5</v>
      </c>
      <c r="CK22" s="24">
        <v>2</v>
      </c>
      <c r="CL22" s="22">
        <v>5</v>
      </c>
      <c r="CN22" s="24">
        <v>2</v>
      </c>
      <c r="CO22" s="22">
        <v>5</v>
      </c>
      <c r="CQ22" s="24">
        <v>2</v>
      </c>
      <c r="CR22" s="22">
        <v>5</v>
      </c>
      <c r="CT22" s="24">
        <v>2</v>
      </c>
      <c r="CU22" s="22">
        <v>5</v>
      </c>
      <c r="CW22" s="24">
        <v>2</v>
      </c>
      <c r="CX22" s="22">
        <v>5</v>
      </c>
      <c r="CZ22" s="24">
        <v>2</v>
      </c>
      <c r="DA22" s="22">
        <v>5</v>
      </c>
      <c r="DC22" s="24">
        <v>2</v>
      </c>
      <c r="DD22" s="22">
        <v>5</v>
      </c>
      <c r="DF22" s="24">
        <v>2</v>
      </c>
      <c r="DG22" s="22">
        <v>5</v>
      </c>
      <c r="DI22" s="24">
        <v>2</v>
      </c>
      <c r="DJ22" s="22">
        <v>5</v>
      </c>
    </row>
    <row r="23" spans="1:114" x14ac:dyDescent="0.3">
      <c r="A23" t="s">
        <v>164</v>
      </c>
    </row>
    <row r="24" spans="1:114" x14ac:dyDescent="0.3">
      <c r="A24" t="s">
        <v>165</v>
      </c>
    </row>
    <row r="25" spans="1:114" x14ac:dyDescent="0.3">
      <c r="A25" t="s">
        <v>166</v>
      </c>
    </row>
    <row r="26" spans="1:114" x14ac:dyDescent="0.3">
      <c r="A26" t="s">
        <v>167</v>
      </c>
    </row>
    <row r="27" spans="1:114" x14ac:dyDescent="0.3">
      <c r="A27" t="s">
        <v>168</v>
      </c>
    </row>
    <row r="28" spans="1:114" x14ac:dyDescent="0.3">
      <c r="A28" t="s">
        <v>169</v>
      </c>
    </row>
    <row r="29" spans="1:114" x14ac:dyDescent="0.3">
      <c r="A29" t="s">
        <v>170</v>
      </c>
    </row>
    <row r="30" spans="1:114" x14ac:dyDescent="0.3">
      <c r="A30" t="s">
        <v>171</v>
      </c>
    </row>
    <row r="31" spans="1:114" x14ac:dyDescent="0.3">
      <c r="A31" t="s">
        <v>172</v>
      </c>
    </row>
    <row r="32" spans="1:114" x14ac:dyDescent="0.3">
      <c r="A32" t="s">
        <v>246</v>
      </c>
      <c r="Z32" s="24">
        <v>2</v>
      </c>
      <c r="AA32" s="22">
        <v>4</v>
      </c>
      <c r="AC32" s="24">
        <v>1</v>
      </c>
      <c r="AD32" s="22">
        <v>4</v>
      </c>
    </row>
    <row r="33" spans="1:102" x14ac:dyDescent="0.3">
      <c r="A33" t="s">
        <v>173</v>
      </c>
    </row>
    <row r="34" spans="1:102" x14ac:dyDescent="0.3">
      <c r="A34" t="s">
        <v>174</v>
      </c>
    </row>
    <row r="35" spans="1:102" x14ac:dyDescent="0.3">
      <c r="A35" t="s">
        <v>175</v>
      </c>
    </row>
    <row r="36" spans="1:102" x14ac:dyDescent="0.3">
      <c r="A36" t="s">
        <v>176</v>
      </c>
    </row>
    <row r="37" spans="1:102" x14ac:dyDescent="0.3">
      <c r="A37" t="s">
        <v>177</v>
      </c>
      <c r="B37" s="24">
        <v>4</v>
      </c>
      <c r="C37" s="22">
        <v>9</v>
      </c>
      <c r="E37" s="24">
        <v>2</v>
      </c>
      <c r="F37" s="22">
        <v>9</v>
      </c>
      <c r="H37" s="24">
        <v>4</v>
      </c>
      <c r="I37" s="22">
        <v>9</v>
      </c>
    </row>
    <row r="38" spans="1:102" x14ac:dyDescent="0.3">
      <c r="A38" t="s">
        <v>178</v>
      </c>
    </row>
    <row r="39" spans="1:102" x14ac:dyDescent="0.3">
      <c r="A39" t="s">
        <v>179</v>
      </c>
    </row>
    <row r="40" spans="1:102" x14ac:dyDescent="0.3">
      <c r="A40" t="s">
        <v>180</v>
      </c>
    </row>
    <row r="41" spans="1:102" x14ac:dyDescent="0.3">
      <c r="A41" t="s">
        <v>181</v>
      </c>
    </row>
    <row r="42" spans="1:102" x14ac:dyDescent="0.3">
      <c r="A42" t="s">
        <v>182</v>
      </c>
    </row>
    <row r="43" spans="1:102" x14ac:dyDescent="0.3">
      <c r="A43" t="s">
        <v>205</v>
      </c>
      <c r="B43" s="24">
        <v>2.5</v>
      </c>
      <c r="C43" s="22">
        <v>10</v>
      </c>
      <c r="E43" s="24">
        <v>2.5</v>
      </c>
      <c r="F43" s="22">
        <v>10</v>
      </c>
      <c r="H43" s="24">
        <v>2.5</v>
      </c>
      <c r="I43" s="22">
        <v>10</v>
      </c>
      <c r="K43" s="24">
        <v>2.5</v>
      </c>
      <c r="L43" s="22">
        <v>10</v>
      </c>
      <c r="N43" s="24">
        <v>2.5</v>
      </c>
      <c r="O43" s="22">
        <v>10</v>
      </c>
      <c r="Q43" s="24">
        <v>2.5</v>
      </c>
      <c r="R43" s="22">
        <v>10</v>
      </c>
      <c r="T43" s="24">
        <v>2.5</v>
      </c>
      <c r="U43" s="22">
        <v>10</v>
      </c>
      <c r="W43" s="24">
        <v>2.5</v>
      </c>
      <c r="X43" s="22">
        <v>10</v>
      </c>
    </row>
    <row r="44" spans="1:102" x14ac:dyDescent="0.3">
      <c r="A44" t="s">
        <v>183</v>
      </c>
      <c r="B44" s="24">
        <v>2</v>
      </c>
      <c r="C44" s="22">
        <v>3</v>
      </c>
      <c r="E44" s="24">
        <v>2</v>
      </c>
      <c r="F44" s="22">
        <v>3</v>
      </c>
      <c r="H44" s="24">
        <v>2</v>
      </c>
      <c r="I44" s="22">
        <v>3</v>
      </c>
    </row>
    <row r="45" spans="1:102" x14ac:dyDescent="0.3">
      <c r="A45" t="s">
        <v>184</v>
      </c>
      <c r="E45" s="24">
        <v>2</v>
      </c>
      <c r="F45" s="22">
        <v>3</v>
      </c>
      <c r="K45" s="24">
        <v>2</v>
      </c>
      <c r="L45" s="22">
        <v>3</v>
      </c>
      <c r="Q45" s="24">
        <v>2</v>
      </c>
      <c r="R45" s="22">
        <v>3</v>
      </c>
      <c r="W45" s="24">
        <v>2</v>
      </c>
      <c r="X45" s="22">
        <v>3</v>
      </c>
      <c r="AC45" s="24">
        <v>2</v>
      </c>
      <c r="AD45" s="22">
        <v>3</v>
      </c>
      <c r="AI45" s="24">
        <v>2</v>
      </c>
      <c r="AJ45" s="22">
        <v>3</v>
      </c>
      <c r="AO45" s="24">
        <v>2</v>
      </c>
      <c r="AP45" s="22">
        <v>3</v>
      </c>
      <c r="AU45" s="24">
        <v>2</v>
      </c>
      <c r="AV45" s="22">
        <v>3</v>
      </c>
      <c r="BA45" s="24">
        <v>2</v>
      </c>
      <c r="BB45" s="22">
        <v>3</v>
      </c>
      <c r="BG45" s="24">
        <v>2</v>
      </c>
      <c r="BH45" s="22">
        <v>3</v>
      </c>
      <c r="BM45" s="24">
        <v>2</v>
      </c>
      <c r="BN45" s="22">
        <v>3</v>
      </c>
      <c r="BS45" s="24">
        <v>2</v>
      </c>
      <c r="BT45" s="22">
        <v>3</v>
      </c>
      <c r="BY45" s="24">
        <v>2</v>
      </c>
      <c r="BZ45" s="22">
        <v>3</v>
      </c>
      <c r="CE45" s="24">
        <v>2</v>
      </c>
      <c r="CF45" s="22">
        <v>3</v>
      </c>
      <c r="CK45" s="24">
        <v>2</v>
      </c>
      <c r="CL45" s="22">
        <v>3</v>
      </c>
      <c r="CQ45" s="24">
        <v>2</v>
      </c>
      <c r="CR45" s="22">
        <v>3</v>
      </c>
      <c r="CW45" s="24">
        <v>2</v>
      </c>
      <c r="CX45" s="22">
        <v>3</v>
      </c>
    </row>
    <row r="46" spans="1:102" x14ac:dyDescent="0.3">
      <c r="A46" t="s">
        <v>185</v>
      </c>
      <c r="E46" s="24">
        <v>2</v>
      </c>
      <c r="F46" s="22">
        <v>4</v>
      </c>
      <c r="K46" s="24">
        <v>2</v>
      </c>
      <c r="L46" s="22">
        <v>4</v>
      </c>
      <c r="Q46" s="24">
        <v>2</v>
      </c>
      <c r="R46" s="22">
        <v>4</v>
      </c>
      <c r="W46" s="24">
        <v>2</v>
      </c>
      <c r="X46" s="22">
        <v>4</v>
      </c>
    </row>
    <row r="47" spans="1:102" x14ac:dyDescent="0.3">
      <c r="A47" t="s">
        <v>186</v>
      </c>
    </row>
    <row r="48" spans="1:102" x14ac:dyDescent="0.3">
      <c r="A48" t="s">
        <v>187</v>
      </c>
    </row>
    <row r="49" spans="1:42" x14ac:dyDescent="0.3">
      <c r="A49" t="s">
        <v>188</v>
      </c>
    </row>
    <row r="50" spans="1:42" x14ac:dyDescent="0.3">
      <c r="A50" t="s">
        <v>189</v>
      </c>
    </row>
    <row r="51" spans="1:42" x14ac:dyDescent="0.3">
      <c r="A51" t="s">
        <v>190</v>
      </c>
    </row>
    <row r="52" spans="1:42" x14ac:dyDescent="0.3">
      <c r="A52" t="s">
        <v>191</v>
      </c>
    </row>
    <row r="53" spans="1:42" x14ac:dyDescent="0.3">
      <c r="A53" t="s">
        <v>192</v>
      </c>
    </row>
    <row r="54" spans="1:42" x14ac:dyDescent="0.3">
      <c r="A54" t="s">
        <v>193</v>
      </c>
      <c r="B54" s="24">
        <v>2</v>
      </c>
      <c r="C54" s="22">
        <v>4</v>
      </c>
      <c r="E54" s="24">
        <v>2</v>
      </c>
      <c r="F54" s="22">
        <v>4</v>
      </c>
      <c r="H54" s="24">
        <v>2</v>
      </c>
      <c r="I54" s="22">
        <v>4</v>
      </c>
      <c r="K54" s="24">
        <v>2</v>
      </c>
      <c r="L54" s="22">
        <v>4</v>
      </c>
      <c r="N54" s="24">
        <v>2</v>
      </c>
      <c r="O54" s="22">
        <v>4</v>
      </c>
      <c r="Q54" s="24">
        <v>2</v>
      </c>
      <c r="R54" s="22">
        <v>4</v>
      </c>
      <c r="T54" s="24">
        <v>2</v>
      </c>
      <c r="U54" s="22">
        <v>4</v>
      </c>
      <c r="W54" s="24">
        <v>2</v>
      </c>
      <c r="X54" s="22">
        <v>4</v>
      </c>
      <c r="Z54" s="24">
        <v>2</v>
      </c>
      <c r="AA54" s="22">
        <v>4</v>
      </c>
      <c r="AC54" s="24">
        <v>2</v>
      </c>
      <c r="AD54" s="22">
        <v>4</v>
      </c>
      <c r="AF54" s="24">
        <v>2</v>
      </c>
      <c r="AG54" s="22">
        <v>4</v>
      </c>
      <c r="AI54" s="24">
        <v>2</v>
      </c>
      <c r="AJ54" s="22">
        <v>4</v>
      </c>
      <c r="AL54" s="24">
        <v>2</v>
      </c>
      <c r="AM54" s="22">
        <v>4</v>
      </c>
      <c r="AO54" s="24">
        <v>2</v>
      </c>
      <c r="AP54" s="22">
        <v>4</v>
      </c>
    </row>
    <row r="55" spans="1:42" x14ac:dyDescent="0.3">
      <c r="A55" t="s">
        <v>194</v>
      </c>
    </row>
    <row r="56" spans="1:42" x14ac:dyDescent="0.3">
      <c r="A56" t="s">
        <v>195</v>
      </c>
    </row>
    <row r="57" spans="1:42" x14ac:dyDescent="0.3">
      <c r="A57" t="s">
        <v>196</v>
      </c>
    </row>
    <row r="58" spans="1:42" x14ac:dyDescent="0.3">
      <c r="A58" t="s">
        <v>197</v>
      </c>
    </row>
    <row r="59" spans="1:42" x14ac:dyDescent="0.3">
      <c r="A59" t="s">
        <v>198</v>
      </c>
    </row>
    <row r="60" spans="1:42" x14ac:dyDescent="0.3">
      <c r="A60" t="s">
        <v>199</v>
      </c>
    </row>
    <row r="61" spans="1:42" x14ac:dyDescent="0.3">
      <c r="A61" t="s">
        <v>200</v>
      </c>
    </row>
    <row r="62" spans="1:42" x14ac:dyDescent="0.3">
      <c r="A62" t="s">
        <v>201</v>
      </c>
      <c r="B62" s="24">
        <v>2</v>
      </c>
      <c r="C62" s="22">
        <v>4</v>
      </c>
      <c r="E62" s="24">
        <v>2</v>
      </c>
      <c r="F62" s="22">
        <v>4</v>
      </c>
      <c r="H62" s="24">
        <v>2</v>
      </c>
      <c r="I62" s="22">
        <v>4</v>
      </c>
      <c r="K62" s="24">
        <v>2</v>
      </c>
      <c r="L62" s="22">
        <v>4</v>
      </c>
      <c r="N62" s="24">
        <v>2</v>
      </c>
      <c r="O62" s="22">
        <v>4</v>
      </c>
      <c r="Q62" s="24">
        <v>2</v>
      </c>
      <c r="R62" s="22">
        <v>4</v>
      </c>
      <c r="T62" s="24">
        <v>2</v>
      </c>
      <c r="U62" s="22">
        <v>4</v>
      </c>
      <c r="W62" s="24">
        <v>2</v>
      </c>
      <c r="X62" s="22">
        <v>4</v>
      </c>
    </row>
    <row r="63" spans="1:42" x14ac:dyDescent="0.3">
      <c r="A63" t="s">
        <v>202</v>
      </c>
    </row>
    <row r="64" spans="1:42" x14ac:dyDescent="0.3">
      <c r="A64" t="s">
        <v>203</v>
      </c>
    </row>
    <row r="65" spans="1:1" x14ac:dyDescent="0.3">
      <c r="A65" t="s">
        <v>204</v>
      </c>
    </row>
  </sheetData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>
    <tabs>
      <tab id="tabBasisrooster" label="Basisrooster" insertAfterMso="TabHome">
        <group id="OHBasisrooster" label="Basisrooster">
          <button id="btToevoegenBasisrooster" label="Toevoegen" size="large" onAction="iknpToevoegenBasisrooster" imageMso="TableInsertRowsBelow"/>
          <button id="btWijzigenBasisrooster" label="Wijzigen" size="large" onAction="iknpWijzigenBasisrooster" imageMso="TablePropertiesDialog"/>
          <button id="btVerwijderenBasisrooster" label="Verwijderen" size="large" onAction="iknpVerwijderenBasisrooster" imageMso="TableRowsDelete"/>
        </group>
        <group id="BasisRoosterNaarOutlook" label="Outlook">
          <button id="btSynchroniserenBasisrooster" label="Synchroniseren" size="large" onAction="iknpSynchroniserenBasisrooster" imageMso="OutlookTaskCreate"/>
        </group>
        <group id="ControleOverzichtOutlook" label="Controle">
          <button id="btGenereerControleOverzicht" label="Controle" size="large" onAction="iknpControleOverzicht" imageMso="ViewsReportVie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215FCCFC6C72449553C531A533C859" ma:contentTypeVersion="10" ma:contentTypeDescription="Een nieuw document maken." ma:contentTypeScope="" ma:versionID="95a49ddf4b449342e2800f30660eb23a">
  <xsd:schema xmlns:xsd="http://www.w3.org/2001/XMLSchema" xmlns:xs="http://www.w3.org/2001/XMLSchema" xmlns:p="http://schemas.microsoft.com/office/2006/metadata/properties" xmlns:ns2="f0f1f924-83cb-480b-a8fc-a2c96d769d8a" xmlns:ns3="b8fd6877-bef7-476c-8e3b-744c2593fc75" targetNamespace="http://schemas.microsoft.com/office/2006/metadata/properties" ma:root="true" ma:fieldsID="fc2474efda38cf214ca3b15f956ca4de" ns2:_="" ns3:_="">
    <xsd:import namespace="f0f1f924-83cb-480b-a8fc-a2c96d769d8a"/>
    <xsd:import namespace="b8fd6877-bef7-476c-8e3b-744c2593fc7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f1f924-83cb-480b-a8fc-a2c96d769d8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fd6877-bef7-476c-8e3b-744c2593fc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1D641F-8CD9-4F57-AE1B-B049DBD803F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73D4910-5597-4B87-B510-01447C6311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f1f924-83cb-480b-a8fc-a2c96d769d8a"/>
    <ds:schemaRef ds:uri="b8fd6877-bef7-476c-8e3b-744c2593f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70FB4CA-72DE-4A8C-8359-20042085A2A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AlleFolders</vt:lpstr>
      <vt:lpstr>Basisrooster</vt:lpstr>
      <vt:lpstr>Controle Overzicht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Hessel Bijlsma</dc:creator>
  <cp:lastModifiedBy>Tjitske Schaafsma</cp:lastModifiedBy>
  <dcterms:created xsi:type="dcterms:W3CDTF">2015-06-05T18:17:20Z</dcterms:created>
  <dcterms:modified xsi:type="dcterms:W3CDTF">2021-02-22T20:47:05Z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0x010100A5215FCCFC6C72449553C531A533C859</vt:lpwstr>
  </property>
</Properties>
</file>