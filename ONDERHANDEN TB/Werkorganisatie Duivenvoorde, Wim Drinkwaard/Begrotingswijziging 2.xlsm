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Werkorganisatie Duivenvoorde, Wim Drinkwaard\"/>
    </mc:Choice>
  </mc:AlternateContent>
  <xr:revisionPtr revIDLastSave="0" documentId="13_ncr:11_{0B57F608-0E92-4101-8862-B55E81963378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Instellingen" sheetId="40" r:id="rId1"/>
    <sheet name="Begrotingswijziging" sheetId="1" r:id="rId2"/>
    <sheet name="Voorblad" sheetId="41" state="hidden" r:id="rId3"/>
    <sheet name="Lias stamgegevens (gekoppeld)" sheetId="38" r:id="rId4"/>
    <sheet name="Coderingen" sheetId="19" state="hidden" r:id="rId5"/>
    <sheet name="Afdelingen" sheetId="42" state="hidden" r:id="rId6"/>
    <sheet name="Invoegen" sheetId="43" state="hidden" r:id="rId7"/>
  </sheets>
  <functionGroups builtInGroupCount="19"/>
  <definedNames>
    <definedName name="_xlnm._FilterDatabase" localSheetId="3" hidden="1">'Lias stamgegevens (gekoppeld)'!$A$1:$R$2551</definedName>
    <definedName name="_xlnm.Print_Area" localSheetId="2">Voorblad!$A$1:$I$46</definedName>
    <definedName name="Begrotingswijziging">Coderingen!$R$8</definedName>
    <definedName name="BereikKoptekst">Begrotingswijziging!$A$1:$A$10</definedName>
    <definedName name="Besluit">Coderingen!$M$11</definedName>
    <definedName name="BesluitCode">Coderingen!$C$8</definedName>
    <definedName name="Boekjaar">Coderingen!$G$8</definedName>
    <definedName name="BoekjaarCode">Coderingen!$C$11</definedName>
    <definedName name="BoekjaarMax">Coderingen!$G$5</definedName>
    <definedName name="BoekjaarMin">Coderingen!$G$6</definedName>
    <definedName name="ControleInvoerCodes">Coderingen!$C$14</definedName>
    <definedName name="DataAfdeling">Afdelingen!$A$4:$C$27</definedName>
    <definedName name="DataBoekjaar">Coderingen!$E$4:$G$6</definedName>
    <definedName name="DataLias">'Lias stamgegevens (gekoppeld)'!$A$1</definedName>
    <definedName name="DataWijziging">Coderingen!$I$4:$O$16</definedName>
    <definedName name="DatumBesluit">Instellingen!$H$14</definedName>
    <definedName name="DatumRaadsbesluit">#REF!</definedName>
    <definedName name="DatumRaadsvoorstel">#REF!</definedName>
    <definedName name="DatumVoorstel">Instellingen!$H$13</definedName>
    <definedName name="Gemeente">Coderingen!$D$5</definedName>
    <definedName name="GemeenteCode">Coderingen!$C$5</definedName>
    <definedName name="Gremia">Coderingen!$J$11</definedName>
    <definedName name="InvoegenSet2">Invoegen!$A$1:$W$1</definedName>
    <definedName name="InvoerBegrotingswijziging">Instellingen!$D$28</definedName>
    <definedName name="KeuzeBoekjaar">Instellingen!$C$19</definedName>
    <definedName name="KeuzeGemeente">Instellingen!$C$3</definedName>
    <definedName name="KeuzeGremia">Instellingen!$C$10</definedName>
    <definedName name="KeuzeVoorstel">Instellingen!$G$12</definedName>
    <definedName name="KolMax">Coderingen!$O$3</definedName>
    <definedName name="KolMin">Coderingen!$N$3</definedName>
    <definedName name="KolomKpl">Begrotingswijziging!$D$16</definedName>
    <definedName name="KolomKsrt">Begrotingswijziging!$E$16</definedName>
    <definedName name="KolomOmschrijving">Begrotingswijziging!$F$16</definedName>
    <definedName name="LijstType">Coderingen!$T$4:$T$5</definedName>
    <definedName name="NrBegrotingswijziging">#REF!</definedName>
    <definedName name="NrRaadsvoorstel">#REF!</definedName>
    <definedName name="NummerVoorstel">Instellingen!$H$12</definedName>
    <definedName name="OmschrijvingKort">Instellingen!$F$21</definedName>
    <definedName name="Onderwerp">#REF!</definedName>
    <definedName name="Prefix">Coderingen!$K$11</definedName>
    <definedName name="Voorstel">Coderingen!$L$11</definedName>
    <definedName name="WijzigingMax">Coderingen!$R$6</definedName>
    <definedName name="WijzigingMin">Coderingen!$R$5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9" l="1"/>
  <c r="W1" i="43" s="1"/>
  <c r="W24" i="1" l="1"/>
  <c r="W23" i="1"/>
  <c r="D21" i="1" l="1"/>
  <c r="D20" i="1"/>
  <c r="R8" i="19" l="1"/>
  <c r="O3" i="19"/>
  <c r="N3" i="19"/>
  <c r="R5" i="19" s="1"/>
  <c r="M3" i="19"/>
  <c r="M11" i="19" s="1"/>
  <c r="L3" i="19"/>
  <c r="L11" i="19" s="1"/>
  <c r="K3" i="19"/>
  <c r="K11" i="19" s="1"/>
  <c r="J3" i="19"/>
  <c r="J11" i="19" s="1"/>
  <c r="I3" i="19"/>
  <c r="R6" i="19" l="1"/>
  <c r="G5" i="19" l="1"/>
  <c r="G6" i="19" s="1"/>
  <c r="U20" i="1" l="1"/>
  <c r="U21" i="1"/>
  <c r="V1" i="43"/>
  <c r="U1" i="43"/>
  <c r="U24" i="1"/>
  <c r="U23" i="1"/>
  <c r="F7" i="1"/>
  <c r="G13" i="40"/>
  <c r="B44" i="41"/>
  <c r="B45" i="41"/>
  <c r="I21" i="40"/>
  <c r="B43" i="41"/>
  <c r="C14" i="19"/>
  <c r="F5" i="1" l="1"/>
  <c r="C29" i="40"/>
  <c r="C27" i="40"/>
  <c r="G12" i="40"/>
  <c r="G14" i="40"/>
  <c r="C21" i="40"/>
  <c r="G11" i="1"/>
  <c r="L11" i="1"/>
  <c r="P11" i="1"/>
  <c r="N11" i="1"/>
  <c r="J11" i="1"/>
  <c r="H11" i="1"/>
  <c r="O11" i="1"/>
  <c r="M11" i="1"/>
  <c r="K11" i="1"/>
  <c r="I11" i="1"/>
  <c r="C22" i="40"/>
  <c r="G8" i="19"/>
  <c r="F3" i="1" s="1"/>
  <c r="B42" i="41" l="1"/>
  <c r="P16" i="1"/>
  <c r="O16" i="1"/>
  <c r="M16" i="1"/>
  <c r="K16" i="1"/>
  <c r="I16" i="1"/>
  <c r="G16" i="1"/>
  <c r="N16" i="1"/>
  <c r="L16" i="1"/>
  <c r="J16" i="1"/>
  <c r="H16" i="1"/>
  <c r="V23" i="1"/>
  <c r="O20" i="1"/>
  <c r="O12" i="1" s="1"/>
  <c r="P21" i="1"/>
  <c r="P12" i="1" s="1"/>
  <c r="N21" i="1"/>
  <c r="N12" i="1" s="1"/>
  <c r="M20" i="1"/>
  <c r="M12" i="1" s="1"/>
  <c r="L21" i="1"/>
  <c r="L12" i="1" s="1"/>
  <c r="K20" i="1"/>
  <c r="K12" i="1" s="1"/>
  <c r="I20" i="1"/>
  <c r="I12" i="1" s="1"/>
  <c r="J21" i="1"/>
  <c r="J12" i="1" s="1"/>
  <c r="V24" i="1"/>
  <c r="G20" i="1"/>
  <c r="H21" i="1"/>
  <c r="V21" i="1" l="1"/>
  <c r="V20" i="1"/>
  <c r="H12" i="1"/>
  <c r="G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Erik Geurts</author>
    <author>VSWS</author>
  </authors>
  <commentList>
    <comment ref="A1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Erik Geurts (Telengy):</t>
        </r>
        <r>
          <rPr>
            <sz val="8"/>
            <color indexed="81"/>
            <rFont val="Tahoma"/>
            <family val="2"/>
          </rPr>
          <t xml:space="preserve">
1 = Kostenplaats
3 = Interne order</t>
        </r>
      </text>
    </comment>
    <comment ref="G17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meer lasten = +/+
minder lasten = -/-</t>
        </r>
      </text>
    </comment>
    <comment ref="H17" authorId="1" shapeId="0" xr:uid="{00000000-0006-0000-0100-000003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meer baten= +/+
minder baten = -/-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VSWS</author>
  </authors>
  <commentList>
    <comment ref="D1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E1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F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G1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H1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I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H001</t>
        </r>
      </text>
    </comment>
    <comment ref="J1" authorId="0" shapeId="0" xr:uid="{00000000-0006-0000-0300-000007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K1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L1" authorId="0" shapeId="0" xr:uid="{00000000-0006-0000-0300-000009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M1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N1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O1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H002</t>
        </r>
      </text>
    </comment>
    <comment ref="P1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VDMF</t>
        </r>
      </text>
    </comment>
    <comment ref="Q1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VSWS:</t>
        </r>
        <r>
          <rPr>
            <sz val="8"/>
            <color indexed="81"/>
            <rFont val="Tahoma"/>
            <family val="2"/>
          </rPr>
          <t xml:space="preserve">
VDMF</t>
        </r>
      </text>
    </comment>
  </commentList>
</comments>
</file>

<file path=xl/sharedStrings.xml><?xml version="1.0" encoding="utf-8"?>
<sst xmlns="http://schemas.openxmlformats.org/spreadsheetml/2006/main" count="231" uniqueCount="175">
  <si>
    <t>Omschrijving 40A</t>
  </si>
  <si>
    <t>Code</t>
  </si>
  <si>
    <t xml:space="preserve"> </t>
  </si>
  <si>
    <t>INC</t>
  </si>
  <si>
    <t>Team Financiën</t>
  </si>
  <si>
    <t>Type</t>
  </si>
  <si>
    <t>Kpl/Ksrt/IO</t>
  </si>
  <si>
    <t>Org/Type cat</t>
  </si>
  <si>
    <t>Organisatie/Type categorie</t>
  </si>
  <si>
    <t>Afd</t>
  </si>
  <si>
    <t>Afdeling</t>
  </si>
  <si>
    <t>Bgh</t>
  </si>
  <si>
    <t>Budgethouder</t>
  </si>
  <si>
    <t>Programma</t>
  </si>
  <si>
    <t>Prd</t>
  </si>
  <si>
    <t>Product</t>
  </si>
  <si>
    <t>BV (integr.)</t>
  </si>
  <si>
    <t>FIN</t>
  </si>
  <si>
    <t>P&amp;O</t>
  </si>
  <si>
    <t>ICT</t>
  </si>
  <si>
    <t>GRIF</t>
  </si>
  <si>
    <t>DIR</t>
  </si>
  <si>
    <t>CTRL</t>
  </si>
  <si>
    <t>AFD C&amp;K</t>
  </si>
  <si>
    <t>AFD BELEID</t>
  </si>
  <si>
    <t>AFD T&amp;H</t>
  </si>
  <si>
    <t>AFD PP</t>
  </si>
  <si>
    <t>CONCERN</t>
  </si>
  <si>
    <t>AFD WELZ</t>
  </si>
  <si>
    <t>AFD RO</t>
  </si>
  <si>
    <t>AFD RB</t>
  </si>
  <si>
    <t>AFD UB</t>
  </si>
  <si>
    <t>AFD IB</t>
  </si>
  <si>
    <t>Fnc</t>
  </si>
  <si>
    <t>Functie</t>
  </si>
  <si>
    <t>Sluitrecord</t>
  </si>
  <si>
    <t>A1020</t>
  </si>
  <si>
    <t>A2500</t>
  </si>
  <si>
    <t>MJP4</t>
  </si>
  <si>
    <t>Kpl</t>
  </si>
  <si>
    <t>Prog</t>
  </si>
  <si>
    <t>PVE</t>
  </si>
  <si>
    <t>Ksrt</t>
  </si>
  <si>
    <t>Omschrijving</t>
  </si>
  <si>
    <t>Bedrag</t>
  </si>
  <si>
    <t>MJP1</t>
  </si>
  <si>
    <t>MJP2</t>
  </si>
  <si>
    <t>MJP3</t>
  </si>
  <si>
    <t>NR</t>
  </si>
  <si>
    <t>Boekjaar</t>
  </si>
  <si>
    <t>Code 1/3</t>
  </si>
  <si>
    <t>(d-m-jj)</t>
  </si>
  <si>
    <t>PRO-GRAM-MA</t>
  </si>
  <si>
    <t>PRODUCT-VERANTW. EENHEID</t>
  </si>
  <si>
    <t>KPL/IO</t>
  </si>
  <si>
    <t>KSRT</t>
  </si>
  <si>
    <t>CODE 1/3</t>
  </si>
  <si>
    <t>STR</t>
  </si>
  <si>
    <t>OMSCHRIJVING KPL/IO/KSRT</t>
  </si>
  <si>
    <t>OMSCHRIJVING WEBPUBLISHING 40A</t>
  </si>
  <si>
    <t>Korte toelichting raadsvoorstel:</t>
  </si>
  <si>
    <t>S p e c i f i c a t i e   b e g r o t i n g s w i j z i g i n g :</t>
  </si>
  <si>
    <t>OMSCHRIJVING</t>
  </si>
  <si>
    <t>lasten</t>
  </si>
  <si>
    <t>baten</t>
  </si>
  <si>
    <t>NR.</t>
  </si>
  <si>
    <t>A1000</t>
  </si>
  <si>
    <t>Bedrijfsvoering (integraal)</t>
  </si>
  <si>
    <t>A1010</t>
  </si>
  <si>
    <t>A1030</t>
  </si>
  <si>
    <t>Team Personeel en Organisatie</t>
  </si>
  <si>
    <t>A1040</t>
  </si>
  <si>
    <t>Team ICT</t>
  </si>
  <si>
    <t>A1050</t>
  </si>
  <si>
    <t>A1210</t>
  </si>
  <si>
    <t>Directie</t>
  </si>
  <si>
    <t>A1220</t>
  </si>
  <si>
    <t>Control</t>
  </si>
  <si>
    <t>A1300</t>
  </si>
  <si>
    <t>Afdeling Communicatie en Kabinet</t>
  </si>
  <si>
    <t>A1400</t>
  </si>
  <si>
    <t>Afdeling Beleid</t>
  </si>
  <si>
    <t>A1500</t>
  </si>
  <si>
    <t>Afdeling Toezicht en Handhaving</t>
  </si>
  <si>
    <t>A1600</t>
  </si>
  <si>
    <t>Afdeling Primair Proces</t>
  </si>
  <si>
    <t>A1700</t>
  </si>
  <si>
    <t>Afdeling Ingenieursbureau</t>
  </si>
  <si>
    <t>A1100</t>
  </si>
  <si>
    <t>Griffie</t>
  </si>
  <si>
    <t>A2210</t>
  </si>
  <si>
    <t>A2220</t>
  </si>
  <si>
    <t>Concernstaf</t>
  </si>
  <si>
    <t>A2300</t>
  </si>
  <si>
    <t>Afdeling Welzijn</t>
  </si>
  <si>
    <t>A2400</t>
  </si>
  <si>
    <t>Afdeling Ruimtelijke ontwikkeling</t>
  </si>
  <si>
    <t>Afdeling Ruimtelijk beheer</t>
  </si>
  <si>
    <t>A2600</t>
  </si>
  <si>
    <t>Afdeling Uitvoerend bedrijf</t>
  </si>
  <si>
    <t>VERVALLEN</t>
  </si>
  <si>
    <t>Vervallen kostenplaatsen</t>
  </si>
  <si>
    <t>VERV-1</t>
  </si>
  <si>
    <t>Totaal 5</t>
  </si>
  <si>
    <t>Totaal 6</t>
  </si>
  <si>
    <t>A2100</t>
  </si>
  <si>
    <t>Gem</t>
  </si>
  <si>
    <t>Gemeente</t>
  </si>
  <si>
    <t>Min-Max</t>
  </si>
  <si>
    <t>BoekjaarMin</t>
  </si>
  <si>
    <t>BoekjaarMax</t>
  </si>
  <si>
    <t>GemeenteCode</t>
  </si>
  <si>
    <t>BesluitCode</t>
  </si>
  <si>
    <t>Gremia</t>
  </si>
  <si>
    <t>Min</t>
  </si>
  <si>
    <t>Max</t>
  </si>
  <si>
    <t>DataWijziging</t>
  </si>
  <si>
    <t>Coderingen</t>
  </si>
  <si>
    <t>Evt. (jaarlijks) aanpassen</t>
  </si>
  <si>
    <t>Gekoppelde cel (niet wijzigen)</t>
  </si>
  <si>
    <t>WijzigingMin</t>
  </si>
  <si>
    <t>Nummer</t>
  </si>
  <si>
    <t>Formule (niet wijzigbaar)</t>
  </si>
  <si>
    <t>BoekjaarCode</t>
  </si>
  <si>
    <t>Gekozen boekjaar</t>
  </si>
  <si>
    <t>DataBoekjaar</t>
  </si>
  <si>
    <t>WijzigingMax</t>
  </si>
  <si>
    <t>Begrotingswijziging</t>
  </si>
  <si>
    <t>Gekozen wijz.</t>
  </si>
  <si>
    <t>Code (initieel 0)</t>
  </si>
  <si>
    <t>Controle (&lt;&gt; 0)</t>
  </si>
  <si>
    <t>A1060</t>
  </si>
  <si>
    <t>Team Facilitaire zaken</t>
  </si>
  <si>
    <t>Raad</t>
  </si>
  <si>
    <t>raads</t>
  </si>
  <si>
    <t>b&amp;w-</t>
  </si>
  <si>
    <t>mt-</t>
  </si>
  <si>
    <t xml:space="preserve">adm. </t>
  </si>
  <si>
    <t>Prefix</t>
  </si>
  <si>
    <t>Datum</t>
  </si>
  <si>
    <t>B&amp;W</t>
  </si>
  <si>
    <t>MT</t>
  </si>
  <si>
    <t>Adm. wijz.</t>
  </si>
  <si>
    <t>A:</t>
  </si>
  <si>
    <t>B:</t>
  </si>
  <si>
    <t>C:</t>
  </si>
  <si>
    <t>D:</t>
  </si>
  <si>
    <t>DataAfdeling</t>
  </si>
  <si>
    <t>Afkorting</t>
  </si>
  <si>
    <t>VERVALLEN? Team Ondersteuning</t>
  </si>
  <si>
    <t>X ONDST</t>
  </si>
  <si>
    <t>FACZ</t>
  </si>
  <si>
    <t>VERVALLEN? Team Juridische zaken</t>
  </si>
  <si>
    <t>X JURZ</t>
  </si>
  <si>
    <t>Check</t>
  </si>
  <si>
    <t>Raadsvoorstel</t>
  </si>
  <si>
    <t>Voorstel</t>
  </si>
  <si>
    <t>Besluit</t>
  </si>
  <si>
    <t>B&amp;W-voorstel</t>
  </si>
  <si>
    <t>MT-voorstel</t>
  </si>
  <si>
    <t>Adm. voorstel</t>
  </si>
  <si>
    <t>Raadsbesluit</t>
  </si>
  <si>
    <t>B&amp;W-besluit</t>
  </si>
  <si>
    <t>MT-besluit</t>
  </si>
  <si>
    <t>Adm. besluit</t>
  </si>
  <si>
    <t>Gekozen optie</t>
  </si>
  <si>
    <t>Onderwerp:</t>
  </si>
  <si>
    <t>Alt-Enter = nieuwe regel binnen dit tekstvak.</t>
  </si>
  <si>
    <t>LijstType</t>
  </si>
  <si>
    <t>A3400</t>
  </si>
  <si>
    <t>FI</t>
  </si>
  <si>
    <t>Resultaat na bestemming / Begrotingssaldo (voordeel)</t>
  </si>
  <si>
    <t>Resultaat na bestemming / Begrotingssaldo (nadeel)</t>
  </si>
  <si>
    <t>Dit is een omschrijving</t>
  </si>
  <si>
    <t>C:\Users\Laptop\Documents\GitHub\DS\ONDERHANDEN TB\Werkorganisatie Duivenvoorde, Wim Drinkwaard\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</si>
</sst>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dd/mm/yyyy"/>
  </numFmts>
  <fonts count="37" x14ac:knownFonts="1">
    <font>
      <sz val="9"/>
      <name val="Lucida Sans Unicode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9"/>
      <color indexed="8"/>
      <name val="Lucida Sans Unicode"/>
      <family val="2"/>
    </font>
    <font>
      <sz val="9"/>
      <color indexed="8"/>
      <name val="Lucida Sans Unicode"/>
      <family val="2"/>
    </font>
    <font>
      <b/>
      <i/>
      <sz val="9"/>
      <color indexed="8"/>
      <name val="Lucida Sans Unicode"/>
      <family val="2"/>
    </font>
    <font>
      <u/>
      <sz val="9"/>
      <color indexed="8"/>
      <name val="Lucida Sans Unicode"/>
      <family val="2"/>
    </font>
    <font>
      <b/>
      <sz val="9"/>
      <color indexed="8"/>
      <name val="Lucida Sans Unicode"/>
      <family val="2"/>
    </font>
    <font>
      <b/>
      <sz val="9"/>
      <name val="Lucida Sans Unicode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Lucida Sans Unicode"/>
      <family val="2"/>
    </font>
    <font>
      <sz val="9"/>
      <color indexed="10"/>
      <name val="Lucida Sans Unicode"/>
      <family val="2"/>
    </font>
    <font>
      <sz val="9"/>
      <color indexed="12"/>
      <name val="Lucida Sans Unicode"/>
      <family val="2"/>
    </font>
    <font>
      <sz val="9"/>
      <name val="Lucida Sans Unicode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0000"/>
      <name val="Lucida Sans Unicode"/>
      <family val="2"/>
    </font>
    <font>
      <sz val="12"/>
      <name val="Lucida Sans Unicode"/>
      <family val="2"/>
    </font>
    <font>
      <sz val="14"/>
      <color indexed="8"/>
      <name val="Lucida Sans Unicode"/>
      <family val="2"/>
    </font>
    <font>
      <sz val="12"/>
      <color indexed="8"/>
      <name val="Lucida Sans Unicode"/>
      <family val="2"/>
    </font>
    <font>
      <sz val="8"/>
      <color rgb="FF000000"/>
      <name val="Tahoma"/>
      <family val="2"/>
    </font>
    <font>
      <sz val="9"/>
      <color rgb="FF000000"/>
      <name val="Lucida Sans Unicode"/>
      <family val="2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4E59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70C0"/>
      </left>
      <right/>
      <top style="double">
        <color rgb="FF0070C0"/>
      </top>
      <bottom/>
      <diagonal/>
    </border>
    <border>
      <left/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/>
      <top/>
      <bottom/>
      <diagonal/>
    </border>
    <border>
      <left/>
      <right style="double">
        <color rgb="FF0070C0"/>
      </right>
      <top/>
      <bottom/>
      <diagonal/>
    </border>
    <border>
      <left style="double">
        <color rgb="FF0070C0"/>
      </left>
      <right/>
      <top/>
      <bottom style="double">
        <color rgb="FF0070C0"/>
      </bottom>
      <diagonal/>
    </border>
    <border>
      <left/>
      <right style="double">
        <color rgb="FF0070C0"/>
      </right>
      <top/>
      <bottom style="double">
        <color rgb="FF0070C0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  <border>
      <left/>
      <right/>
      <top style="double">
        <color rgb="FF0070C0"/>
      </top>
      <bottom/>
      <diagonal/>
    </border>
    <border>
      <left/>
      <right/>
      <top/>
      <bottom style="double">
        <color rgb="FF0070C0"/>
      </bottom>
      <diagonal/>
    </border>
    <border>
      <left style="double">
        <color rgb="FF0070C0"/>
      </left>
      <right/>
      <top style="double">
        <color rgb="FF0070C0"/>
      </top>
      <bottom style="double">
        <color rgb="FF0070C0"/>
      </bottom>
      <diagonal/>
    </border>
    <border>
      <left/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medium">
        <color rgb="FF00B050"/>
      </left>
      <right/>
      <top style="medium">
        <color rgb="FF00B050"/>
      </top>
      <bottom/>
      <diagonal/>
    </border>
    <border>
      <left/>
      <right/>
      <top style="medium">
        <color rgb="FF00B050"/>
      </top>
      <bottom/>
      <diagonal/>
    </border>
    <border>
      <left/>
      <right style="medium">
        <color rgb="FF00B050"/>
      </right>
      <top style="medium">
        <color rgb="FF00B050"/>
      </top>
      <bottom/>
      <diagonal/>
    </border>
    <border>
      <left style="medium">
        <color rgb="FF00B050"/>
      </left>
      <right/>
      <top/>
      <bottom/>
      <diagonal/>
    </border>
    <border>
      <left/>
      <right style="medium">
        <color rgb="FF00B050"/>
      </right>
      <top/>
      <bottom/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00B050"/>
      </bottom>
      <diagonal/>
    </border>
    <border>
      <left/>
      <right style="medium">
        <color rgb="FF00B050"/>
      </right>
      <top/>
      <bottom style="medium">
        <color rgb="FF00B050"/>
      </bottom>
      <diagonal/>
    </border>
    <border>
      <left style="double">
        <color rgb="FF0070C0"/>
      </left>
      <right/>
      <top/>
      <bottom style="thin">
        <color indexed="64"/>
      </bottom>
      <diagonal/>
    </border>
    <border>
      <left/>
      <right style="double">
        <color rgb="FF0070C0"/>
      </right>
      <top/>
      <bottom style="thin">
        <color indexed="64"/>
      </bottom>
      <diagonal/>
    </border>
    <border>
      <left/>
      <right/>
      <top style="double">
        <color rgb="FF0070C0"/>
      </top>
      <bottom style="double">
        <color rgb="FF0070C0"/>
      </bottom>
      <diagonal/>
    </border>
  </borders>
  <cellStyleXfs count="18">
    <xf numFmtId="0" fontId="0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</cellStyleXfs>
  <cellXfs count="159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0" borderId="0" xfId="0" applyNumberFormat="1" applyFont="1"/>
    <xf numFmtId="0" fontId="15" fillId="0" borderId="0" xfId="0" applyNumberFormat="1" applyFont="1" applyFill="1" applyBorder="1" applyAlignment="1" applyProtection="1">
      <alignment horizontal="right"/>
    </xf>
    <xf numFmtId="0" fontId="16" fillId="0" borderId="0" xfId="0" applyNumberFormat="1" applyFont="1" applyFill="1" applyAlignment="1">
      <alignment horizontal="right"/>
    </xf>
    <xf numFmtId="0" fontId="16" fillId="0" borderId="0" xfId="0" applyNumberFormat="1" applyFont="1" applyFill="1"/>
    <xf numFmtId="0" fontId="0" fillId="0" borderId="0" xfId="0" applyNumberFormat="1" applyFont="1" applyAlignment="1">
      <alignment horizontal="center"/>
    </xf>
    <xf numFmtId="0" fontId="16" fillId="0" borderId="0" xfId="0" applyNumberFormat="1" applyFont="1" applyFill="1" applyAlignment="1">
      <alignment horizontal="center"/>
    </xf>
    <xf numFmtId="0" fontId="17" fillId="0" borderId="0" xfId="0" applyNumberFormat="1" applyFont="1" applyFill="1" applyAlignment="1" applyProtection="1">
      <alignment horizontal="left"/>
    </xf>
    <xf numFmtId="0" fontId="18" fillId="0" borderId="0" xfId="0" applyNumberFormat="1" applyFont="1" applyFill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horizontal="center" vertical="top" wrapText="1"/>
    </xf>
    <xf numFmtId="0" fontId="16" fillId="0" borderId="0" xfId="0" applyNumberFormat="1" applyFont="1" applyFill="1" applyAlignment="1">
      <alignment horizontal="left" vertical="top"/>
    </xf>
    <xf numFmtId="0" fontId="16" fillId="0" borderId="0" xfId="0" applyNumberFormat="1" applyFont="1" applyFill="1" applyAlignment="1">
      <alignment horizontal="right" vertical="top"/>
    </xf>
    <xf numFmtId="0" fontId="16" fillId="0" borderId="0" xfId="0" applyNumberFormat="1" applyFont="1" applyFill="1" applyBorder="1"/>
    <xf numFmtId="0" fontId="16" fillId="0" borderId="0" xfId="0" applyNumberFormat="1" applyFont="1" applyFill="1" applyBorder="1" applyAlignment="1">
      <alignment horizontal="center"/>
    </xf>
    <xf numFmtId="0" fontId="19" fillId="0" borderId="0" xfId="0" applyNumberFormat="1" applyFont="1" applyFill="1" applyBorder="1" applyAlignment="1">
      <alignment horizontal="center"/>
    </xf>
    <xf numFmtId="0" fontId="16" fillId="0" borderId="0" xfId="0" applyNumberFormat="1" applyFont="1" applyFill="1" applyBorder="1" applyAlignment="1">
      <alignment horizontal="right"/>
    </xf>
    <xf numFmtId="0" fontId="19" fillId="0" borderId="0" xfId="0" applyNumberFormat="1" applyFont="1" applyFill="1" applyBorder="1"/>
    <xf numFmtId="0" fontId="0" fillId="0" borderId="0" xfId="0" applyNumberFormat="1" applyFont="1" applyFill="1"/>
    <xf numFmtId="0" fontId="20" fillId="0" borderId="0" xfId="0" applyNumberFormat="1" applyFont="1" applyFill="1" applyAlignment="1">
      <alignment horizontal="center"/>
    </xf>
    <xf numFmtId="0" fontId="0" fillId="0" borderId="0" xfId="0" applyNumberFormat="1" applyFont="1" applyFill="1" applyAlignment="1">
      <alignment horizontal="center"/>
    </xf>
    <xf numFmtId="0" fontId="20" fillId="0" borderId="0" xfId="0" applyNumberFormat="1" applyFont="1" applyAlignment="1">
      <alignment wrapText="1"/>
    </xf>
    <xf numFmtId="0" fontId="19" fillId="0" borderId="1" xfId="0" applyNumberFormat="1" applyFont="1" applyFill="1" applyBorder="1" applyAlignment="1" applyProtection="1">
      <alignment horizontal="center" wrapText="1"/>
    </xf>
    <xf numFmtId="0" fontId="19" fillId="0" borderId="1" xfId="0" applyNumberFormat="1" applyFont="1" applyFill="1" applyBorder="1" applyAlignment="1" applyProtection="1">
      <alignment wrapText="1"/>
    </xf>
    <xf numFmtId="0" fontId="0" fillId="0" borderId="1" xfId="0" applyNumberFormat="1" applyFont="1" applyBorder="1"/>
    <xf numFmtId="0" fontId="16" fillId="0" borderId="1" xfId="0" applyNumberFormat="1" applyFont="1" applyFill="1" applyBorder="1" applyAlignment="1">
      <alignment horizontal="center"/>
    </xf>
    <xf numFmtId="0" fontId="16" fillId="0" borderId="1" xfId="0" applyNumberFormat="1" applyFont="1" applyFill="1" applyBorder="1" applyAlignment="1">
      <alignment horizontal="right"/>
    </xf>
    <xf numFmtId="0" fontId="16" fillId="0" borderId="1" xfId="0" applyNumberFormat="1" applyFont="1" applyFill="1" applyBorder="1"/>
    <xf numFmtId="0" fontId="0" fillId="0" borderId="2" xfId="0" applyNumberFormat="1" applyFont="1" applyBorder="1"/>
    <xf numFmtId="0" fontId="0" fillId="0" borderId="3" xfId="0" applyNumberFormat="1" applyFont="1" applyBorder="1"/>
    <xf numFmtId="0" fontId="17" fillId="0" borderId="3" xfId="0" applyNumberFormat="1" applyFont="1" applyFill="1" applyBorder="1" applyAlignment="1" applyProtection="1">
      <alignment horizontal="right"/>
    </xf>
    <xf numFmtId="0" fontId="17" fillId="0" borderId="3" xfId="0" applyNumberFormat="1" applyFont="1" applyFill="1" applyBorder="1" applyAlignment="1" applyProtection="1">
      <alignment horizontal="left"/>
    </xf>
    <xf numFmtId="0" fontId="0" fillId="0" borderId="3" xfId="0" applyNumberFormat="1" applyFont="1" applyBorder="1" applyAlignment="1">
      <alignment horizontal="center"/>
    </xf>
    <xf numFmtId="0" fontId="0" fillId="0" borderId="4" xfId="0" applyNumberFormat="1" applyFont="1" applyBorder="1"/>
    <xf numFmtId="0" fontId="0" fillId="0" borderId="5" xfId="0" applyNumberFormat="1" applyFont="1" applyBorder="1"/>
    <xf numFmtId="0" fontId="16" fillId="0" borderId="6" xfId="0" applyNumberFormat="1" applyFont="1" applyFill="1" applyBorder="1" applyAlignment="1">
      <alignment horizontal="center"/>
    </xf>
    <xf numFmtId="0" fontId="16" fillId="0" borderId="6" xfId="0" applyNumberFormat="1" applyFont="1" applyFill="1" applyBorder="1" applyAlignment="1">
      <alignment horizontal="right"/>
    </xf>
    <xf numFmtId="0" fontId="16" fillId="0" borderId="6" xfId="0" applyNumberFormat="1" applyFont="1" applyFill="1" applyBorder="1"/>
    <xf numFmtId="0" fontId="0" fillId="0" borderId="6" xfId="0" applyNumberFormat="1" applyFont="1" applyBorder="1" applyAlignment="1">
      <alignment horizontal="center"/>
    </xf>
    <xf numFmtId="0" fontId="0" fillId="0" borderId="7" xfId="0" applyNumberFormat="1" applyFont="1" applyBorder="1"/>
    <xf numFmtId="0" fontId="0" fillId="2" borderId="0" xfId="0" applyNumberFormat="1" applyFont="1" applyFill="1"/>
    <xf numFmtId="0" fontId="0" fillId="2" borderId="0" xfId="0" applyNumberFormat="1" applyFont="1" applyFill="1" applyAlignment="1">
      <alignment horizontal="center"/>
    </xf>
    <xf numFmtId="0" fontId="0" fillId="2" borderId="0" xfId="0" applyNumberFormat="1" applyFill="1" applyAlignment="1">
      <alignment horizontal="center"/>
    </xf>
    <xf numFmtId="0" fontId="19" fillId="3" borderId="1" xfId="0" applyNumberFormat="1" applyFont="1" applyFill="1" applyBorder="1" applyAlignment="1" applyProtection="1">
      <alignment horizontal="center" wrapText="1"/>
    </xf>
    <xf numFmtId="0" fontId="20" fillId="3" borderId="1" xfId="0" applyNumberFormat="1" applyFont="1" applyFill="1" applyBorder="1" applyAlignment="1">
      <alignment wrapText="1"/>
    </xf>
    <xf numFmtId="0" fontId="20" fillId="4" borderId="1" xfId="0" applyNumberFormat="1" applyFont="1" applyFill="1" applyBorder="1" applyAlignment="1">
      <alignment wrapText="1"/>
    </xf>
    <xf numFmtId="3" fontId="0" fillId="0" borderId="0" xfId="0" applyNumberFormat="1"/>
    <xf numFmtId="3" fontId="15" fillId="0" borderId="0" xfId="0" applyNumberFormat="1" applyFont="1" applyFill="1" applyBorder="1" applyAlignment="1" applyProtection="1">
      <alignment horizontal="right"/>
    </xf>
    <xf numFmtId="3" fontId="16" fillId="0" borderId="0" xfId="0" applyNumberFormat="1" applyFont="1" applyFill="1" applyAlignment="1">
      <alignment horizontal="right"/>
    </xf>
    <xf numFmtId="3" fontId="16" fillId="0" borderId="0" xfId="0" applyNumberFormat="1" applyFont="1" applyFill="1"/>
    <xf numFmtId="3" fontId="0" fillId="0" borderId="0" xfId="0" applyNumberFormat="1" applyFont="1"/>
    <xf numFmtId="3" fontId="16" fillId="0" borderId="0" xfId="0" applyNumberFormat="1" applyFont="1" applyFill="1" applyAlignment="1">
      <alignment horizontal="center"/>
    </xf>
    <xf numFmtId="3" fontId="16" fillId="0" borderId="0" xfId="0" applyNumberFormat="1" applyFont="1" applyFill="1" applyAlignment="1">
      <alignment horizontal="left" vertical="top"/>
    </xf>
    <xf numFmtId="3" fontId="16" fillId="0" borderId="3" xfId="0" applyNumberFormat="1" applyFont="1" applyFill="1" applyBorder="1" applyAlignment="1"/>
    <xf numFmtId="3" fontId="16" fillId="0" borderId="3" xfId="0" applyNumberFormat="1" applyFont="1" applyFill="1" applyBorder="1" applyAlignment="1">
      <alignment horizontal="right"/>
    </xf>
    <xf numFmtId="3" fontId="16" fillId="0" borderId="3" xfId="0" applyNumberFormat="1" applyFont="1" applyFill="1" applyBorder="1"/>
    <xf numFmtId="3" fontId="0" fillId="0" borderId="3" xfId="0" applyNumberFormat="1" applyFont="1" applyBorder="1"/>
    <xf numFmtId="3" fontId="16" fillId="0" borderId="6" xfId="0" applyNumberFormat="1" applyFont="1" applyFill="1" applyBorder="1"/>
    <xf numFmtId="3" fontId="16" fillId="0" borderId="6" xfId="0" applyNumberFormat="1" applyFont="1" applyFill="1" applyBorder="1" applyAlignment="1">
      <alignment horizontal="right"/>
    </xf>
    <xf numFmtId="3" fontId="0" fillId="0" borderId="6" xfId="0" applyNumberFormat="1" applyFont="1" applyBorder="1"/>
    <xf numFmtId="3" fontId="19" fillId="3" borderId="1" xfId="0" applyNumberFormat="1" applyFont="1" applyFill="1" applyBorder="1" applyAlignment="1" applyProtection="1">
      <alignment horizontal="center" wrapText="1"/>
    </xf>
    <xf numFmtId="3" fontId="24" fillId="0" borderId="1" xfId="0" applyNumberFormat="1" applyFont="1" applyFill="1" applyBorder="1" applyAlignment="1">
      <alignment horizontal="center"/>
    </xf>
    <xf numFmtId="3" fontId="25" fillId="0" borderId="1" xfId="0" applyNumberFormat="1" applyFont="1" applyFill="1" applyBorder="1" applyAlignment="1">
      <alignment horizontal="center"/>
    </xf>
    <xf numFmtId="3" fontId="16" fillId="0" borderId="0" xfId="0" applyNumberFormat="1" applyFont="1" applyFill="1" applyBorder="1" applyAlignment="1">
      <alignment horizontal="center"/>
    </xf>
    <xf numFmtId="3" fontId="0" fillId="0" borderId="0" xfId="0" applyNumberFormat="1" applyFont="1" applyFill="1"/>
    <xf numFmtId="3" fontId="0" fillId="2" borderId="0" xfId="0" applyNumberFormat="1" applyFont="1" applyFill="1"/>
    <xf numFmtId="0" fontId="26" fillId="5" borderId="0" xfId="0" applyNumberFormat="1" applyFont="1" applyFill="1" applyAlignment="1">
      <alignment horizontal="center"/>
    </xf>
    <xf numFmtId="0" fontId="0" fillId="5" borderId="0" xfId="0" applyNumberFormat="1" applyFont="1" applyFill="1"/>
    <xf numFmtId="0" fontId="20" fillId="0" borderId="1" xfId="0" applyNumberFormat="1" applyFont="1" applyFill="1" applyBorder="1" applyAlignment="1">
      <alignment wrapText="1"/>
    </xf>
    <xf numFmtId="0" fontId="0" fillId="2" borderId="0" xfId="0" applyNumberFormat="1" applyFill="1"/>
    <xf numFmtId="3" fontId="16" fillId="0" borderId="0" xfId="0" applyNumberFormat="1" applyFont="1" applyFill="1" applyAlignment="1">
      <alignment vertical="top"/>
    </xf>
    <xf numFmtId="0" fontId="3" fillId="0" borderId="0" xfId="17"/>
    <xf numFmtId="0" fontId="29" fillId="0" borderId="0" xfId="17" applyFont="1"/>
    <xf numFmtId="0" fontId="30" fillId="6" borderId="0" xfId="17" applyFont="1" applyFill="1"/>
    <xf numFmtId="0" fontId="2" fillId="0" borderId="0" xfId="17" applyFont="1"/>
    <xf numFmtId="0" fontId="0" fillId="7" borderId="0" xfId="0" applyFill="1"/>
    <xf numFmtId="0" fontId="0" fillId="0" borderId="0" xfId="0" applyBorder="1"/>
    <xf numFmtId="0" fontId="0" fillId="0" borderId="13" xfId="0" applyBorder="1"/>
    <xf numFmtId="0" fontId="0" fillId="0" borderId="15" xfId="0" applyBorder="1"/>
    <xf numFmtId="0" fontId="0" fillId="8" borderId="0" xfId="0" applyFill="1"/>
    <xf numFmtId="0" fontId="0" fillId="7" borderId="18" xfId="0" applyFill="1" applyBorder="1"/>
    <xf numFmtId="0" fontId="0" fillId="0" borderId="13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20" xfId="0" applyBorder="1"/>
    <xf numFmtId="0" fontId="20" fillId="0" borderId="11" xfId="0" applyFont="1" applyBorder="1"/>
    <xf numFmtId="0" fontId="20" fillId="0" borderId="12" xfId="0" applyFont="1" applyBorder="1"/>
    <xf numFmtId="0" fontId="0" fillId="8" borderId="0" xfId="0" applyFont="1" applyFill="1"/>
    <xf numFmtId="0" fontId="20" fillId="0" borderId="17" xfId="0" applyFont="1" applyBorder="1"/>
    <xf numFmtId="0" fontId="20" fillId="0" borderId="19" xfId="0" applyFont="1" applyBorder="1"/>
    <xf numFmtId="0" fontId="0" fillId="7" borderId="0" xfId="0" applyFill="1" applyBorder="1"/>
    <xf numFmtId="0" fontId="0" fillId="7" borderId="14" xfId="0" applyFill="1" applyBorder="1"/>
    <xf numFmtId="0" fontId="0" fillId="7" borderId="20" xfId="0" applyFill="1" applyBorder="1"/>
    <xf numFmtId="0" fontId="0" fillId="7" borderId="16" xfId="0" applyFill="1" applyBorder="1"/>
    <xf numFmtId="0" fontId="0" fillId="7" borderId="14" xfId="0" applyFill="1" applyBorder="1" applyProtection="1"/>
    <xf numFmtId="0" fontId="0" fillId="7" borderId="16" xfId="0" applyFill="1" applyBorder="1" applyProtection="1"/>
    <xf numFmtId="0" fontId="0" fillId="9" borderId="0" xfId="0" applyFill="1"/>
    <xf numFmtId="0" fontId="0" fillId="9" borderId="18" xfId="0" applyFill="1" applyBorder="1" applyProtection="1">
      <protection locked="0"/>
    </xf>
    <xf numFmtId="1" fontId="0" fillId="7" borderId="16" xfId="0" applyNumberFormat="1" applyFill="1" applyBorder="1" applyProtection="1"/>
    <xf numFmtId="0" fontId="0" fillId="0" borderId="21" xfId="0" applyBorder="1"/>
    <xf numFmtId="0" fontId="0" fillId="7" borderId="22" xfId="0" applyFill="1" applyBorder="1"/>
    <xf numFmtId="0" fontId="0" fillId="11" borderId="0" xfId="0" applyFill="1"/>
    <xf numFmtId="0" fontId="32" fillId="0" borderId="0" xfId="0" applyFont="1" applyAlignment="1">
      <alignment horizontal="left"/>
    </xf>
    <xf numFmtId="0" fontId="32" fillId="0" borderId="0" xfId="0" applyFont="1"/>
    <xf numFmtId="0" fontId="31" fillId="0" borderId="0" xfId="0" applyFont="1" applyAlignment="1">
      <alignment horizontal="center"/>
    </xf>
    <xf numFmtId="0" fontId="0" fillId="10" borderId="1" xfId="0" applyFill="1" applyBorder="1" applyProtection="1">
      <protection locked="0"/>
    </xf>
    <xf numFmtId="164" fontId="0" fillId="10" borderId="1" xfId="0" applyNumberFormat="1" applyFill="1" applyBorder="1" applyProtection="1">
      <protection locked="0"/>
    </xf>
    <xf numFmtId="0" fontId="0" fillId="8" borderId="0" xfId="0" applyFill="1" applyBorder="1"/>
    <xf numFmtId="0" fontId="0" fillId="8" borderId="0" xfId="0" applyFont="1" applyFill="1" applyBorder="1" applyProtection="1">
      <protection hidden="1"/>
    </xf>
    <xf numFmtId="0" fontId="0" fillId="8" borderId="0" xfId="0" applyFont="1" applyFill="1" applyBorder="1" applyAlignment="1">
      <alignment horizontal="right"/>
    </xf>
    <xf numFmtId="0" fontId="0" fillId="8" borderId="0" xfId="0" applyFont="1" applyFill="1" applyBorder="1" applyAlignment="1">
      <alignment horizontal="center"/>
    </xf>
    <xf numFmtId="0" fontId="0" fillId="10" borderId="0" xfId="0" applyFill="1" applyBorder="1" applyProtection="1">
      <protection locked="0"/>
    </xf>
    <xf numFmtId="0" fontId="0" fillId="10" borderId="0" xfId="0" applyFill="1" applyBorder="1"/>
    <xf numFmtId="0" fontId="0" fillId="8" borderId="0" xfId="0" applyFill="1" applyBorder="1" applyProtection="1">
      <protection hidden="1"/>
    </xf>
    <xf numFmtId="0" fontId="0" fillId="8" borderId="0" xfId="0" applyFill="1" applyBorder="1" applyAlignment="1" applyProtection="1">
      <alignment horizontal="right"/>
      <protection hidden="1"/>
    </xf>
    <xf numFmtId="0" fontId="0" fillId="8" borderId="0" xfId="0" applyFill="1" applyBorder="1" applyAlignment="1">
      <alignment horizontal="right"/>
    </xf>
    <xf numFmtId="0" fontId="0" fillId="10" borderId="0" xfId="0" applyFill="1" applyBorder="1" applyAlignment="1" applyProtection="1">
      <alignment horizontal="left"/>
      <protection locked="0"/>
    </xf>
    <xf numFmtId="0" fontId="0" fillId="8" borderId="0" xfId="0" applyFont="1" applyFill="1" applyBorder="1" applyAlignment="1" applyProtection="1">
      <alignment horizontal="right"/>
      <protection hidden="1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26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27" fillId="0" borderId="11" xfId="6" applyFont="1" applyBorder="1"/>
    <xf numFmtId="0" fontId="27" fillId="0" borderId="19" xfId="6" applyFont="1" applyBorder="1"/>
    <xf numFmtId="0" fontId="14" fillId="0" borderId="13" xfId="6" applyBorder="1"/>
    <xf numFmtId="0" fontId="14" fillId="0" borderId="31" xfId="6" applyBorder="1"/>
    <xf numFmtId="0" fontId="14" fillId="0" borderId="15" xfId="6" applyBorder="1"/>
    <xf numFmtId="0" fontId="14" fillId="11" borderId="0" xfId="6" applyFill="1" applyBorder="1"/>
    <xf numFmtId="0" fontId="0" fillId="11" borderId="14" xfId="0" applyFill="1" applyBorder="1"/>
    <xf numFmtId="0" fontId="14" fillId="11" borderId="6" xfId="6" applyFill="1" applyBorder="1"/>
    <xf numFmtId="0" fontId="0" fillId="11" borderId="32" xfId="0" applyFill="1" applyBorder="1"/>
    <xf numFmtId="0" fontId="14" fillId="11" borderId="20" xfId="6" applyFill="1" applyBorder="1"/>
    <xf numFmtId="0" fontId="0" fillId="11" borderId="16" xfId="0" applyFill="1" applyBorder="1"/>
    <xf numFmtId="0" fontId="0" fillId="7" borderId="33" xfId="0" applyFill="1" applyBorder="1"/>
    <xf numFmtId="0" fontId="0" fillId="0" borderId="0" xfId="0" applyFill="1" applyBorder="1"/>
    <xf numFmtId="0" fontId="17" fillId="0" borderId="0" xfId="0" quotePrefix="1" applyNumberFormat="1" applyFont="1" applyFill="1" applyAlignment="1" applyProtection="1">
      <alignment horizontal="left"/>
    </xf>
    <xf numFmtId="0" fontId="19" fillId="0" borderId="0" xfId="0" applyNumberFormat="1" applyFont="1" applyFill="1" applyAlignment="1" applyProtection="1">
      <alignment horizontal="left"/>
    </xf>
    <xf numFmtId="0" fontId="19" fillId="0" borderId="0" xfId="0" applyNumberFormat="1" applyFont="1" applyFill="1" applyAlignment="1">
      <alignment horizontal="right" vertical="top"/>
    </xf>
    <xf numFmtId="3" fontId="33" fillId="0" borderId="0" xfId="0" applyNumberFormat="1" applyFont="1" applyFill="1" applyBorder="1" applyAlignment="1" applyProtection="1">
      <alignment horizontal="left"/>
    </xf>
    <xf numFmtId="0" fontId="34" fillId="0" borderId="0" xfId="0" applyNumberFormat="1" applyFont="1" applyFill="1" applyAlignment="1" applyProtection="1">
      <alignment horizontal="left"/>
    </xf>
    <xf numFmtId="0" fontId="0" fillId="12" borderId="0" xfId="0" applyNumberFormat="1" applyFill="1"/>
    <xf numFmtId="0" fontId="0" fillId="12" borderId="0" xfId="0" applyNumberFormat="1" applyFont="1" applyFill="1"/>
    <xf numFmtId="0" fontId="0" fillId="0" borderId="18" xfId="0" applyBorder="1"/>
    <xf numFmtId="0" fontId="0" fillId="0" borderId="17" xfId="0" applyFill="1" applyBorder="1"/>
    <xf numFmtId="0" fontId="0" fillId="5" borderId="0" xfId="0" applyNumberFormat="1" applyFont="1" applyFill="1" applyAlignment="1">
      <alignment horizontal="center"/>
    </xf>
    <xf numFmtId="0" fontId="3" fillId="0" borderId="0" xfId="17" applyAlignment="1">
      <alignment wrapText="1"/>
    </xf>
    <xf numFmtId="0" fontId="3" fillId="0" borderId="0" xfId="17" quotePrefix="1"/>
    <xf numFmtId="0" fontId="0" fillId="0" borderId="0" xfId="0" applyAlignment="1">
      <alignment horizontal="center" vertical="center"/>
    </xf>
    <xf numFmtId="0" fontId="3" fillId="0" borderId="0" xfId="17" applyAlignment="1">
      <alignment horizontal="left"/>
    </xf>
    <xf numFmtId="0" fontId="1" fillId="0" borderId="0" xfId="17" applyFont="1"/>
    <xf numFmtId="0" fontId="0" fillId="2" borderId="8" xfId="0" applyNumberFormat="1" applyFill="1" applyBorder="1" applyAlignment="1">
      <alignment horizontal="left" vertical="top" wrapText="1"/>
    </xf>
    <xf numFmtId="0" fontId="0" fillId="2" borderId="9" xfId="0" applyNumberFormat="1" applyFont="1" applyFill="1" applyBorder="1" applyAlignment="1">
      <alignment horizontal="left" vertical="top" wrapText="1"/>
    </xf>
    <xf numFmtId="0" fontId="0" fillId="2" borderId="10" xfId="0" applyNumberFormat="1" applyFont="1" applyFill="1" applyBorder="1" applyAlignment="1">
      <alignment horizontal="left" vertical="top" wrapText="1"/>
    </xf>
  </cellXfs>
  <cellStyles count="18">
    <cellStyle name="Standaard" xfId="0" builtinId="0"/>
    <cellStyle name="Standaard 10" xfId="10" xr:uid="{00000000-0005-0000-0000-000001000000}"/>
    <cellStyle name="Standaard 11" xfId="11" xr:uid="{00000000-0005-0000-0000-000002000000}"/>
    <cellStyle name="Standaard 12" xfId="12" xr:uid="{00000000-0005-0000-0000-000003000000}"/>
    <cellStyle name="Standaard 13" xfId="13" xr:uid="{00000000-0005-0000-0000-000004000000}"/>
    <cellStyle name="Standaard 14" xfId="14" xr:uid="{00000000-0005-0000-0000-000005000000}"/>
    <cellStyle name="Standaard 15" xfId="15" xr:uid="{00000000-0005-0000-0000-000006000000}"/>
    <cellStyle name="Standaard 16" xfId="16" xr:uid="{00000000-0005-0000-0000-000007000000}"/>
    <cellStyle name="Standaard 17" xfId="17" xr:uid="{00000000-0005-0000-0000-000008000000}"/>
    <cellStyle name="Standaard 2" xfId="1" xr:uid="{00000000-0005-0000-0000-000009000000}"/>
    <cellStyle name="Standaard 3" xfId="2" xr:uid="{00000000-0005-0000-0000-00000A000000}"/>
    <cellStyle name="Standaard 4" xfId="3" xr:uid="{00000000-0005-0000-0000-00000B000000}"/>
    <cellStyle name="Standaard 5" xfId="4" xr:uid="{00000000-0005-0000-0000-00000C000000}"/>
    <cellStyle name="Standaard 6" xfId="5" xr:uid="{00000000-0005-0000-0000-00000D000000}"/>
    <cellStyle name="Standaard 7" xfId="7" xr:uid="{00000000-0005-0000-0000-00000E000000}"/>
    <cellStyle name="Standaard 8" xfId="8" xr:uid="{00000000-0005-0000-0000-00000F000000}"/>
    <cellStyle name="Standaard 9" xfId="9" xr:uid="{00000000-0005-0000-0000-000010000000}"/>
    <cellStyle name="Standaard_Lias stamgegevens 2011-07" xfId="6" xr:uid="{00000000-0005-0000-0000-000011000000}"/>
  </cellStyles>
  <dxfs count="6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indexed="10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>
          <bgColor indexed="10"/>
        </patternFill>
      </fill>
    </dxf>
    <dxf>
      <fill>
        <patternFill>
          <bgColor rgb="FFFF7C80"/>
        </patternFill>
      </fill>
    </dxf>
  </dxfs>
  <tableStyles count="0" defaultTableStyle="TableStyleMedium9" defaultPivotStyle="PivotStyleLight16"/>
  <colors>
    <mruColors>
      <color rgb="FFFFFFCC"/>
      <color rgb="FFFF7C80"/>
      <color rgb="FFC4E59F"/>
      <color rgb="FFABDB77"/>
      <color rgb="FFCCCC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GemeenteCode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fmlaLink="BesluitCode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checked="Checked" firstButton="1" fmlaLink="BoekjaarCode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Radio" checked="Checked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76200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Gemeente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</xdr:row>
          <xdr:rowOff>19050</xdr:rowOff>
        </xdr:from>
        <xdr:to>
          <xdr:col>3</xdr:col>
          <xdr:colOff>485775</xdr:colOff>
          <xdr:row>4</xdr:row>
          <xdr:rowOff>66675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Wassenaar (1)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57150</xdr:rowOff>
        </xdr:from>
        <xdr:to>
          <xdr:col>3</xdr:col>
          <xdr:colOff>485775</xdr:colOff>
          <xdr:row>5</xdr:row>
          <xdr:rowOff>104775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Voorschoten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66675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4100" name="Group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Besluit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76200</xdr:rowOff>
        </xdr:from>
        <xdr:to>
          <xdr:col>3</xdr:col>
          <xdr:colOff>485775</xdr:colOff>
          <xdr:row>11</xdr:row>
          <xdr:rowOff>123825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Raad / AB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11</xdr:row>
          <xdr:rowOff>104775</xdr:rowOff>
        </xdr:from>
        <xdr:to>
          <xdr:col>3</xdr:col>
          <xdr:colOff>485775</xdr:colOff>
          <xdr:row>12</xdr:row>
          <xdr:rowOff>152400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College van b&amp;w / AB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12</xdr:row>
          <xdr:rowOff>133350</xdr:rowOff>
        </xdr:from>
        <xdr:to>
          <xdr:col>3</xdr:col>
          <xdr:colOff>485775</xdr:colOff>
          <xdr:row>14</xdr:row>
          <xdr:rowOff>9525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Managementteam / DT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13</xdr:row>
          <xdr:rowOff>161925</xdr:rowOff>
        </xdr:from>
        <xdr:to>
          <xdr:col>3</xdr:col>
          <xdr:colOff>847725</xdr:colOff>
          <xdr:row>15</xdr:row>
          <xdr:rowOff>38100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Administratieve wijziging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76200</xdr:rowOff>
        </xdr:from>
        <xdr:to>
          <xdr:col>4</xdr:col>
          <xdr:colOff>9525</xdr:colOff>
          <xdr:row>23</xdr:row>
          <xdr:rowOff>9525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Boekjaar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19</xdr:row>
          <xdr:rowOff>142875</xdr:rowOff>
        </xdr:from>
        <xdr:to>
          <xdr:col>2</xdr:col>
          <xdr:colOff>504825</xdr:colOff>
          <xdr:row>21</xdr:row>
          <xdr:rowOff>19050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20</xdr:row>
          <xdr:rowOff>152400</xdr:rowOff>
        </xdr:from>
        <xdr:to>
          <xdr:col>2</xdr:col>
          <xdr:colOff>504825</xdr:colOff>
          <xdr:row>22</xdr:row>
          <xdr:rowOff>28575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76200</xdr:rowOff>
        </xdr:from>
        <xdr:to>
          <xdr:col>4</xdr:col>
          <xdr:colOff>9525</xdr:colOff>
          <xdr:row>29</xdr:row>
          <xdr:rowOff>9525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Begrotingswijziging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66675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4129" name="Group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Nummer en datum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66675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4130" name="Group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Omschrijving (40A)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457200</xdr:colOff>
          <xdr:row>26</xdr:row>
          <xdr:rowOff>152400</xdr:rowOff>
        </xdr:from>
        <xdr:to>
          <xdr:col>9</xdr:col>
          <xdr:colOff>0</xdr:colOff>
          <xdr:row>28</xdr:row>
          <xdr:rowOff>161925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Lucida Sans Unicode"/>
                  <a:cs typeface="Lucida Sans Unicode"/>
                </a:rPr>
                <a:t>Verder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95250</xdr:rowOff>
        </xdr:from>
        <xdr:to>
          <xdr:col>3</xdr:col>
          <xdr:colOff>504825</xdr:colOff>
          <xdr:row>6</xdr:row>
          <xdr:rowOff>142875</xdr:rowOff>
        </xdr:to>
        <xdr:sp macro="" textlink="">
          <xdr:nvSpPr>
            <xdr:cNvPr id="4136" name="Option 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Duivenvoorde (3)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447675</xdr:colOff>
      <xdr:row>39</xdr:row>
      <xdr:rowOff>133350</xdr:rowOff>
    </xdr:to>
    <xdr:pic>
      <xdr:nvPicPr>
        <xdr:cNvPr id="9220" name="Picture 4">
          <a:extLst>
            <a:ext uri="{FF2B5EF4-FFF2-40B4-BE49-F238E27FC236}">
              <a16:creationId xmlns:a16="http://schemas.microsoft.com/office/drawing/2014/main" id="{00000000-0008-0000-0200-000004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r="67552" b="32068"/>
        <a:stretch>
          <a:fillRect/>
        </a:stretch>
      </xdr:blipFill>
      <xdr:spPr bwMode="auto">
        <a:xfrm>
          <a:off x="0" y="0"/>
          <a:ext cx="5934075" cy="68199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</xdr:col>
      <xdr:colOff>409576</xdr:colOff>
      <xdr:row>9</xdr:row>
      <xdr:rowOff>28575</xdr:rowOff>
    </xdr:from>
    <xdr:to>
      <xdr:col>3</xdr:col>
      <xdr:colOff>676275</xdr:colOff>
      <xdr:row>10</xdr:row>
      <xdr:rowOff>152400</xdr:rowOff>
    </xdr:to>
    <xdr:sp macro="" textlink="">
      <xdr:nvSpPr>
        <xdr:cNvPr id="5" name="Ovaal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466976" y="1571625"/>
          <a:ext cx="266699" cy="295275"/>
        </a:xfrm>
        <a:prstGeom prst="ellipse">
          <a:avLst/>
        </a:prstGeom>
        <a:noFill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NL" sz="1100" b="1">
              <a:solidFill>
                <a:srgbClr val="FF0000"/>
              </a:solidFill>
            </a:rPr>
            <a:t>A</a:t>
          </a:r>
        </a:p>
      </xdr:txBody>
    </xdr:sp>
    <xdr:clientData/>
  </xdr:twoCellAnchor>
  <xdr:twoCellAnchor>
    <xdr:from>
      <xdr:col>3</xdr:col>
      <xdr:colOff>171450</xdr:colOff>
      <xdr:row>10</xdr:row>
      <xdr:rowOff>57150</xdr:rowOff>
    </xdr:from>
    <xdr:to>
      <xdr:col>3</xdr:col>
      <xdr:colOff>438149</xdr:colOff>
      <xdr:row>12</xdr:row>
      <xdr:rowOff>9525</xdr:rowOff>
    </xdr:to>
    <xdr:sp macro="" textlink="">
      <xdr:nvSpPr>
        <xdr:cNvPr id="6" name="Ovaal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228850" y="1771650"/>
          <a:ext cx="266699" cy="295275"/>
        </a:xfrm>
        <a:prstGeom prst="ellipse">
          <a:avLst/>
        </a:prstGeom>
        <a:noFill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NL" sz="1100" b="1">
              <a:solidFill>
                <a:srgbClr val="FF0000"/>
              </a:solidFill>
            </a:rPr>
            <a:t>B</a:t>
          </a:r>
        </a:p>
      </xdr:txBody>
    </xdr:sp>
    <xdr:clientData/>
  </xdr:twoCellAnchor>
  <xdr:twoCellAnchor>
    <xdr:from>
      <xdr:col>3</xdr:col>
      <xdr:colOff>466725</xdr:colOff>
      <xdr:row>11</xdr:row>
      <xdr:rowOff>85725</xdr:rowOff>
    </xdr:from>
    <xdr:to>
      <xdr:col>4</xdr:col>
      <xdr:colOff>47624</xdr:colOff>
      <xdr:row>13</xdr:row>
      <xdr:rowOff>38100</xdr:rowOff>
    </xdr:to>
    <xdr:sp macro="" textlink="">
      <xdr:nvSpPr>
        <xdr:cNvPr id="7" name="Ovaal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524125" y="1971675"/>
          <a:ext cx="266699" cy="295275"/>
        </a:xfrm>
        <a:prstGeom prst="ellipse">
          <a:avLst/>
        </a:prstGeom>
        <a:noFill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NL" sz="1100" b="1">
              <a:solidFill>
                <a:srgbClr val="FF0000"/>
              </a:solidFill>
            </a:rPr>
            <a:t>C</a:t>
          </a:r>
        </a:p>
      </xdr:txBody>
    </xdr:sp>
    <xdr:clientData/>
  </xdr:twoCellAnchor>
  <xdr:twoCellAnchor>
    <xdr:from>
      <xdr:col>3</xdr:col>
      <xdr:colOff>209550</xdr:colOff>
      <xdr:row>12</xdr:row>
      <xdr:rowOff>104775</xdr:rowOff>
    </xdr:from>
    <xdr:to>
      <xdr:col>3</xdr:col>
      <xdr:colOff>476249</xdr:colOff>
      <xdr:row>14</xdr:row>
      <xdr:rowOff>57150</xdr:rowOff>
    </xdr:to>
    <xdr:sp macro="" textlink="">
      <xdr:nvSpPr>
        <xdr:cNvPr id="8" name="Ovaa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266950" y="2162175"/>
          <a:ext cx="266699" cy="295275"/>
        </a:xfrm>
        <a:prstGeom prst="ellipse">
          <a:avLst/>
        </a:prstGeom>
        <a:noFill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nl-NL" sz="1100" b="1">
              <a:solidFill>
                <a:srgbClr val="FF0000"/>
              </a:solidFill>
            </a:rPr>
            <a:t>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4">
    <tabColor rgb="FFFF0000"/>
  </sheetPr>
  <dimension ref="B1:J31"/>
  <sheetViews>
    <sheetView showGridLines="0" zoomScaleNormal="100" workbookViewId="0">
      <selection activeCell="G21" sqref="G21"/>
    </sheetView>
  </sheetViews>
  <sheetFormatPr defaultRowHeight="13.5" x14ac:dyDescent="0.25"/>
  <cols>
    <col min="1" max="1" width="1.625" customWidth="1"/>
    <col min="2" max="2" width="6.125" customWidth="1"/>
    <col min="3" max="3" width="8.5" customWidth="1"/>
    <col min="4" max="4" width="13.25" customWidth="1"/>
    <col min="6" max="6" width="7.125" bestFit="1" customWidth="1"/>
    <col min="7" max="7" width="10.75" bestFit="1" customWidth="1"/>
    <col min="8" max="8" width="13.625" customWidth="1"/>
    <col min="10" max="10" width="4.75" customWidth="1"/>
  </cols>
  <sheetData>
    <row r="1" spans="2:10" ht="9.9499999999999993" customHeight="1" thickBot="1" x14ac:dyDescent="0.3"/>
    <row r="2" spans="2:10" x14ac:dyDescent="0.25">
      <c r="B2" s="119"/>
      <c r="C2" s="120"/>
      <c r="D2" s="120"/>
      <c r="E2" s="120"/>
      <c r="F2" s="120"/>
      <c r="G2" s="120"/>
      <c r="H2" s="120"/>
      <c r="I2" s="120"/>
      <c r="J2" s="121"/>
    </row>
    <row r="3" spans="2:10" x14ac:dyDescent="0.25">
      <c r="B3" s="122"/>
      <c r="C3" s="78"/>
      <c r="D3" s="78"/>
      <c r="E3" s="78"/>
      <c r="F3" s="78"/>
      <c r="G3" s="78"/>
      <c r="H3" s="78"/>
      <c r="I3" s="78"/>
      <c r="J3" s="123"/>
    </row>
    <row r="4" spans="2:10" x14ac:dyDescent="0.25">
      <c r="B4" s="124"/>
      <c r="C4" s="108"/>
      <c r="D4" s="108"/>
      <c r="E4" s="78"/>
      <c r="F4" s="78"/>
      <c r="G4" s="78"/>
      <c r="H4" s="78"/>
      <c r="I4" s="78"/>
      <c r="J4" s="123"/>
    </row>
    <row r="5" spans="2:10" x14ac:dyDescent="0.25">
      <c r="B5" s="124"/>
      <c r="C5" s="108"/>
      <c r="D5" s="108"/>
      <c r="E5" s="78"/>
      <c r="F5" s="78"/>
      <c r="G5" s="78"/>
      <c r="H5" s="78"/>
      <c r="I5" s="78"/>
      <c r="J5" s="123"/>
    </row>
    <row r="6" spans="2:10" x14ac:dyDescent="0.25">
      <c r="B6" s="124"/>
      <c r="C6" s="108"/>
      <c r="D6" s="108"/>
      <c r="E6" s="78"/>
      <c r="F6" s="78"/>
      <c r="G6" s="78"/>
      <c r="H6" s="78"/>
      <c r="I6" s="78"/>
      <c r="J6" s="123"/>
    </row>
    <row r="7" spans="2:10" x14ac:dyDescent="0.25">
      <c r="B7" s="124"/>
      <c r="C7" s="108"/>
      <c r="D7" s="108"/>
      <c r="E7" s="78"/>
      <c r="F7" s="78"/>
      <c r="G7" s="78"/>
      <c r="H7" s="78"/>
      <c r="I7" s="78"/>
      <c r="J7" s="123"/>
    </row>
    <row r="8" spans="2:10" x14ac:dyDescent="0.25">
      <c r="B8" s="124"/>
      <c r="C8" s="78"/>
      <c r="D8" s="78"/>
      <c r="E8" s="78"/>
      <c r="F8" s="78"/>
      <c r="G8" s="78"/>
      <c r="H8" s="78"/>
      <c r="I8" s="78"/>
      <c r="J8" s="123"/>
    </row>
    <row r="9" spans="2:10" x14ac:dyDescent="0.25">
      <c r="B9" s="124"/>
      <c r="C9" s="78"/>
      <c r="D9" s="78"/>
      <c r="E9" s="78"/>
      <c r="F9" s="78"/>
      <c r="G9" s="78"/>
      <c r="H9" s="78"/>
      <c r="I9" s="78"/>
      <c r="J9" s="123"/>
    </row>
    <row r="10" spans="2:10" x14ac:dyDescent="0.25">
      <c r="B10" s="124"/>
      <c r="C10" s="78"/>
      <c r="D10" s="78"/>
      <c r="E10" s="78"/>
      <c r="F10" s="78"/>
      <c r="G10" s="78"/>
      <c r="H10" s="78"/>
      <c r="I10" s="78"/>
      <c r="J10" s="123"/>
    </row>
    <row r="11" spans="2:10" x14ac:dyDescent="0.25">
      <c r="B11" s="124"/>
      <c r="C11" s="108"/>
      <c r="D11" s="108"/>
      <c r="E11" s="78"/>
      <c r="F11" s="108"/>
      <c r="G11" s="108"/>
      <c r="H11" s="108"/>
      <c r="I11" s="108"/>
      <c r="J11" s="123"/>
    </row>
    <row r="12" spans="2:10" x14ac:dyDescent="0.25">
      <c r="B12" s="124"/>
      <c r="C12" s="108"/>
      <c r="D12" s="108"/>
      <c r="E12" s="78"/>
      <c r="F12" s="109" t="s">
        <v>121</v>
      </c>
      <c r="G12" s="109" t="str">
        <f>Prefix&amp;"voorstel"</f>
        <v>raadsvoorstel</v>
      </c>
      <c r="H12" s="106">
        <v>1</v>
      </c>
      <c r="I12" s="108"/>
      <c r="J12" s="123"/>
    </row>
    <row r="13" spans="2:10" x14ac:dyDescent="0.25">
      <c r="B13" s="124"/>
      <c r="C13" s="108"/>
      <c r="D13" s="108"/>
      <c r="E13" s="78"/>
      <c r="F13" s="109" t="s">
        <v>139</v>
      </c>
      <c r="G13" s="109" t="str">
        <f>Prefix&amp;"voorstel"</f>
        <v>raadsvoorstel</v>
      </c>
      <c r="H13" s="107">
        <v>44197</v>
      </c>
      <c r="I13" s="108" t="s">
        <v>51</v>
      </c>
      <c r="J13" s="123"/>
    </row>
    <row r="14" spans="2:10" x14ac:dyDescent="0.25">
      <c r="B14" s="124"/>
      <c r="C14" s="108"/>
      <c r="D14" s="108"/>
      <c r="E14" s="78"/>
      <c r="F14" s="109" t="s">
        <v>139</v>
      </c>
      <c r="G14" s="109" t="str">
        <f>Prefix&amp;"besluit"</f>
        <v>raadsbesluit</v>
      </c>
      <c r="H14" s="107">
        <v>44228</v>
      </c>
      <c r="I14" s="108" t="s">
        <v>51</v>
      </c>
      <c r="J14" s="123"/>
    </row>
    <row r="15" spans="2:10" x14ac:dyDescent="0.25">
      <c r="B15" s="124"/>
      <c r="C15" s="108"/>
      <c r="D15" s="108"/>
      <c r="E15" s="78"/>
      <c r="F15" s="108"/>
      <c r="G15" s="108"/>
      <c r="H15" s="108"/>
      <c r="I15" s="108"/>
      <c r="J15" s="123"/>
    </row>
    <row r="16" spans="2:10" x14ac:dyDescent="0.25">
      <c r="B16" s="124"/>
      <c r="C16" s="108"/>
      <c r="D16" s="108"/>
      <c r="E16" s="78"/>
      <c r="F16" s="108"/>
      <c r="G16" s="108"/>
      <c r="H16" s="108"/>
      <c r="I16" s="108"/>
      <c r="J16" s="123"/>
    </row>
    <row r="17" spans="2:10" x14ac:dyDescent="0.25">
      <c r="B17" s="124"/>
      <c r="C17" s="78"/>
      <c r="D17" s="78"/>
      <c r="E17" s="78"/>
      <c r="F17" s="78"/>
      <c r="G17" s="78"/>
      <c r="H17" s="78"/>
      <c r="I17" s="78"/>
      <c r="J17" s="123"/>
    </row>
    <row r="18" spans="2:10" x14ac:dyDescent="0.25">
      <c r="B18" s="124"/>
      <c r="C18" s="78"/>
      <c r="D18" s="78"/>
      <c r="E18" s="78"/>
      <c r="F18" s="78"/>
      <c r="G18" s="78"/>
      <c r="H18" s="78"/>
      <c r="I18" s="78"/>
      <c r="J18" s="123"/>
    </row>
    <row r="19" spans="2:10" x14ac:dyDescent="0.25">
      <c r="B19" s="124"/>
      <c r="C19" s="78"/>
      <c r="D19" s="78"/>
      <c r="E19" s="78"/>
      <c r="F19" s="78"/>
      <c r="G19" s="78"/>
      <c r="H19" s="78"/>
      <c r="I19" s="78"/>
      <c r="J19" s="123"/>
    </row>
    <row r="20" spans="2:10" x14ac:dyDescent="0.25">
      <c r="B20" s="124"/>
      <c r="C20" s="108"/>
      <c r="D20" s="108"/>
      <c r="E20" s="78"/>
      <c r="F20" s="108"/>
      <c r="G20" s="108"/>
      <c r="H20" s="108"/>
      <c r="I20" s="108"/>
      <c r="J20" s="123"/>
    </row>
    <row r="21" spans="2:10" x14ac:dyDescent="0.25">
      <c r="B21" s="124"/>
      <c r="C21" s="110">
        <f ca="1">BoekjaarMax</f>
        <v>2021</v>
      </c>
      <c r="D21" s="111"/>
      <c r="E21" s="78"/>
      <c r="F21" s="112" t="s">
        <v>173</v>
      </c>
      <c r="G21" s="113"/>
      <c r="H21" s="113"/>
      <c r="I21" s="114">
        <f>LEN(OmschrijvingKort)</f>
        <v>23</v>
      </c>
      <c r="J21" s="123"/>
    </row>
    <row r="22" spans="2:10" x14ac:dyDescent="0.25">
      <c r="B22" s="124"/>
      <c r="C22" s="110">
        <f ca="1">BoekjaarMin</f>
        <v>2020</v>
      </c>
      <c r="D22" s="111"/>
      <c r="E22" s="78"/>
      <c r="F22" s="108"/>
      <c r="G22" s="108"/>
      <c r="H22" s="108"/>
      <c r="I22" s="108"/>
      <c r="J22" s="123"/>
    </row>
    <row r="23" spans="2:10" x14ac:dyDescent="0.25">
      <c r="B23" s="124"/>
      <c r="C23" s="111"/>
      <c r="D23" s="111"/>
      <c r="E23" s="78"/>
      <c r="F23" s="78"/>
      <c r="G23" s="78"/>
      <c r="H23" s="78"/>
      <c r="I23" s="78"/>
      <c r="J23" s="123"/>
    </row>
    <row r="24" spans="2:10" x14ac:dyDescent="0.25">
      <c r="B24" s="124"/>
      <c r="C24" s="78"/>
      <c r="D24" s="78"/>
      <c r="E24" s="78"/>
      <c r="F24" s="78"/>
      <c r="G24" s="78"/>
      <c r="H24" s="78"/>
      <c r="I24" s="78"/>
      <c r="J24" s="123"/>
    </row>
    <row r="25" spans="2:10" x14ac:dyDescent="0.25">
      <c r="B25" s="124"/>
      <c r="C25" s="78"/>
      <c r="D25" s="78"/>
      <c r="E25" s="78"/>
      <c r="F25" s="78"/>
      <c r="G25" s="78"/>
      <c r="H25" s="78"/>
      <c r="I25" s="78"/>
      <c r="J25" s="123"/>
    </row>
    <row r="26" spans="2:10" x14ac:dyDescent="0.25">
      <c r="B26" s="124"/>
      <c r="C26" s="78"/>
      <c r="D26" s="78"/>
      <c r="E26" s="78"/>
      <c r="F26" s="78"/>
      <c r="G26" s="78"/>
      <c r="H26" s="78"/>
      <c r="I26" s="78"/>
      <c r="J26" s="123"/>
    </row>
    <row r="27" spans="2:10" x14ac:dyDescent="0.25">
      <c r="B27" s="124"/>
      <c r="C27" s="115" t="str">
        <f>"min: "&amp;WijzigingMin</f>
        <v>min: 1</v>
      </c>
      <c r="D27" s="116"/>
      <c r="E27" s="78"/>
      <c r="F27" s="78"/>
      <c r="G27" s="78"/>
      <c r="H27" s="78"/>
      <c r="I27" s="78"/>
      <c r="J27" s="123"/>
    </row>
    <row r="28" spans="2:10" x14ac:dyDescent="0.25">
      <c r="B28" s="124"/>
      <c r="C28" s="111"/>
      <c r="D28" s="117">
        <v>2</v>
      </c>
      <c r="E28" s="78"/>
      <c r="F28" s="78"/>
      <c r="G28" s="78"/>
      <c r="H28" s="78"/>
      <c r="I28" s="78"/>
      <c r="J28" s="123"/>
    </row>
    <row r="29" spans="2:10" x14ac:dyDescent="0.25">
      <c r="B29" s="124"/>
      <c r="C29" s="118" t="str">
        <f>"max: " &amp; WijzigingMax</f>
        <v>max: 100</v>
      </c>
      <c r="D29" s="110"/>
      <c r="E29" s="78"/>
      <c r="F29" s="78"/>
      <c r="G29" s="78"/>
      <c r="H29" s="78"/>
      <c r="I29" s="78"/>
      <c r="J29" s="123"/>
    </row>
    <row r="30" spans="2:10" x14ac:dyDescent="0.25">
      <c r="B30" s="124"/>
      <c r="C30" s="78"/>
      <c r="D30" s="78"/>
      <c r="E30" s="78"/>
      <c r="F30" s="78"/>
      <c r="G30" s="78"/>
      <c r="H30" s="78"/>
      <c r="I30" s="78"/>
      <c r="J30" s="123"/>
    </row>
    <row r="31" spans="2:10" ht="14.25" thickBot="1" x14ac:dyDescent="0.3">
      <c r="B31" s="125"/>
      <c r="C31" s="126"/>
      <c r="D31" s="126"/>
      <c r="E31" s="126"/>
      <c r="F31" s="126"/>
      <c r="G31" s="126"/>
      <c r="H31" s="126"/>
      <c r="I31" s="126"/>
      <c r="J31" s="127"/>
    </row>
  </sheetData>
  <sheetProtection selectLockedCells="1"/>
  <conditionalFormatting sqref="F21:H21">
    <cfRule type="expression" dxfId="5" priority="1">
      <formula>$I$21&gt;40</formula>
    </cfRule>
  </conditionalFormatting>
  <dataValidations count="3">
    <dataValidation type="whole" allowBlank="1" showInputMessage="1" showErrorMessage="1" errorTitle="INVOERFOUT" error="Let op de minimale en maximale waarden!" sqref="D28" xr:uid="{00000000-0002-0000-0000-000000000000}">
      <formula1>WijzigingMin</formula1>
      <formula2>WijzigingMax</formula2>
    </dataValidation>
    <dataValidation type="date" allowBlank="1" showInputMessage="1" showErrorMessage="1" error="Eerste datum: 01-01-(boekjaar-2)_x000a_Laatste datum: vandaag+60 dagen" sqref="H13:H14" xr:uid="{00000000-0002-0000-0000-000001000000}">
      <formula1>DATE(Boekjaar-2,1,1)</formula1>
      <formula2>TODAY()+60</formula2>
    </dataValidation>
    <dataValidation type="textLength" errorStyle="information" allowBlank="1" showInputMessage="1" showErrorMessage="1" errorTitle="INVOERFOUT" error="Maximaal 40 posities lang!" sqref="F21" xr:uid="{00000000-0002-0000-0000-000002000000}">
      <formula1>1</formula1>
      <formula2>40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2</xdr:col>
                    <xdr:colOff>0</xdr:colOff>
                    <xdr:row>2</xdr:row>
                    <xdr:rowOff>76200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 macro="[0]!KlikGemeente">
                <anchor moveWithCells="1">
                  <from>
                    <xdr:col>2</xdr:col>
                    <xdr:colOff>57150</xdr:colOff>
                    <xdr:row>3</xdr:row>
                    <xdr:rowOff>19050</xdr:rowOff>
                  </from>
                  <to>
                    <xdr:col>3</xdr:col>
                    <xdr:colOff>485775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 macro="[0]!KlikGemeente">
                <anchor moveWithCells="1">
                  <from>
                    <xdr:col>2</xdr:col>
                    <xdr:colOff>57150</xdr:colOff>
                    <xdr:row>4</xdr:row>
                    <xdr:rowOff>57150</xdr:rowOff>
                  </from>
                  <to>
                    <xdr:col>3</xdr:col>
                    <xdr:colOff>485775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Group Box 4">
              <controlPr defaultSize="0" autoFill="0" autoPict="0">
                <anchor moveWithCells="1">
                  <from>
                    <xdr:col>2</xdr:col>
                    <xdr:colOff>0</xdr:colOff>
                    <xdr:row>9</xdr:row>
                    <xdr:rowOff>66675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Option Button 5">
              <controlPr defaultSize="0" autoFill="0" autoLine="0" autoPict="0" macro="[0]!KlikGremia">
                <anchor moveWithCells="1">
                  <from>
                    <xdr:col>2</xdr:col>
                    <xdr:colOff>57150</xdr:colOff>
                    <xdr:row>10</xdr:row>
                    <xdr:rowOff>76200</xdr:rowOff>
                  </from>
                  <to>
                    <xdr:col>3</xdr:col>
                    <xdr:colOff>485775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Option Button 6">
              <controlPr defaultSize="0" autoFill="0" autoLine="0" autoPict="0" macro="[0]!KlikGremia">
                <anchor moveWithCells="1">
                  <from>
                    <xdr:col>2</xdr:col>
                    <xdr:colOff>57150</xdr:colOff>
                    <xdr:row>11</xdr:row>
                    <xdr:rowOff>104775</xdr:rowOff>
                  </from>
                  <to>
                    <xdr:col>3</xdr:col>
                    <xdr:colOff>485775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Option Button 7">
              <controlPr defaultSize="0" autoFill="0" autoLine="0" autoPict="0" macro="[0]!KlikGremia">
                <anchor moveWithCells="1">
                  <from>
                    <xdr:col>2</xdr:col>
                    <xdr:colOff>57150</xdr:colOff>
                    <xdr:row>12</xdr:row>
                    <xdr:rowOff>133350</xdr:rowOff>
                  </from>
                  <to>
                    <xdr:col>3</xdr:col>
                    <xdr:colOff>485775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Option Button 8">
              <controlPr defaultSize="0" autoFill="0" autoLine="0" autoPict="0" macro="[0]!KlikGremia">
                <anchor moveWithCells="1">
                  <from>
                    <xdr:col>2</xdr:col>
                    <xdr:colOff>57150</xdr:colOff>
                    <xdr:row>13</xdr:row>
                    <xdr:rowOff>161925</xdr:rowOff>
                  </from>
                  <to>
                    <xdr:col>3</xdr:col>
                    <xdr:colOff>847725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Group Box 17">
              <controlPr defaultSize="0" autoFill="0" autoPict="0">
                <anchor moveWithCells="1">
                  <from>
                    <xdr:col>2</xdr:col>
                    <xdr:colOff>0</xdr:colOff>
                    <xdr:row>18</xdr:row>
                    <xdr:rowOff>76200</xdr:rowOff>
                  </from>
                  <to>
                    <xdr:col>4</xdr:col>
                    <xdr:colOff>9525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3" name="Option Button 22">
              <controlPr defaultSize="0" autoFill="0" autoLine="0" autoPict="0" macro="[0]!KlikBoekjaar">
                <anchor moveWithCells="1">
                  <from>
                    <xdr:col>2</xdr:col>
                    <xdr:colOff>85725</xdr:colOff>
                    <xdr:row>19</xdr:row>
                    <xdr:rowOff>142875</xdr:rowOff>
                  </from>
                  <to>
                    <xdr:col>2</xdr:col>
                    <xdr:colOff>504825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4" name="Option Button 23">
              <controlPr defaultSize="0" autoFill="0" autoLine="0" autoPict="0" macro="[0]!KlikBoekjaar">
                <anchor moveWithCells="1">
                  <from>
                    <xdr:col>2</xdr:col>
                    <xdr:colOff>85725</xdr:colOff>
                    <xdr:row>20</xdr:row>
                    <xdr:rowOff>152400</xdr:rowOff>
                  </from>
                  <to>
                    <xdr:col>2</xdr:col>
                    <xdr:colOff>504825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5" name="Group Box 30">
              <controlPr defaultSize="0" autoFill="0" autoPict="0">
                <anchor moveWithCells="1">
                  <from>
                    <xdr:col>2</xdr:col>
                    <xdr:colOff>0</xdr:colOff>
                    <xdr:row>25</xdr:row>
                    <xdr:rowOff>76200</xdr:rowOff>
                  </from>
                  <to>
                    <xdr:col>4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6" name="Group Box 33">
              <controlPr defaultSize="0" autoFill="0" autoPict="0">
                <anchor moveWithCells="1">
                  <from>
                    <xdr:col>5</xdr:col>
                    <xdr:colOff>0</xdr:colOff>
                    <xdr:row>9</xdr:row>
                    <xdr:rowOff>66675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7" name="Group Box 34">
              <controlPr defaultSize="0" autoFill="0" autoPict="0">
                <anchor moveWithCells="1">
                  <from>
                    <xdr:col>5</xdr:col>
                    <xdr:colOff>0</xdr:colOff>
                    <xdr:row>18</xdr:row>
                    <xdr:rowOff>66675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18" name="Button 39">
              <controlPr defaultSize="0" print="0" autoFill="0" autoPict="0" macro="[0]!KlikVerder">
                <anchor moveWithCells="1" sizeWithCells="1">
                  <from>
                    <xdr:col>7</xdr:col>
                    <xdr:colOff>457200</xdr:colOff>
                    <xdr:row>26</xdr:row>
                    <xdr:rowOff>152400</xdr:rowOff>
                  </from>
                  <to>
                    <xdr:col>9</xdr:col>
                    <xdr:colOff>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19" name="Option Button 40">
              <controlPr defaultSize="0" autoFill="0" autoLine="0" autoPict="0" macro="[0]!KlikGemeente">
                <anchor moveWithCells="1">
                  <from>
                    <xdr:col>2</xdr:col>
                    <xdr:colOff>57150</xdr:colOff>
                    <xdr:row>5</xdr:row>
                    <xdr:rowOff>95250</xdr:rowOff>
                  </from>
                  <to>
                    <xdr:col>3</xdr:col>
                    <xdr:colOff>504825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>
    <tabColor rgb="FFFF0000"/>
    <pageSetUpPr fitToPage="1"/>
  </sheetPr>
  <dimension ref="A1:W26"/>
  <sheetViews>
    <sheetView tabSelected="1" workbookViewId="0">
      <pane xSplit="5" ySplit="18" topLeftCell="F19" activePane="bottomRight" state="frozen"/>
      <selection pane="topRight" activeCell="F1" sqref="F1"/>
      <selection pane="bottomLeft" activeCell="A15" sqref="A15"/>
      <selection pane="bottomRight" activeCell="E23" sqref="E23"/>
    </sheetView>
  </sheetViews>
  <sheetFormatPr defaultColWidth="9" defaultRowHeight="13.5" x14ac:dyDescent="0.25"/>
  <cols>
    <col min="1" max="2" width="9" style="3"/>
    <col min="3" max="3" width="10.5" style="3" customWidth="1"/>
    <col min="4" max="4" width="9.875" style="3" bestFit="1" customWidth="1"/>
    <col min="5" max="5" width="9" style="3"/>
    <col min="6" max="6" width="48.25" style="3" bestFit="1" customWidth="1"/>
    <col min="7" max="16" width="10.25" style="52" customWidth="1"/>
    <col min="17" max="18" width="4.25" style="7" customWidth="1"/>
    <col min="19" max="20" width="38.875" style="3" bestFit="1" customWidth="1"/>
    <col min="21" max="16384" width="9" style="3"/>
  </cols>
  <sheetData>
    <row r="1" spans="1:22" x14ac:dyDescent="0.25">
      <c r="A1" s="146" t="s">
        <v>50</v>
      </c>
      <c r="B1" s="1" t="s">
        <v>40</v>
      </c>
      <c r="C1" s="1" t="s">
        <v>41</v>
      </c>
      <c r="D1" s="1" t="s">
        <v>39</v>
      </c>
      <c r="E1" s="1" t="s">
        <v>42</v>
      </c>
      <c r="F1" s="1" t="s">
        <v>43</v>
      </c>
      <c r="G1" s="48" t="s">
        <v>44</v>
      </c>
      <c r="H1" s="48" t="s">
        <v>44</v>
      </c>
      <c r="I1" s="48" t="s">
        <v>45</v>
      </c>
      <c r="J1" s="48" t="s">
        <v>45</v>
      </c>
      <c r="K1" s="48" t="s">
        <v>46</v>
      </c>
      <c r="L1" s="48" t="s">
        <v>46</v>
      </c>
      <c r="M1" s="48" t="s">
        <v>47</v>
      </c>
      <c r="N1" s="48" t="s">
        <v>47</v>
      </c>
      <c r="O1" s="48" t="s">
        <v>38</v>
      </c>
      <c r="P1" s="48" t="s">
        <v>38</v>
      </c>
      <c r="Q1" s="2" t="s">
        <v>48</v>
      </c>
      <c r="R1" s="2" t="s">
        <v>57</v>
      </c>
      <c r="S1" s="1" t="s">
        <v>0</v>
      </c>
      <c r="T1" s="1" t="s">
        <v>43</v>
      </c>
      <c r="U1" s="1" t="s">
        <v>1</v>
      </c>
      <c r="V1" s="1" t="s">
        <v>154</v>
      </c>
    </row>
    <row r="2" spans="1:22" x14ac:dyDescent="0.25">
      <c r="A2" s="146"/>
      <c r="B2" s="1"/>
      <c r="C2" s="1"/>
      <c r="D2" s="1"/>
      <c r="E2" s="1"/>
      <c r="F2" s="1"/>
      <c r="G2" s="48"/>
      <c r="H2" s="48"/>
      <c r="I2" s="48"/>
      <c r="J2" s="48"/>
      <c r="K2" s="48"/>
      <c r="L2" s="48"/>
      <c r="M2" s="48"/>
      <c r="N2" s="48"/>
      <c r="O2" s="48"/>
      <c r="P2" s="48"/>
      <c r="Q2" s="2"/>
      <c r="R2" s="2"/>
      <c r="S2" s="1"/>
    </row>
    <row r="3" spans="1:22" ht="18" x14ac:dyDescent="0.25">
      <c r="A3" s="147"/>
      <c r="B3" s="4"/>
      <c r="D3" s="4"/>
      <c r="F3" s="144" t="str">
        <f ca="1">"TOELICHTING OP DE BEGROTINGSWIJZING, NUMMER "&amp;Begrotingswijziging&amp;" VAN "&amp;Boekjaar&amp;"."</f>
        <v>TOELICHTING OP DE BEGROTINGSWIJZING, NUMMER 2 VAN 2021.</v>
      </c>
      <c r="G3" s="49"/>
      <c r="H3" s="50"/>
      <c r="I3" s="51"/>
      <c r="J3" s="51"/>
      <c r="K3" s="51"/>
      <c r="L3" s="51"/>
    </row>
    <row r="4" spans="1:22" x14ac:dyDescent="0.25">
      <c r="A4" s="147"/>
      <c r="C4" s="8"/>
      <c r="D4" s="5"/>
      <c r="E4" s="8"/>
      <c r="F4" s="6"/>
      <c r="G4" s="51"/>
      <c r="H4" s="50"/>
      <c r="I4" s="51"/>
      <c r="J4" s="51"/>
      <c r="K4" s="51"/>
      <c r="L4" s="51"/>
    </row>
    <row r="5" spans="1:22" ht="16.5" x14ac:dyDescent="0.25">
      <c r="A5" s="147"/>
      <c r="B5" s="141"/>
      <c r="C5" s="8"/>
      <c r="D5" s="5"/>
      <c r="E5" s="6"/>
      <c r="F5" s="145" t="str">
        <f>Voorstel&amp;" nr. "&amp;NummerVoorstel &amp; " d.d. "&amp;TEXT(DatumVoorstel,"d mmmm jjjj")&amp;". "&amp;Besluit &amp;" d.d. "&amp;TEXT(DatumBesluit,"d mmmm jjjj")&amp;"."</f>
        <v>Raadsvoorstel nr. 1 d.d. 1 januari 2021. Raadsbesluit d.d. 1 februari 2021.</v>
      </c>
      <c r="G5" s="53"/>
      <c r="H5" s="51"/>
      <c r="I5" s="51"/>
      <c r="J5" s="51"/>
      <c r="K5" s="51"/>
      <c r="L5" s="51"/>
    </row>
    <row r="6" spans="1:22" x14ac:dyDescent="0.25">
      <c r="A6" s="147"/>
      <c r="B6" s="141"/>
      <c r="C6" s="8"/>
      <c r="D6" s="5"/>
      <c r="E6" s="6"/>
      <c r="F6" s="142"/>
      <c r="G6" s="53"/>
      <c r="H6" s="51"/>
      <c r="I6" s="51"/>
      <c r="J6" s="51"/>
      <c r="K6" s="51"/>
      <c r="L6" s="51"/>
    </row>
    <row r="7" spans="1:22" x14ac:dyDescent="0.25">
      <c r="A7" s="147"/>
      <c r="B7" s="10"/>
      <c r="C7" s="8"/>
      <c r="D7" s="5"/>
      <c r="E7" s="143" t="s">
        <v>166</v>
      </c>
      <c r="F7" s="142" t="str">
        <f>OmschrijvingKort</f>
        <v>Dit is een omschrijving</v>
      </c>
      <c r="G7" s="53"/>
      <c r="H7" s="51"/>
      <c r="I7" s="51"/>
      <c r="J7" s="51"/>
      <c r="K7" s="51"/>
      <c r="L7" s="51"/>
    </row>
    <row r="8" spans="1:22" x14ac:dyDescent="0.25">
      <c r="A8" s="147"/>
      <c r="B8" s="9"/>
      <c r="C8" s="8"/>
      <c r="D8" s="5"/>
      <c r="E8" s="6"/>
      <c r="F8" s="6"/>
      <c r="G8" s="53"/>
      <c r="H8" s="51"/>
      <c r="I8" s="51"/>
      <c r="J8" s="51"/>
      <c r="K8" s="51"/>
      <c r="L8" s="51"/>
    </row>
    <row r="9" spans="1:22" ht="66" customHeight="1" x14ac:dyDescent="0.25">
      <c r="A9" s="147"/>
      <c r="B9" s="10"/>
      <c r="C9" s="11"/>
      <c r="D9" s="11"/>
      <c r="E9" s="143" t="s">
        <v>60</v>
      </c>
      <c r="F9" s="156" t="s">
        <v>167</v>
      </c>
      <c r="G9" s="157"/>
      <c r="H9" s="157"/>
      <c r="I9" s="157"/>
      <c r="J9" s="157"/>
      <c r="K9" s="157"/>
      <c r="L9" s="157"/>
      <c r="M9" s="157"/>
      <c r="N9" s="158"/>
      <c r="Q9" s="12"/>
      <c r="R9" s="12"/>
      <c r="T9" s="1"/>
    </row>
    <row r="10" spans="1:22" x14ac:dyDescent="0.25">
      <c r="A10" s="147"/>
      <c r="B10" s="6"/>
      <c r="C10" s="13"/>
      <c r="D10" s="14"/>
      <c r="E10" s="6"/>
      <c r="F10" s="13"/>
      <c r="G10" s="54"/>
      <c r="H10" s="54"/>
      <c r="I10" s="54"/>
      <c r="J10" s="54"/>
      <c r="K10" s="54"/>
      <c r="L10" s="54"/>
    </row>
    <row r="11" spans="1:22" x14ac:dyDescent="0.25">
      <c r="B11" s="6"/>
      <c r="C11" s="13"/>
      <c r="D11" s="13" t="s">
        <v>103</v>
      </c>
      <c r="E11" s="6"/>
      <c r="F11" s="13"/>
      <c r="G11" s="72">
        <f t="shared" ref="G11:P11" si="0">SUMIF($U$17:$U$763,5,G$17:G$763)</f>
        <v>0</v>
      </c>
      <c r="H11" s="72">
        <f t="shared" si="0"/>
        <v>0</v>
      </c>
      <c r="I11" s="72">
        <f t="shared" si="0"/>
        <v>0</v>
      </c>
      <c r="J11" s="72">
        <f t="shared" si="0"/>
        <v>0</v>
      </c>
      <c r="K11" s="72">
        <f t="shared" si="0"/>
        <v>0</v>
      </c>
      <c r="L11" s="72">
        <f t="shared" si="0"/>
        <v>0</v>
      </c>
      <c r="M11" s="72">
        <f t="shared" si="0"/>
        <v>0</v>
      </c>
      <c r="N11" s="72">
        <f t="shared" si="0"/>
        <v>0</v>
      </c>
      <c r="O11" s="72">
        <f t="shared" si="0"/>
        <v>0</v>
      </c>
      <c r="P11" s="72">
        <f t="shared" si="0"/>
        <v>0</v>
      </c>
      <c r="Q11" s="72"/>
    </row>
    <row r="12" spans="1:22" x14ac:dyDescent="0.25">
      <c r="B12" s="6"/>
      <c r="C12" s="13"/>
      <c r="D12" s="13" t="s">
        <v>104</v>
      </c>
      <c r="E12" s="6"/>
      <c r="F12" s="13"/>
      <c r="G12" s="72">
        <f t="shared" ref="G12:P12" si="1">SUMIF($U$17:$U$763,6,G$17:G$763)</f>
        <v>0</v>
      </c>
      <c r="H12" s="72">
        <f t="shared" si="1"/>
        <v>0</v>
      </c>
      <c r="I12" s="72">
        <f t="shared" si="1"/>
        <v>0</v>
      </c>
      <c r="J12" s="72">
        <f t="shared" si="1"/>
        <v>0</v>
      </c>
      <c r="K12" s="72">
        <f t="shared" si="1"/>
        <v>0</v>
      </c>
      <c r="L12" s="72">
        <f t="shared" si="1"/>
        <v>0</v>
      </c>
      <c r="M12" s="72">
        <f t="shared" si="1"/>
        <v>0</v>
      </c>
      <c r="N12" s="72">
        <f t="shared" si="1"/>
        <v>0</v>
      </c>
      <c r="O12" s="72">
        <f t="shared" si="1"/>
        <v>0</v>
      </c>
      <c r="P12" s="72">
        <f t="shared" si="1"/>
        <v>0</v>
      </c>
      <c r="Q12" s="72"/>
    </row>
    <row r="13" spans="1:22" x14ac:dyDescent="0.25">
      <c r="B13" s="6"/>
      <c r="C13" s="13"/>
      <c r="D13" s="14"/>
      <c r="E13" s="13"/>
      <c r="F13" s="13"/>
      <c r="G13" s="54"/>
      <c r="H13" s="54"/>
      <c r="I13" s="54"/>
      <c r="J13" s="54"/>
      <c r="K13" s="54"/>
      <c r="L13" s="54"/>
    </row>
    <row r="14" spans="1:22" x14ac:dyDescent="0.25">
      <c r="A14" s="30"/>
      <c r="B14" s="31"/>
      <c r="C14" s="32"/>
      <c r="D14" s="32"/>
      <c r="E14" s="33" t="s">
        <v>61</v>
      </c>
      <c r="F14" s="32"/>
      <c r="G14" s="55"/>
      <c r="H14" s="56"/>
      <c r="I14" s="55"/>
      <c r="J14" s="57"/>
      <c r="K14" s="57"/>
      <c r="L14" s="57"/>
      <c r="M14" s="58"/>
      <c r="N14" s="58"/>
      <c r="O14" s="58"/>
      <c r="P14" s="58"/>
      <c r="Q14" s="34"/>
      <c r="R14" s="34"/>
      <c r="S14" s="35"/>
    </row>
    <row r="15" spans="1:22" x14ac:dyDescent="0.25">
      <c r="A15" s="36"/>
      <c r="B15" s="37"/>
      <c r="C15" s="37"/>
      <c r="D15" s="38"/>
      <c r="E15" s="37"/>
      <c r="F15" s="39"/>
      <c r="G15" s="59"/>
      <c r="H15" s="60"/>
      <c r="I15" s="59"/>
      <c r="J15" s="59"/>
      <c r="K15" s="59"/>
      <c r="L15" s="59"/>
      <c r="M15" s="61"/>
      <c r="N15" s="61"/>
      <c r="O15" s="61"/>
      <c r="P15" s="61"/>
      <c r="Q15" s="40"/>
      <c r="R15" s="40"/>
      <c r="S15" s="41"/>
    </row>
    <row r="16" spans="1:22" s="23" customFormat="1" ht="40.5" x14ac:dyDescent="0.25">
      <c r="A16" s="70" t="s">
        <v>56</v>
      </c>
      <c r="B16" s="24" t="s">
        <v>52</v>
      </c>
      <c r="C16" s="24" t="s">
        <v>53</v>
      </c>
      <c r="D16" s="45" t="s">
        <v>54</v>
      </c>
      <c r="E16" s="45" t="s">
        <v>55</v>
      </c>
      <c r="F16" s="25" t="s">
        <v>58</v>
      </c>
      <c r="G16" s="62" t="str">
        <f ca="1">"Mutatie
"&amp;Boekjaar</f>
        <v>Mutatie
2021</v>
      </c>
      <c r="H16" s="62" t="str">
        <f ca="1">"Mutatie
"&amp;Boekjaar</f>
        <v>Mutatie
2021</v>
      </c>
      <c r="I16" s="62" t="str">
        <f ca="1">"Mutatie
"&amp;Boekjaar+1</f>
        <v>Mutatie
2022</v>
      </c>
      <c r="J16" s="62" t="str">
        <f ca="1">"Mutatie
"&amp;Boekjaar+1</f>
        <v>Mutatie
2022</v>
      </c>
      <c r="K16" s="62" t="str">
        <f ca="1">"Mutatie
"&amp;Boekjaar+2</f>
        <v>Mutatie
2023</v>
      </c>
      <c r="L16" s="62" t="str">
        <f ca="1">"Mutatie
"&amp;Boekjaar+2</f>
        <v>Mutatie
2023</v>
      </c>
      <c r="M16" s="62" t="str">
        <f ca="1">"Mutatie
"&amp;Boekjaar+3</f>
        <v>Mutatie
2024</v>
      </c>
      <c r="N16" s="62" t="str">
        <f ca="1">"Mutatie
"&amp;Boekjaar+3</f>
        <v>Mutatie
2024</v>
      </c>
      <c r="O16" s="62" t="str">
        <f ca="1">"Mutatie
"&amp;Boekjaar+4</f>
        <v>Mutatie
2025</v>
      </c>
      <c r="P16" s="62" t="str">
        <f ca="1">"Mutatie
"&amp;Boekjaar+4</f>
        <v>Mutatie
2025</v>
      </c>
      <c r="Q16" s="45" t="s">
        <v>65</v>
      </c>
      <c r="R16" s="45" t="s">
        <v>57</v>
      </c>
      <c r="S16" s="46" t="s">
        <v>59</v>
      </c>
      <c r="T16" s="47" t="s">
        <v>62</v>
      </c>
    </row>
    <row r="17" spans="1:23" x14ac:dyDescent="0.25">
      <c r="A17" s="26"/>
      <c r="B17" s="27"/>
      <c r="C17" s="27"/>
      <c r="D17" s="28"/>
      <c r="E17" s="29"/>
      <c r="F17" s="29"/>
      <c r="G17" s="63" t="s">
        <v>63</v>
      </c>
      <c r="H17" s="64" t="s">
        <v>64</v>
      </c>
      <c r="I17" s="63" t="s">
        <v>63</v>
      </c>
      <c r="J17" s="64" t="s">
        <v>64</v>
      </c>
      <c r="K17" s="63" t="s">
        <v>63</v>
      </c>
      <c r="L17" s="64" t="s">
        <v>64</v>
      </c>
      <c r="M17" s="63" t="s">
        <v>63</v>
      </c>
      <c r="N17" s="64" t="s">
        <v>64</v>
      </c>
      <c r="O17" s="63" t="s">
        <v>63</v>
      </c>
      <c r="P17" s="64" t="s">
        <v>64</v>
      </c>
      <c r="Q17" s="27"/>
      <c r="R17" s="27"/>
      <c r="S17" s="26"/>
    </row>
    <row r="18" spans="1:23" x14ac:dyDescent="0.25">
      <c r="A18" s="20"/>
      <c r="B18" s="17"/>
      <c r="C18" s="17"/>
      <c r="D18" s="18"/>
      <c r="E18" s="16"/>
      <c r="F18" s="15"/>
      <c r="G18" s="65"/>
      <c r="H18" s="65"/>
      <c r="I18" s="65"/>
      <c r="J18" s="65"/>
      <c r="K18" s="65"/>
      <c r="L18" s="65"/>
      <c r="M18" s="66"/>
      <c r="N18" s="66"/>
      <c r="O18" s="66"/>
      <c r="P18" s="66"/>
      <c r="Q18" s="22"/>
      <c r="R18" s="22"/>
      <c r="S18" s="20"/>
      <c r="T18" s="20"/>
      <c r="U18" s="20"/>
    </row>
    <row r="19" spans="1:23" x14ac:dyDescent="0.25">
      <c r="A19" s="20" t="s">
        <v>2</v>
      </c>
      <c r="B19" s="21" t="s">
        <v>2</v>
      </c>
      <c r="C19" s="21" t="s">
        <v>2</v>
      </c>
      <c r="D19" s="20"/>
      <c r="E19" s="20"/>
      <c r="F19" s="19" t="s">
        <v>2</v>
      </c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22"/>
      <c r="R19" s="22"/>
      <c r="S19" s="20"/>
      <c r="T19" s="20"/>
      <c r="U19" s="20"/>
    </row>
    <row r="20" spans="1:23" x14ac:dyDescent="0.25">
      <c r="A20" s="150">
        <v>1</v>
      </c>
      <c r="B20" s="68" t="s">
        <v>170</v>
      </c>
      <c r="C20" s="68" t="s">
        <v>169</v>
      </c>
      <c r="D20" s="42">
        <f>IF(GemeenteCode=1,6199000,IF(GemeenteCode=2,6299000,IF(GemeenteCode=3,6399999,0)))</f>
        <v>6399999</v>
      </c>
      <c r="E20" s="42">
        <v>400010</v>
      </c>
      <c r="F20" s="69" t="s">
        <v>171</v>
      </c>
      <c r="G20" s="67">
        <f>MAX(SUMIF($U$22:$U$761,6,H$22:H$761)-SUMIF($U$22:$U$761,6,G$22:G$761),0)</f>
        <v>0</v>
      </c>
      <c r="H20" s="67"/>
      <c r="I20" s="67">
        <f>MAX(SUMIF($U$22:$U$761,6,J$22:J$761)-SUMIF($U$22:$U$761,6,I$22:I$761),0)</f>
        <v>0</v>
      </c>
      <c r="J20" s="67"/>
      <c r="K20" s="67">
        <f>MAX(SUMIF($U$22:$U$761,6,L$22:L$761)-SUMIF($U$22:$U$761,6,K$22:K$761),0)</f>
        <v>0</v>
      </c>
      <c r="L20" s="67"/>
      <c r="M20" s="67">
        <f>MAX(SUMIF($U$22:$U$761,6,N$22:N$761)-SUMIF($U$22:$U$761,6,M$22:M$761),0)</f>
        <v>0</v>
      </c>
      <c r="N20" s="67"/>
      <c r="O20" s="67">
        <f>MAX(SUMIF($U$22:$U$761,6,P$22:P$761)-SUMIF($U$22:$U$761,6,O$22:O$761),0)</f>
        <v>0</v>
      </c>
      <c r="P20" s="67"/>
      <c r="Q20" s="43">
        <v>1</v>
      </c>
      <c r="R20" s="44" t="s">
        <v>3</v>
      </c>
      <c r="S20" s="42"/>
      <c r="T20" s="42"/>
      <c r="U20" s="69">
        <f>IFERROR(VALUE(LEFT(D20)),0)</f>
        <v>6</v>
      </c>
      <c r="V20" s="69">
        <f>IFERROR(IF(OR(G20&lt;&gt;0,H20&lt;&gt;0,I20&lt;&gt;0,J20&lt;&gt;0,K20&lt;&gt;0,L20&lt;&gt;0,M20&lt;&gt;0,N20&lt;&gt;0,O20&lt;&gt;0,P20&lt;&gt;0),1,0)*A20,0)</f>
        <v>0</v>
      </c>
      <c r="W20" s="69"/>
    </row>
    <row r="21" spans="1:23" x14ac:dyDescent="0.25">
      <c r="A21" s="150">
        <v>1</v>
      </c>
      <c r="B21" s="68" t="s">
        <v>170</v>
      </c>
      <c r="C21" s="68" t="s">
        <v>169</v>
      </c>
      <c r="D21" s="42">
        <f>IF(GemeenteCode=1,6199000,IF(GemeenteCode=2,6299000,IF(GemeenteCode=3,6399999,0)))</f>
        <v>6399999</v>
      </c>
      <c r="E21" s="42">
        <v>800010</v>
      </c>
      <c r="F21" s="69" t="s">
        <v>172</v>
      </c>
      <c r="G21" s="67"/>
      <c r="H21" s="67">
        <f>MAX(SUMIF($U$22:$U$761,6,G$22:G$761)-SUMIF($U$22:$U$761,6,H$22:H$761),0)</f>
        <v>0</v>
      </c>
      <c r="I21" s="67"/>
      <c r="J21" s="67">
        <f>MAX(SUMIF($U$22:$U$761,6,I$22:I$761)-SUMIF($U$22:$U$761,6,J$22:J$761),0)</f>
        <v>0</v>
      </c>
      <c r="K21" s="67"/>
      <c r="L21" s="67">
        <f>MAX(SUMIF($U$22:$U$761,6,K$22:K$761)-SUMIF($U$22:$U$761,6,L$22:L$761),0)</f>
        <v>0</v>
      </c>
      <c r="M21" s="67"/>
      <c r="N21" s="67">
        <f>MAX(SUMIF($U$22:$U$761,6,M$22:M$761)-SUMIF($U$22:$U$761,6,N$22:N$761),0)</f>
        <v>0</v>
      </c>
      <c r="O21" s="67"/>
      <c r="P21" s="67">
        <f>MAX(SUMIF($U$22:$U$761,6,O$22:O$761)-SUMIF($U$22:$U$761,6,P$22:P$761),0)</f>
        <v>0</v>
      </c>
      <c r="Q21" s="43">
        <v>1</v>
      </c>
      <c r="R21" s="44" t="s">
        <v>3</v>
      </c>
      <c r="S21" s="42"/>
      <c r="T21" s="42"/>
      <c r="U21" s="69">
        <f>IFERROR(VALUE(LEFT(D21)),0)</f>
        <v>6</v>
      </c>
      <c r="V21" s="69">
        <f>IFERROR(IF(OR(G21&lt;&gt;0,H21&lt;&gt;0,I21&lt;&gt;0,J21&lt;&gt;0,K21&lt;&gt;0,L21&lt;&gt;0,M21&lt;&gt;0,N21&lt;&gt;0,O21&lt;&gt;0,P21&lt;&gt;0),1,0)*A21,0)</f>
        <v>0</v>
      </c>
      <c r="W21" s="69"/>
    </row>
    <row r="22" spans="1:23" x14ac:dyDescent="0.25">
      <c r="A22" s="22"/>
      <c r="B22" s="21"/>
      <c r="C22" s="21"/>
      <c r="D22" s="20"/>
      <c r="E22" s="20"/>
      <c r="F22" s="20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22"/>
      <c r="R22" s="22"/>
      <c r="S22" s="22"/>
      <c r="T22" s="20"/>
      <c r="U22" s="20"/>
    </row>
    <row r="23" spans="1:23" x14ac:dyDescent="0.25">
      <c r="A23" s="150" t="s">
        <v>2</v>
      </c>
      <c r="B23" s="68" t="s">
        <v>2</v>
      </c>
      <c r="C23" s="68" t="s">
        <v>2</v>
      </c>
      <c r="D23" s="71">
        <v>61030822</v>
      </c>
      <c r="E23" s="42">
        <v>0</v>
      </c>
      <c r="F23" s="69" t="s">
        <v>2</v>
      </c>
      <c r="G23" s="67">
        <v>0</v>
      </c>
      <c r="H23" s="67">
        <v>0</v>
      </c>
      <c r="I23" s="67">
        <v>0</v>
      </c>
      <c r="J23" s="67">
        <v>0</v>
      </c>
      <c r="K23" s="67">
        <v>0</v>
      </c>
      <c r="L23" s="67">
        <v>0</v>
      </c>
      <c r="M23" s="67">
        <v>0</v>
      </c>
      <c r="N23" s="67">
        <v>0</v>
      </c>
      <c r="O23" s="67">
        <v>0</v>
      </c>
      <c r="P23" s="67">
        <v>0</v>
      </c>
      <c r="Q23" s="43"/>
      <c r="R23" s="44" t="s">
        <v>3</v>
      </c>
      <c r="S23" s="71"/>
      <c r="T23" s="42"/>
      <c r="U23" s="69">
        <f>IFERROR(VALUE(LEFT(D23)),0)</f>
        <v>6</v>
      </c>
      <c r="V23" s="69">
        <f>IFERROR(IF(OR(G23&lt;&gt;0,H23&lt;&gt;0,I23&lt;&gt;0,J23&lt;&gt;0,K23&lt;&gt;0,L23&lt;&gt;0,M23&lt;&gt;0,N23&lt;&gt;0,O23&lt;&gt;0,P23&lt;&gt;0),1,0)*A23,0)</f>
        <v>0</v>
      </c>
      <c r="W23" s="69">
        <f>--(SUMPRODUCT(("'"&amp;'Lias stamgegevens (gekoppeld)'!$B$2:$B$10001="'" &amp; $D23)*(('Lias stamgegevens (gekoppeld)'!$S$2:$S$10001=Gemeente)+('Lias stamgegevens (gekoppeld)'!$S$2:$S$10001="")))&gt;0)</f>
        <v>0</v>
      </c>
    </row>
    <row r="24" spans="1:23" x14ac:dyDescent="0.25">
      <c r="A24" s="150" t="s">
        <v>2</v>
      </c>
      <c r="B24" s="68" t="s">
        <v>2</v>
      </c>
      <c r="C24" s="68" t="s">
        <v>2</v>
      </c>
      <c r="D24" s="71">
        <v>0</v>
      </c>
      <c r="E24" s="42">
        <v>0</v>
      </c>
      <c r="F24" s="69" t="s">
        <v>2</v>
      </c>
      <c r="G24" s="67">
        <v>0</v>
      </c>
      <c r="H24" s="67">
        <v>0</v>
      </c>
      <c r="I24" s="67">
        <v>0</v>
      </c>
      <c r="J24" s="67">
        <v>0</v>
      </c>
      <c r="K24" s="67">
        <v>0</v>
      </c>
      <c r="L24" s="67">
        <v>0</v>
      </c>
      <c r="M24" s="67">
        <v>0</v>
      </c>
      <c r="N24" s="67">
        <v>0</v>
      </c>
      <c r="O24" s="67">
        <v>0</v>
      </c>
      <c r="P24" s="67">
        <v>0</v>
      </c>
      <c r="Q24" s="43"/>
      <c r="R24" s="44" t="s">
        <v>3</v>
      </c>
      <c r="S24" s="42"/>
      <c r="T24" s="42"/>
      <c r="U24" s="69">
        <f>IFERROR(VALUE(LEFT(D24)),0)</f>
        <v>0</v>
      </c>
      <c r="V24" s="69">
        <f>IFERROR(IF(OR(G24&lt;&gt;0,H24&lt;&gt;0,I24&lt;&gt;0,J24&lt;&gt;0,K24&lt;&gt;0,L24&lt;&gt;0,M24&lt;&gt;0,N24&lt;&gt;0,O24&lt;&gt;0,P24&lt;&gt;0),1,0)*A24,0)</f>
        <v>0</v>
      </c>
      <c r="W24" s="69">
        <f>--(SUMPRODUCT(("'"&amp;'Lias stamgegevens (gekoppeld)'!$B$2:$B$10001="'" &amp; $D24)*(('Lias stamgegevens (gekoppeld)'!$S$2:$S$10001=Gemeente)+('Lias stamgegevens (gekoppeld)'!$S$2:$S$10001="")))&gt;0)</f>
        <v>0</v>
      </c>
    </row>
    <row r="26" spans="1:23" x14ac:dyDescent="0.25">
      <c r="A26" s="3" t="s">
        <v>2</v>
      </c>
      <c r="B26" s="3" t="s">
        <v>2</v>
      </c>
      <c r="C26" s="3" t="s">
        <v>2</v>
      </c>
      <c r="D26" s="1"/>
      <c r="E26" s="1"/>
      <c r="F26" s="3" t="s">
        <v>2</v>
      </c>
    </row>
  </sheetData>
  <sheetProtection selectLockedCells="1" selectUnlockedCells="1"/>
  <mergeCells count="1">
    <mergeCell ref="F9:N9"/>
  </mergeCells>
  <phoneticPr fontId="0" type="noConversion"/>
  <conditionalFormatting sqref="S20:S21 S23:S24">
    <cfRule type="expression" dxfId="4" priority="106" stopIfTrue="1">
      <formula>LEN(S20)&gt;40</formula>
    </cfRule>
  </conditionalFormatting>
  <conditionalFormatting sqref="D23">
    <cfRule type="expression" dxfId="3" priority="2">
      <formula>(($W23&lt;&gt;1)*($D23&lt;&gt;0))&gt;0</formula>
    </cfRule>
  </conditionalFormatting>
  <conditionalFormatting sqref="D24">
    <cfRule type="expression" dxfId="2" priority="1">
      <formula>(($W24&lt;&gt;1)*($D24&lt;&gt;0))&gt;0</formula>
    </cfRule>
  </conditionalFormatting>
  <dataValidations count="1">
    <dataValidation type="list" allowBlank="1" showInputMessage="1" showErrorMessage="1" sqref="R20:R21 R23:R24" xr:uid="{00000000-0002-0000-0100-000000000000}">
      <formula1>LijstType</formula1>
    </dataValidation>
  </dataValidations>
  <printOptions gridLines="1"/>
  <pageMargins left="0.74791666666666667" right="0.74791666666666667" top="0.98402777777777772" bottom="0.98402777777777772" header="0.51180555555555551" footer="0.51180555555555551"/>
  <pageSetup paperSize="8" scale="61" firstPageNumber="0" fitToHeight="0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">
    <tabColor indexed="10"/>
    <pageSetUpPr fitToPage="1"/>
  </sheetPr>
  <dimension ref="A42:B45"/>
  <sheetViews>
    <sheetView showGridLines="0" workbookViewId="0"/>
  </sheetViews>
  <sheetFormatPr defaultRowHeight="13.5" x14ac:dyDescent="0.25"/>
  <sheetData>
    <row r="42" spans="1:2" ht="16.5" x14ac:dyDescent="0.25">
      <c r="A42" s="105" t="s">
        <v>143</v>
      </c>
      <c r="B42" s="103">
        <f ca="1">Boekjaar</f>
        <v>2021</v>
      </c>
    </row>
    <row r="43" spans="1:2" ht="16.5" x14ac:dyDescent="0.25">
      <c r="A43" s="105" t="s">
        <v>144</v>
      </c>
      <c r="B43" s="103">
        <f>Begrotingswijziging</f>
        <v>2</v>
      </c>
    </row>
    <row r="44" spans="1:2" ht="16.5" x14ac:dyDescent="0.25">
      <c r="A44" s="105" t="s">
        <v>145</v>
      </c>
      <c r="B44" s="104" t="str">
        <f>TEXT(YEAR(DatumBesluit),"0000")&amp;"-"&amp;TEXT(MONTH(DatumBesluit),"00")&amp;"-"&amp;TEXT(DAY(DatumBesluit),"00")&amp;" "&amp;Gremia</f>
        <v>2021-02-01 Raad</v>
      </c>
    </row>
    <row r="45" spans="1:2" ht="16.5" x14ac:dyDescent="0.25">
      <c r="A45" s="105" t="s">
        <v>146</v>
      </c>
      <c r="B45" s="104" t="str">
        <f>OmschrijvingKort</f>
        <v>Dit is een omschrijving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2">
    <tabColor rgb="FFFF0000"/>
  </sheetPr>
  <dimension ref="A1:AJ3582"/>
  <sheetViews>
    <sheetView showGridLines="0" showRowColHeaders="0" topLeftCell="L1" workbookViewId="0">
      <pane ySplit="1" topLeftCell="A2" activePane="bottomLeft" state="frozen"/>
      <selection pane="bottomLeft" activeCell="Q5" sqref="Q5"/>
    </sheetView>
  </sheetViews>
  <sheetFormatPr defaultColWidth="9" defaultRowHeight="15" x14ac:dyDescent="0.25"/>
  <cols>
    <col min="1" max="1" width="5" style="73" bestFit="1" customWidth="1"/>
    <col min="2" max="2" width="10.625" style="73" bestFit="1" customWidth="1"/>
    <col min="3" max="3" width="37" style="73" bestFit="1" customWidth="1"/>
    <col min="4" max="4" width="12.125" style="73" bestFit="1" customWidth="1"/>
    <col min="5" max="5" width="24.875" style="73" bestFit="1" customWidth="1"/>
    <col min="6" max="6" width="10.625" style="73" bestFit="1" customWidth="1"/>
    <col min="7" max="7" width="28.375" style="73" bestFit="1" customWidth="1"/>
    <col min="8" max="8" width="11" style="73" bestFit="1" customWidth="1"/>
    <col min="9" max="9" width="32" style="73" bestFit="1" customWidth="1"/>
    <col min="10" max="10" width="10.625" style="73" bestFit="1" customWidth="1"/>
    <col min="11" max="11" width="20.625" style="73" bestFit="1" customWidth="1"/>
    <col min="12" max="12" width="10.625" style="73" bestFit="1" customWidth="1"/>
    <col min="13" max="13" width="34.625" style="73" bestFit="1" customWidth="1"/>
    <col min="14" max="14" width="11" style="73" bestFit="1" customWidth="1"/>
    <col min="15" max="15" width="34.5" style="73" bestFit="1" customWidth="1"/>
    <col min="16" max="16" width="9" style="73"/>
    <col min="17" max="17" width="35.625" style="73" bestFit="1" customWidth="1"/>
    <col min="18" max="18" width="1.75" style="73" customWidth="1"/>
    <col min="19" max="19" width="4.625" style="73" bestFit="1" customWidth="1"/>
    <col min="20" max="20" width="9.625" style="73" bestFit="1" customWidth="1"/>
    <col min="21" max="21" width="37" style="73" bestFit="1" customWidth="1"/>
    <col min="22" max="22" width="10.75" style="73" bestFit="1" customWidth="1"/>
    <col min="23" max="23" width="24.875" style="73" bestFit="1" customWidth="1"/>
    <col min="24" max="24" width="10.625" style="73" bestFit="1" customWidth="1"/>
    <col min="25" max="25" width="28.375" style="73" bestFit="1" customWidth="1"/>
    <col min="26" max="26" width="11" style="73" bestFit="1" customWidth="1"/>
    <col min="27" max="27" width="32" style="73" bestFit="1" customWidth="1"/>
    <col min="28" max="28" width="10.625" style="73" bestFit="1" customWidth="1"/>
    <col min="29" max="29" width="20.625" style="73" bestFit="1" customWidth="1"/>
    <col min="30" max="30" width="10.625" style="73" bestFit="1" customWidth="1"/>
    <col min="31" max="31" width="34.625" style="73" bestFit="1" customWidth="1"/>
    <col min="32" max="32" width="11" style="73" bestFit="1" customWidth="1"/>
    <col min="33" max="33" width="34.375" style="73" bestFit="1" customWidth="1"/>
    <col min="34" max="34" width="9" style="73"/>
    <col min="35" max="35" width="35.625" style="73" bestFit="1" customWidth="1"/>
    <col min="36" max="36" width="9.375" style="73" bestFit="1" customWidth="1"/>
    <col min="37" max="16384" width="9" style="73"/>
  </cols>
  <sheetData>
    <row r="1" spans="1:36" ht="22.5" customHeight="1" x14ac:dyDescent="0.25">
      <c r="A1" s="75" t="s">
        <v>5</v>
      </c>
      <c r="B1" s="75" t="s">
        <v>6</v>
      </c>
      <c r="C1" s="75" t="s">
        <v>43</v>
      </c>
      <c r="D1" s="75" t="s">
        <v>7</v>
      </c>
      <c r="E1" s="75" t="s">
        <v>8</v>
      </c>
      <c r="F1" s="75" t="s">
        <v>9</v>
      </c>
      <c r="G1" s="75" t="s">
        <v>10</v>
      </c>
      <c r="H1" s="75" t="s">
        <v>11</v>
      </c>
      <c r="I1" s="75" t="s">
        <v>12</v>
      </c>
      <c r="J1" s="75" t="s">
        <v>106</v>
      </c>
      <c r="K1" s="75" t="s">
        <v>107</v>
      </c>
      <c r="L1" s="75" t="s">
        <v>40</v>
      </c>
      <c r="M1" s="75" t="s">
        <v>13</v>
      </c>
      <c r="N1" s="75" t="s">
        <v>14</v>
      </c>
      <c r="O1" s="75" t="s">
        <v>15</v>
      </c>
      <c r="P1" s="75" t="s">
        <v>33</v>
      </c>
      <c r="Q1" s="75" t="s">
        <v>34</v>
      </c>
      <c r="R1" s="75" t="s">
        <v>35</v>
      </c>
      <c r="S1" s="74" t="s">
        <v>174</v>
      </c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</row>
    <row r="2" spans="1:36" x14ac:dyDescent="0.25">
      <c r="Q2" s="151"/>
    </row>
    <row r="3" spans="1:36" x14ac:dyDescent="0.25">
      <c r="C3" s="76"/>
    </row>
    <row r="155" spans="5:5" x14ac:dyDescent="0.25">
      <c r="E155" s="152"/>
    </row>
    <row r="164" spans="5:5" x14ac:dyDescent="0.25">
      <c r="E164" s="152"/>
    </row>
    <row r="200" spans="5:5" x14ac:dyDescent="0.25">
      <c r="E200" s="152"/>
    </row>
    <row r="294" spans="5:5" x14ac:dyDescent="0.25">
      <c r="E294" s="152"/>
    </row>
    <row r="322" spans="5:5" x14ac:dyDescent="0.25">
      <c r="E322" s="152"/>
    </row>
    <row r="369" spans="14:14" x14ac:dyDescent="0.25">
      <c r="N369" s="152"/>
    </row>
    <row r="552" spans="14:14" x14ac:dyDescent="0.25">
      <c r="N552" s="152"/>
    </row>
    <row r="567" spans="14:14" x14ac:dyDescent="0.25">
      <c r="N567" s="152"/>
    </row>
    <row r="579" spans="14:14" x14ac:dyDescent="0.25">
      <c r="N579" s="152"/>
    </row>
    <row r="635" spans="14:14" x14ac:dyDescent="0.25">
      <c r="N635" s="152"/>
    </row>
    <row r="650" spans="14:14" x14ac:dyDescent="0.25">
      <c r="N650" s="152"/>
    </row>
    <row r="804" spans="14:14" x14ac:dyDescent="0.25">
      <c r="N804" s="152"/>
    </row>
    <row r="813" spans="14:14" x14ac:dyDescent="0.25">
      <c r="N813" s="152"/>
    </row>
    <row r="856" spans="5:5" x14ac:dyDescent="0.25">
      <c r="E856" s="152"/>
    </row>
    <row r="1482" spans="2:3" x14ac:dyDescent="0.25">
      <c r="B1482" s="154"/>
      <c r="C1482" s="155"/>
    </row>
    <row r="2366" spans="7:7" x14ac:dyDescent="0.25">
      <c r="G2366" s="152"/>
    </row>
    <row r="2423" spans="7:7" x14ac:dyDescent="0.25">
      <c r="G2423" s="152"/>
    </row>
    <row r="2437" spans="5:7" x14ac:dyDescent="0.25">
      <c r="G2437" s="152"/>
    </row>
    <row r="2444" spans="5:7" x14ac:dyDescent="0.25">
      <c r="E2444" s="152"/>
    </row>
    <row r="2489" spans="5:5" x14ac:dyDescent="0.25">
      <c r="E2489" s="152"/>
    </row>
    <row r="2583" spans="5:5" x14ac:dyDescent="0.25">
      <c r="E2583" s="152"/>
    </row>
    <row r="2611" spans="5:5" x14ac:dyDescent="0.25">
      <c r="E2611" s="152"/>
    </row>
    <row r="2982" spans="5:5" x14ac:dyDescent="0.25">
      <c r="E2982" s="152"/>
    </row>
    <row r="3027" spans="5:5" x14ac:dyDescent="0.25">
      <c r="E3027" s="152"/>
    </row>
    <row r="3121" spans="5:5" x14ac:dyDescent="0.25">
      <c r="E3121" s="152"/>
    </row>
    <row r="3523" spans="17:17" x14ac:dyDescent="0.25">
      <c r="Q3523" s="152"/>
    </row>
    <row r="3576" spans="17:17" x14ac:dyDescent="0.25">
      <c r="Q3576" s="152"/>
    </row>
    <row r="3582" spans="17:17" x14ac:dyDescent="0.25">
      <c r="Q3582" s="152"/>
    </row>
  </sheetData>
  <autoFilter ref="A1:R2551" xr:uid="{00000000-0009-0000-0000-000003000000}"/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3">
    <tabColor indexed="10"/>
  </sheetPr>
  <dimension ref="A1:T15"/>
  <sheetViews>
    <sheetView workbookViewId="0">
      <selection activeCell="G30" sqref="G30"/>
    </sheetView>
  </sheetViews>
  <sheetFormatPr defaultRowHeight="13.5" x14ac:dyDescent="0.25"/>
  <cols>
    <col min="1" max="1" width="23.125" bestFit="1" customWidth="1"/>
    <col min="2" max="2" width="5.625" customWidth="1"/>
    <col min="3" max="3" width="14.625" bestFit="1" customWidth="1"/>
    <col min="4" max="4" width="5.625" customWidth="1"/>
    <col min="5" max="5" width="14.375" bestFit="1" customWidth="1"/>
    <col min="6" max="6" width="14.375" customWidth="1"/>
    <col min="7" max="7" width="9.625" bestFit="1" customWidth="1"/>
    <col min="8" max="8" width="5.625" customWidth="1"/>
    <col min="9" max="9" width="17.625" bestFit="1" customWidth="1"/>
    <col min="10" max="10" width="8.5" bestFit="1" customWidth="1"/>
    <col min="11" max="11" width="8.5" customWidth="1"/>
    <col min="12" max="13" width="10.375" customWidth="1"/>
    <col min="16" max="16" width="5.625" customWidth="1"/>
    <col min="17" max="17" width="13.875" bestFit="1" customWidth="1"/>
    <col min="19" max="19" width="5.625" customWidth="1"/>
    <col min="21" max="21" width="10.125" bestFit="1" customWidth="1"/>
    <col min="22" max="22" width="26.25" bestFit="1" customWidth="1"/>
    <col min="23" max="23" width="9.75" bestFit="1" customWidth="1"/>
  </cols>
  <sheetData>
    <row r="1" spans="1:20" x14ac:dyDescent="0.25">
      <c r="A1" s="81" t="s">
        <v>117</v>
      </c>
      <c r="C1" s="81" t="s">
        <v>129</v>
      </c>
      <c r="E1" s="81" t="s">
        <v>125</v>
      </c>
      <c r="I1" s="88" t="s">
        <v>116</v>
      </c>
      <c r="Q1" s="81" t="s">
        <v>127</v>
      </c>
      <c r="T1" s="81" t="s">
        <v>168</v>
      </c>
    </row>
    <row r="3" spans="1:20" ht="14.25" thickBot="1" x14ac:dyDescent="0.3">
      <c r="I3">
        <f t="shared" ref="I3:O3" si="0">COLUMN()-COLUMN($H3)</f>
        <v>1</v>
      </c>
      <c r="J3">
        <f t="shared" si="0"/>
        <v>2</v>
      </c>
      <c r="K3">
        <f t="shared" si="0"/>
        <v>3</v>
      </c>
      <c r="L3">
        <f t="shared" si="0"/>
        <v>4</v>
      </c>
      <c r="M3">
        <f t="shared" si="0"/>
        <v>5</v>
      </c>
      <c r="N3">
        <f t="shared" si="0"/>
        <v>6</v>
      </c>
      <c r="O3">
        <f t="shared" si="0"/>
        <v>7</v>
      </c>
    </row>
    <row r="4" spans="1:20" ht="14.25" thickTop="1" x14ac:dyDescent="0.25">
      <c r="A4" s="102" t="s">
        <v>118</v>
      </c>
      <c r="C4" s="89" t="s">
        <v>111</v>
      </c>
      <c r="E4" s="86" t="s">
        <v>123</v>
      </c>
      <c r="F4" s="90" t="s">
        <v>49</v>
      </c>
      <c r="G4" s="87" t="s">
        <v>49</v>
      </c>
      <c r="I4" s="86" t="s">
        <v>112</v>
      </c>
      <c r="J4" s="90" t="s">
        <v>113</v>
      </c>
      <c r="K4" s="90" t="s">
        <v>138</v>
      </c>
      <c r="L4" s="90" t="s">
        <v>156</v>
      </c>
      <c r="M4" s="90" t="s">
        <v>157</v>
      </c>
      <c r="N4" s="90" t="s">
        <v>114</v>
      </c>
      <c r="O4" s="87" t="s">
        <v>115</v>
      </c>
      <c r="Q4" s="86" t="s">
        <v>108</v>
      </c>
      <c r="R4" s="87" t="s">
        <v>121</v>
      </c>
      <c r="T4" s="149" t="s">
        <v>3</v>
      </c>
    </row>
    <row r="5" spans="1:20" ht="14.25" thickBot="1" x14ac:dyDescent="0.3">
      <c r="A5" s="77" t="s">
        <v>122</v>
      </c>
      <c r="C5" s="98">
        <v>3</v>
      </c>
      <c r="D5" s="153" t="str">
        <f>VLOOKUP(GemeenteCode,{1,"WAS";2,"VOO";3,"WOD"},2,FALSE)</f>
        <v>WOD</v>
      </c>
      <c r="E5" s="79">
        <v>1</v>
      </c>
      <c r="F5" s="78" t="s">
        <v>110</v>
      </c>
      <c r="G5" s="99">
        <f ca="1">YEAR(TODAY())</f>
        <v>2021</v>
      </c>
      <c r="I5" s="83">
        <v>1</v>
      </c>
      <c r="J5" s="78" t="s">
        <v>133</v>
      </c>
      <c r="K5" s="78" t="s">
        <v>134</v>
      </c>
      <c r="L5" s="78" t="s">
        <v>155</v>
      </c>
      <c r="M5" s="140" t="s">
        <v>161</v>
      </c>
      <c r="N5" s="91">
        <v>1</v>
      </c>
      <c r="O5" s="92">
        <v>100</v>
      </c>
      <c r="Q5" s="79" t="s">
        <v>120</v>
      </c>
      <c r="R5" s="95">
        <f>IFERROR(VLOOKUP(BesluitCode,DataWijziging,KolMin,FALSE),0)</f>
        <v>1</v>
      </c>
      <c r="T5" s="148" t="s">
        <v>57</v>
      </c>
    </row>
    <row r="6" spans="1:20" ht="15" thickTop="1" thickBot="1" x14ac:dyDescent="0.3">
      <c r="A6" s="97" t="s">
        <v>119</v>
      </c>
      <c r="E6" s="80">
        <v>2</v>
      </c>
      <c r="F6" s="85" t="s">
        <v>109</v>
      </c>
      <c r="G6" s="99">
        <f ca="1">BoekjaarMax-1</f>
        <v>2020</v>
      </c>
      <c r="I6" s="83">
        <v>2</v>
      </c>
      <c r="J6" s="78" t="s">
        <v>140</v>
      </c>
      <c r="K6" s="78" t="s">
        <v>135</v>
      </c>
      <c r="L6" s="78" t="s">
        <v>158</v>
      </c>
      <c r="M6" s="140" t="s">
        <v>162</v>
      </c>
      <c r="N6" s="91">
        <v>101</v>
      </c>
      <c r="O6" s="92">
        <v>200</v>
      </c>
      <c r="Q6" s="80" t="s">
        <v>126</v>
      </c>
      <c r="R6" s="96">
        <f>IFERROR(VLOOKUP(BesluitCode,DataWijziging,KolMax,FALSE),0)</f>
        <v>100</v>
      </c>
    </row>
    <row r="7" spans="1:20" ht="15" thickTop="1" thickBot="1" x14ac:dyDescent="0.3">
      <c r="C7" s="89" t="s">
        <v>112</v>
      </c>
      <c r="I7" s="83">
        <v>3</v>
      </c>
      <c r="J7" s="78" t="s">
        <v>141</v>
      </c>
      <c r="K7" s="78" t="s">
        <v>136</v>
      </c>
      <c r="L7" s="140" t="s">
        <v>159</v>
      </c>
      <c r="M7" s="140" t="s">
        <v>163</v>
      </c>
      <c r="N7" s="91">
        <v>201</v>
      </c>
      <c r="O7" s="92">
        <v>299</v>
      </c>
    </row>
    <row r="8" spans="1:20" ht="15" thickTop="1" thickBot="1" x14ac:dyDescent="0.3">
      <c r="C8" s="98">
        <v>1</v>
      </c>
      <c r="F8" s="100" t="s">
        <v>124</v>
      </c>
      <c r="G8" s="101">
        <f ca="1">IFERROR(VLOOKUP(BoekjaarCode,DataBoekjaar,3,FALSE),0)</f>
        <v>2021</v>
      </c>
      <c r="I8" s="84">
        <v>4</v>
      </c>
      <c r="J8" s="85" t="s">
        <v>142</v>
      </c>
      <c r="K8" s="85" t="s">
        <v>137</v>
      </c>
      <c r="L8" s="85" t="s">
        <v>160</v>
      </c>
      <c r="M8" s="85" t="s">
        <v>164</v>
      </c>
      <c r="N8" s="93">
        <v>201</v>
      </c>
      <c r="O8" s="94">
        <v>299</v>
      </c>
      <c r="Q8" s="100" t="s">
        <v>128</v>
      </c>
      <c r="R8" s="101">
        <f>InvoerBegrotingswijziging</f>
        <v>2</v>
      </c>
    </row>
    <row r="9" spans="1:20" ht="15" thickTop="1" thickBot="1" x14ac:dyDescent="0.3"/>
    <row r="10" spans="1:20" ht="15" thickTop="1" thickBot="1" x14ac:dyDescent="0.3">
      <c r="C10" s="89" t="s">
        <v>123</v>
      </c>
    </row>
    <row r="11" spans="1:20" ht="15" thickTop="1" thickBot="1" x14ac:dyDescent="0.3">
      <c r="C11" s="98">
        <v>1</v>
      </c>
      <c r="I11" s="100" t="s">
        <v>165</v>
      </c>
      <c r="J11" s="139" t="str">
        <f>VLOOKUP(BesluitCode,DataWijziging,J3,FALSE)</f>
        <v>Raad</v>
      </c>
      <c r="K11" s="139" t="str">
        <f>VLOOKUP(BesluitCode,DataWijziging,K3,FALSE)</f>
        <v>raads</v>
      </c>
      <c r="L11" s="139" t="str">
        <f>VLOOKUP(BesluitCode,DataWijziging,L3,FALSE)</f>
        <v>Raadsvoorstel</v>
      </c>
      <c r="M11" s="101" t="str">
        <f>VLOOKUP(BesluitCode,DataWijziging,M3,FALSE)</f>
        <v>Raadsbesluit</v>
      </c>
    </row>
    <row r="12" spans="1:20" ht="15" thickTop="1" thickBot="1" x14ac:dyDescent="0.3"/>
    <row r="13" spans="1:20" ht="14.25" thickTop="1" x14ac:dyDescent="0.25">
      <c r="C13" s="89" t="s">
        <v>130</v>
      </c>
    </row>
    <row r="14" spans="1:20" ht="14.25" thickBot="1" x14ac:dyDescent="0.3">
      <c r="C14" s="82">
        <f>GemeenteCode*BesluitCode*BoekjaarCode</f>
        <v>3</v>
      </c>
    </row>
    <row r="15" spans="1:20" ht="14.25" thickTop="1" x14ac:dyDescent="0.25"/>
  </sheetData>
  <phoneticPr fontId="23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C28"/>
  <sheetViews>
    <sheetView workbookViewId="0">
      <selection activeCell="K12" sqref="K12"/>
    </sheetView>
  </sheetViews>
  <sheetFormatPr defaultRowHeight="13.5" x14ac:dyDescent="0.25"/>
  <cols>
    <col min="1" max="1" width="10.125" bestFit="1" customWidth="1"/>
    <col min="2" max="2" width="29" bestFit="1" customWidth="1"/>
    <col min="3" max="3" width="9.25" bestFit="1" customWidth="1"/>
  </cols>
  <sheetData>
    <row r="1" spans="1:3" x14ac:dyDescent="0.25">
      <c r="A1" s="81" t="s">
        <v>147</v>
      </c>
    </row>
    <row r="3" spans="1:3" ht="14.25" thickBot="1" x14ac:dyDescent="0.3"/>
    <row r="4" spans="1:3" ht="14.25" thickTop="1" x14ac:dyDescent="0.25">
      <c r="A4" s="128" t="s">
        <v>9</v>
      </c>
      <c r="B4" s="129" t="s">
        <v>10</v>
      </c>
      <c r="C4" s="87" t="s">
        <v>148</v>
      </c>
    </row>
    <row r="5" spans="1:3" x14ac:dyDescent="0.25">
      <c r="A5" s="130" t="s">
        <v>66</v>
      </c>
      <c r="B5" s="133" t="s">
        <v>67</v>
      </c>
      <c r="C5" s="134" t="s">
        <v>16</v>
      </c>
    </row>
    <row r="6" spans="1:3" x14ac:dyDescent="0.25">
      <c r="A6" s="130" t="s">
        <v>68</v>
      </c>
      <c r="B6" s="133" t="s">
        <v>149</v>
      </c>
      <c r="C6" s="134" t="s">
        <v>150</v>
      </c>
    </row>
    <row r="7" spans="1:3" x14ac:dyDescent="0.25">
      <c r="A7" s="130" t="s">
        <v>36</v>
      </c>
      <c r="B7" s="133" t="s">
        <v>4</v>
      </c>
      <c r="C7" s="134" t="s">
        <v>17</v>
      </c>
    </row>
    <row r="8" spans="1:3" x14ac:dyDescent="0.25">
      <c r="A8" s="130" t="s">
        <v>69</v>
      </c>
      <c r="B8" s="133" t="s">
        <v>70</v>
      </c>
      <c r="C8" s="134" t="s">
        <v>18</v>
      </c>
    </row>
    <row r="9" spans="1:3" x14ac:dyDescent="0.25">
      <c r="A9" s="130" t="s">
        <v>71</v>
      </c>
      <c r="B9" s="133" t="s">
        <v>72</v>
      </c>
      <c r="C9" s="134" t="s">
        <v>19</v>
      </c>
    </row>
    <row r="10" spans="1:3" x14ac:dyDescent="0.25">
      <c r="A10" s="130" t="s">
        <v>73</v>
      </c>
      <c r="B10" s="133" t="s">
        <v>152</v>
      </c>
      <c r="C10" s="134" t="s">
        <v>153</v>
      </c>
    </row>
    <row r="11" spans="1:3" x14ac:dyDescent="0.25">
      <c r="A11" s="130" t="s">
        <v>131</v>
      </c>
      <c r="B11" s="133" t="s">
        <v>132</v>
      </c>
      <c r="C11" s="134" t="s">
        <v>151</v>
      </c>
    </row>
    <row r="12" spans="1:3" x14ac:dyDescent="0.25">
      <c r="A12" s="130" t="s">
        <v>88</v>
      </c>
      <c r="B12" s="133" t="s">
        <v>89</v>
      </c>
      <c r="C12" s="134" t="s">
        <v>20</v>
      </c>
    </row>
    <row r="13" spans="1:3" x14ac:dyDescent="0.25">
      <c r="A13" s="130" t="s">
        <v>74</v>
      </c>
      <c r="B13" s="133" t="s">
        <v>75</v>
      </c>
      <c r="C13" s="134" t="s">
        <v>21</v>
      </c>
    </row>
    <row r="14" spans="1:3" x14ac:dyDescent="0.25">
      <c r="A14" s="130" t="s">
        <v>76</v>
      </c>
      <c r="B14" s="133" t="s">
        <v>77</v>
      </c>
      <c r="C14" s="134" t="s">
        <v>22</v>
      </c>
    </row>
    <row r="15" spans="1:3" x14ac:dyDescent="0.25">
      <c r="A15" s="130" t="s">
        <v>78</v>
      </c>
      <c r="B15" s="133" t="s">
        <v>79</v>
      </c>
      <c r="C15" s="134" t="s">
        <v>23</v>
      </c>
    </row>
    <row r="16" spans="1:3" x14ac:dyDescent="0.25">
      <c r="A16" s="130" t="s">
        <v>80</v>
      </c>
      <c r="B16" s="133" t="s">
        <v>81</v>
      </c>
      <c r="C16" s="134" t="s">
        <v>24</v>
      </c>
    </row>
    <row r="17" spans="1:3" x14ac:dyDescent="0.25">
      <c r="A17" s="130" t="s">
        <v>82</v>
      </c>
      <c r="B17" s="133" t="s">
        <v>83</v>
      </c>
      <c r="C17" s="134" t="s">
        <v>25</v>
      </c>
    </row>
    <row r="18" spans="1:3" x14ac:dyDescent="0.25">
      <c r="A18" s="130" t="s">
        <v>84</v>
      </c>
      <c r="B18" s="133" t="s">
        <v>85</v>
      </c>
      <c r="C18" s="134" t="s">
        <v>26</v>
      </c>
    </row>
    <row r="19" spans="1:3" x14ac:dyDescent="0.25">
      <c r="A19" s="131" t="s">
        <v>86</v>
      </c>
      <c r="B19" s="135" t="s">
        <v>87</v>
      </c>
      <c r="C19" s="136" t="s">
        <v>32</v>
      </c>
    </row>
    <row r="20" spans="1:3" x14ac:dyDescent="0.25">
      <c r="A20" s="130" t="s">
        <v>105</v>
      </c>
      <c r="B20" s="133" t="s">
        <v>89</v>
      </c>
      <c r="C20" s="134" t="s">
        <v>20</v>
      </c>
    </row>
    <row r="21" spans="1:3" x14ac:dyDescent="0.25">
      <c r="A21" s="130" t="s">
        <v>90</v>
      </c>
      <c r="B21" s="133" t="s">
        <v>75</v>
      </c>
      <c r="C21" s="134" t="s">
        <v>21</v>
      </c>
    </row>
    <row r="22" spans="1:3" x14ac:dyDescent="0.25">
      <c r="A22" s="130" t="s">
        <v>91</v>
      </c>
      <c r="B22" s="133" t="s">
        <v>92</v>
      </c>
      <c r="C22" s="134" t="s">
        <v>27</v>
      </c>
    </row>
    <row r="23" spans="1:3" x14ac:dyDescent="0.25">
      <c r="A23" s="130" t="s">
        <v>93</v>
      </c>
      <c r="B23" s="133" t="s">
        <v>94</v>
      </c>
      <c r="C23" s="134" t="s">
        <v>28</v>
      </c>
    </row>
    <row r="24" spans="1:3" x14ac:dyDescent="0.25">
      <c r="A24" s="130" t="s">
        <v>95</v>
      </c>
      <c r="B24" s="133" t="s">
        <v>96</v>
      </c>
      <c r="C24" s="134" t="s">
        <v>29</v>
      </c>
    </row>
    <row r="25" spans="1:3" x14ac:dyDescent="0.25">
      <c r="A25" s="130" t="s">
        <v>37</v>
      </c>
      <c r="B25" s="133" t="s">
        <v>97</v>
      </c>
      <c r="C25" s="134" t="s">
        <v>30</v>
      </c>
    </row>
    <row r="26" spans="1:3" x14ac:dyDescent="0.25">
      <c r="A26" s="130" t="s">
        <v>98</v>
      </c>
      <c r="B26" s="133" t="s">
        <v>99</v>
      </c>
      <c r="C26" s="134" t="s">
        <v>31</v>
      </c>
    </row>
    <row r="27" spans="1:3" ht="14.25" thickBot="1" x14ac:dyDescent="0.3">
      <c r="A27" s="132" t="s">
        <v>102</v>
      </c>
      <c r="B27" s="137" t="s">
        <v>101</v>
      </c>
      <c r="C27" s="138" t="s">
        <v>100</v>
      </c>
    </row>
    <row r="28" spans="1:3" ht="14.25" thickTop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>
    <tabColor rgb="FFFF0000"/>
  </sheetPr>
  <dimension ref="A1:W1"/>
  <sheetViews>
    <sheetView workbookViewId="0">
      <selection activeCell="E2" sqref="E2"/>
    </sheetView>
  </sheetViews>
  <sheetFormatPr defaultRowHeight="13.5" x14ac:dyDescent="0.25"/>
  <sheetData>
    <row r="1" spans="1:23" x14ac:dyDescent="0.25">
      <c r="A1" s="68" t="s">
        <v>2</v>
      </c>
      <c r="B1" s="68" t="s">
        <v>2</v>
      </c>
      <c r="C1" s="68" t="s">
        <v>2</v>
      </c>
      <c r="D1" s="71">
        <v>0</v>
      </c>
      <c r="E1" s="42">
        <v>0</v>
      </c>
      <c r="F1" s="69" t="s">
        <v>2</v>
      </c>
      <c r="G1" s="67">
        <v>0</v>
      </c>
      <c r="H1" s="67">
        <v>0</v>
      </c>
      <c r="I1" s="67">
        <v>0</v>
      </c>
      <c r="J1" s="67">
        <v>0</v>
      </c>
      <c r="K1" s="67">
        <v>0</v>
      </c>
      <c r="L1" s="67">
        <v>0</v>
      </c>
      <c r="M1" s="67">
        <v>0</v>
      </c>
      <c r="N1" s="67">
        <v>0</v>
      </c>
      <c r="O1" s="67">
        <v>0</v>
      </c>
      <c r="P1" s="67">
        <v>0</v>
      </c>
      <c r="Q1" s="43"/>
      <c r="R1" s="44" t="s">
        <v>3</v>
      </c>
      <c r="S1" s="71"/>
      <c r="T1" s="42"/>
      <c r="U1" s="69">
        <f>IFERROR(VALUE(LEFT(D1)),0)</f>
        <v>0</v>
      </c>
      <c r="V1" s="69">
        <f>IFERROR(IF(OR(G1&lt;&gt;0,H1&lt;&gt;0,I1&lt;&gt;0,J1&lt;&gt;0,K1&lt;&gt;0,L1&lt;&gt;0,M1&lt;&gt;0,N1&lt;&gt;0,O1&lt;&gt;0,P1&lt;&gt;0),1,0)*A1,0)</f>
        <v>0</v>
      </c>
      <c r="W1" s="69">
        <f>--(SUMPRODUCT(("'"&amp;'Lias stamgegevens (gekoppeld)'!$B$2:$B$10001="'" &amp; $D1)*(('Lias stamgegevens (gekoppeld)'!$S$2:$S$10001=Gemeente)+('Lias stamgegevens (gekoppeld)'!$S$2:$S$10001="")))&gt;0)</f>
        <v>0</v>
      </c>
    </row>
  </sheetData>
  <conditionalFormatting sqref="S1">
    <cfRule type="expression" dxfId="1" priority="2" stopIfTrue="1">
      <formula>LEN(S1)&gt;40</formula>
    </cfRule>
  </conditionalFormatting>
  <conditionalFormatting sqref="D1">
    <cfRule type="expression" dxfId="0" priority="1">
      <formula>(($W1&lt;&gt;1)*($D1&lt;&gt;0))&gt;0</formula>
    </cfRule>
  </conditionalFormatting>
  <dataValidations count="1">
    <dataValidation type="list" allowBlank="1" showInputMessage="1" showErrorMessage="1" sqref="R1" xr:uid="{00000000-0002-0000-0600-000000000000}">
      <formula1>LijstType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CF1034D178CD0448E4A9CD4B66F5301" ma:contentTypeVersion="11" ma:contentTypeDescription="Een nieuw document maken." ma:contentTypeScope="" ma:versionID="1c000067d5776feb943e339972a26c30">
  <xsd:schema xmlns:xsd="http://www.w3.org/2001/XMLSchema" xmlns:xs="http://www.w3.org/2001/XMLSchema" xmlns:p="http://schemas.microsoft.com/office/2006/metadata/properties" xmlns:ns2="8016c6e3-ed38-4729-8a03-8c67e8ac0833" xmlns:ns3="b761925f-39b2-43c5-b2cc-334fdf5f15f5" targetNamespace="http://schemas.microsoft.com/office/2006/metadata/properties" ma:root="true" ma:fieldsID="86a55f4621265bf0e7d63438af5db228" ns2:_="" ns3:_="">
    <xsd:import namespace="8016c6e3-ed38-4729-8a03-8c67e8ac0833"/>
    <xsd:import namespace="b761925f-39b2-43c5-b2cc-334fdf5f15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16c6e3-ed38-4729-8a03-8c67e8ac08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61925f-39b2-43c5-b2cc-334fdf5f15f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2ACD125-A7CE-4E94-BF7B-BC561DEE20A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6CDC230-7633-43F7-8CD0-0DA7428712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016c6e3-ed38-4729-8a03-8c67e8ac0833"/>
    <ds:schemaRef ds:uri="b761925f-39b2-43c5-b2cc-334fdf5f15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23CC79C-D3F3-4429-870C-FCD3C89F989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37</vt:i4>
      </vt:variant>
    </vt:vector>
  </HeadingPairs>
  <TitlesOfParts>
    <vt:vector size="44" baseType="lpstr">
      <vt:lpstr>Instellingen</vt:lpstr>
      <vt:lpstr>Begrotingswijziging</vt:lpstr>
      <vt:lpstr>Voorblad</vt:lpstr>
      <vt:lpstr>Lias stamgegevens (gekoppeld)</vt:lpstr>
      <vt:lpstr>Coderingen</vt:lpstr>
      <vt:lpstr>Afdelingen</vt:lpstr>
      <vt:lpstr>Invoegen</vt:lpstr>
      <vt:lpstr>Voorblad!Afdrukbereik</vt:lpstr>
      <vt:lpstr>Begrotingswijziging</vt:lpstr>
      <vt:lpstr>BereikKoptekst</vt:lpstr>
      <vt:lpstr>Besluit</vt:lpstr>
      <vt:lpstr>BesluitCode</vt:lpstr>
      <vt:lpstr>Boekjaar</vt:lpstr>
      <vt:lpstr>BoekjaarCode</vt:lpstr>
      <vt:lpstr>BoekjaarMax</vt:lpstr>
      <vt:lpstr>BoekjaarMin</vt:lpstr>
      <vt:lpstr>ControleInvoerCodes</vt:lpstr>
      <vt:lpstr>DataAfdeling</vt:lpstr>
      <vt:lpstr>DataBoekjaar</vt:lpstr>
      <vt:lpstr>DataLias</vt:lpstr>
      <vt:lpstr>DataWijziging</vt:lpstr>
      <vt:lpstr>DatumBesluit</vt:lpstr>
      <vt:lpstr>DatumVoorstel</vt:lpstr>
      <vt:lpstr>Gemeente</vt:lpstr>
      <vt:lpstr>GemeenteCode</vt:lpstr>
      <vt:lpstr>Gremia</vt:lpstr>
      <vt:lpstr>InvoegenSet2</vt:lpstr>
      <vt:lpstr>InvoerBegrotingswijziging</vt:lpstr>
      <vt:lpstr>KeuzeBoekjaar</vt:lpstr>
      <vt:lpstr>KeuzeGemeente</vt:lpstr>
      <vt:lpstr>KeuzeGremia</vt:lpstr>
      <vt:lpstr>KeuzeVoorstel</vt:lpstr>
      <vt:lpstr>KolMax</vt:lpstr>
      <vt:lpstr>KolMin</vt:lpstr>
      <vt:lpstr>KolomKpl</vt:lpstr>
      <vt:lpstr>KolomKsrt</vt:lpstr>
      <vt:lpstr>KolomOmschrijving</vt:lpstr>
      <vt:lpstr>LijstType</vt:lpstr>
      <vt:lpstr>NummerVoorstel</vt:lpstr>
      <vt:lpstr>OmschrijvingKort</vt:lpstr>
      <vt:lpstr>Prefix</vt:lpstr>
      <vt:lpstr>Voorstel</vt:lpstr>
      <vt:lpstr>WijzigingMax</vt:lpstr>
      <vt:lpstr>WijzigingMin</vt:lpstr>
    </vt:vector>
  </TitlesOfParts>
  <Company>Gemeente Voorschoten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Laptop</dc:creator>
  <cp:lastModifiedBy>Laptop</cp:lastModifiedBy>
  <cp:lastPrinted>2018-09-21T05:30:39Z</cp:lastPrinted>
  <dcterms:created xsi:type="dcterms:W3CDTF">2011-05-24T09:28:21Z</dcterms:created>
  <dcterms:modified xsi:type="dcterms:W3CDTF">2021-02-10T13:31:11Z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0x0101001CF1034D178CD0448E4A9CD4B66F5301</vt:lpwstr>
  </property>
  <property fmtid="{D5CDD505-2E9C-101B-9397-08002B2CF9AE}" pid="3" name="Order">
    <vt:r8>222600</vt:r8>
  </property>
</Properties>
</file>