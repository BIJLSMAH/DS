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Werkorganisatie Duivenvoorde, Wim Drinkwaard\"/>
    </mc:Choice>
  </mc:AlternateContent>
  <xr:revisionPtr revIDLastSave="0" documentId="8_{FFE78EC7-C845-42F8-BBB1-6A442C611CBA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Instellingen" sheetId="40" r:id="rId1"/>
    <sheet name="Memoriaal" sheetId="1" r:id="rId2"/>
    <sheet name="Lias stamgegevens (gekoppeld)" sheetId="38" state="hidden" r:id="rId3"/>
    <sheet name="Coderingen" sheetId="19" state="hidden" r:id="rId4"/>
    <sheet name="Invoegen" sheetId="43" state="hidden" r:id="rId5"/>
  </sheets>
  <functionGroups builtInGroupCount="19"/>
  <definedNames>
    <definedName name="_xlnm._FilterDatabase" localSheetId="2" hidden="1">'Lias stamgegevens (gekoppeld)'!$A$1:$R$2649</definedName>
    <definedName name="_xlnm.Print_Area" localSheetId="1">Memoriaal!$B$7:$J$23</definedName>
    <definedName name="Begrotingswijziging">Coderingen!#REF!</definedName>
    <definedName name="BereikKoptekst">Memoriaal!$A$1:$A$16</definedName>
    <definedName name="Besluit">Coderingen!#REF!</definedName>
    <definedName name="BesluitCode">Coderingen!#REF!</definedName>
    <definedName name="Bestandsnaam">Coderingen!$L$4</definedName>
    <definedName name="BoekDat">Instellingen!$C$29</definedName>
    <definedName name="Boekdatum">Coderingen!$J$19</definedName>
    <definedName name="Boekjaar">Coderingen!$J$8</definedName>
    <definedName name="BoekjaarCode">Coderingen!$C$8</definedName>
    <definedName name="BoekjaarMax">Coderingen!$J$5</definedName>
    <definedName name="BoekjaarMin">Coderingen!$J$6</definedName>
    <definedName name="Consulentcode">Coderingen!$C$11</definedName>
    <definedName name="ControleInvoerCodes">Coderingen!$C$19</definedName>
    <definedName name="DataAfdeling">#REF!</definedName>
    <definedName name="DataBoekjaar">Coderingen!$H$4:$J$6</definedName>
    <definedName name="DataBTW">Coderingen!$R$4:$S$7</definedName>
    <definedName name="DataConsulenten">Coderingen!$N$4:$P$17</definedName>
    <definedName name="DataGemeente">Coderingen!$E$4:$F$7</definedName>
    <definedName name="DataLias">'Lias stamgegevens (gekoppeld)'!$A$1</definedName>
    <definedName name="DataWijziging">Coderingen!#REF!</definedName>
    <definedName name="DatumBesluit">Instellingen!#REF!</definedName>
    <definedName name="DatumRaadsbesluit">#REF!</definedName>
    <definedName name="DatumRaadsvoorstel">#REF!</definedName>
    <definedName name="DatumVoorstel">Instellingen!#REF!</definedName>
    <definedName name="DocDat">Instellingen!$C$34</definedName>
    <definedName name="DocDatum">Coderingen!$J$22</definedName>
    <definedName name="DocDTB">Coderingen!$J$15</definedName>
    <definedName name="DocDTE">Coderingen!$J$16</definedName>
    <definedName name="GekozenIni">Coderingen!$O$23</definedName>
    <definedName name="Gemeente">Coderingen!$F$9</definedName>
    <definedName name="GemeenteCode">Coderingen!$C$5</definedName>
    <definedName name="Gremia">Coderingen!#REF!</definedName>
    <definedName name="InvoegenSet2">Invoegen!$A$1:$P$1</definedName>
    <definedName name="InvoerBegrotingswijziging">Instellingen!#REF!</definedName>
    <definedName name="KeuzeBoekjaar">Instellingen!$C$16</definedName>
    <definedName name="KeuzeConsulent">Instellingen!$C$4</definedName>
    <definedName name="KeuzeDocDat">Instellingen!$C$32</definedName>
    <definedName name="KeuzeGemeente">Instellingen!$C$10</definedName>
    <definedName name="KeuzeGremia">Instellingen!#REF!</definedName>
    <definedName name="KeuzeOmschrijving">Instellingen!$C$22</definedName>
    <definedName name="KeuzeVoorstel">Instellingen!#REF!</definedName>
    <definedName name="KolMax">Coderingen!#REF!</definedName>
    <definedName name="KolMin">Coderingen!#REF!</definedName>
    <definedName name="KolomKpl">Memoriaal!$B$20</definedName>
    <definedName name="KolomKsrt">Memoriaal!$C$20</definedName>
    <definedName name="KolomOmschrijving">Memoriaal!$D$20</definedName>
    <definedName name="KorteTekst">Coderingen!$L$7</definedName>
    <definedName name="KorteTekstCode">Coderingen!$C$14</definedName>
    <definedName name="LengteTekst">Instellingen!$D$24</definedName>
    <definedName name="LijstBelastingcode">OFFSET(Coderingen!$U$5,0,0,COUNTIF(Coderingen!$U$5:$U$74,"&lt;&gt;"),1)</definedName>
    <definedName name="LijstConsulenten">Coderingen!$O$5:$O$17</definedName>
    <definedName name="LijstType">Coderingen!#REF!</definedName>
    <definedName name="NrBegrotingswijziging">#REF!</definedName>
    <definedName name="NrRaadsvoorstel">#REF!</definedName>
    <definedName name="NummerVoorstel">Instellingen!#REF!</definedName>
    <definedName name="OmschrijvingKort">Instellingen!$C$24</definedName>
    <definedName name="Onderwerp">#REF!</definedName>
    <definedName name="Prefix">Coderingen!#REF!</definedName>
    <definedName name="ToevoegingJaar">Coderingen!$J$11</definedName>
    <definedName name="ValidatieDTB">Coderingen!$J$21</definedName>
    <definedName name="ValidatieDTE">Coderingen!$J$22</definedName>
    <definedName name="Voorstel">Coderingen!#REF!</definedName>
    <definedName name="WijzigingMax">Coderingen!#REF!</definedName>
    <definedName name="WijzigingMin">Coderingen!#REF!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5" i="43" l="1"/>
  <c r="N5" i="43"/>
  <c r="G5" i="43" s="1"/>
  <c r="M5" i="43"/>
  <c r="J5" i="43"/>
  <c r="K5" i="43" s="1"/>
  <c r="J24" i="1" l="1"/>
  <c r="J25" i="1"/>
  <c r="K25" i="1" l="1"/>
  <c r="K24" i="1"/>
  <c r="C34" i="40"/>
  <c r="J21" i="19" s="1"/>
  <c r="J22" i="19" s="1"/>
  <c r="C29" i="40"/>
  <c r="J18" i="19" l="1"/>
  <c r="J19" i="19" s="1"/>
  <c r="J1" i="43" l="1"/>
  <c r="K1" i="43" s="1"/>
  <c r="O25" i="1" l="1"/>
  <c r="O24" i="1"/>
  <c r="O1" i="43"/>
  <c r="F16" i="1" l="1"/>
  <c r="E13" i="1"/>
  <c r="E14" i="1"/>
  <c r="E15" i="1"/>
  <c r="E16" i="1"/>
  <c r="F13" i="1"/>
  <c r="F14" i="1"/>
  <c r="F15" i="1"/>
  <c r="N25" i="1"/>
  <c r="G25" i="1" s="1"/>
  <c r="N24" i="1"/>
  <c r="G24" i="1" s="1"/>
  <c r="N1" i="43"/>
  <c r="G1" i="43" s="1"/>
  <c r="D24" i="40"/>
  <c r="C14" i="19" s="1"/>
  <c r="C19" i="19" s="1"/>
  <c r="O23" i="19"/>
  <c r="O22" i="19"/>
  <c r="J10" i="1" s="1"/>
  <c r="H16" i="1" l="1"/>
  <c r="H15" i="1"/>
  <c r="H13" i="1"/>
  <c r="H14" i="1"/>
  <c r="J10" i="19"/>
  <c r="F9" i="19"/>
  <c r="P1" i="43" l="1"/>
  <c r="P25" i="1"/>
  <c r="P24" i="1"/>
  <c r="M1" i="43"/>
  <c r="M25" i="1"/>
  <c r="M24" i="1"/>
  <c r="J5" i="19"/>
  <c r="J16" i="19" s="1"/>
  <c r="F11" i="1" l="1"/>
  <c r="E11" i="1"/>
  <c r="F7" i="1"/>
  <c r="F10" i="1"/>
  <c r="E10" i="1"/>
  <c r="E7" i="1"/>
  <c r="F8" i="1"/>
  <c r="E8" i="1"/>
  <c r="F9" i="1"/>
  <c r="E9" i="1"/>
  <c r="J6" i="19"/>
  <c r="C18" i="40"/>
  <c r="J8" i="19"/>
  <c r="J11" i="19" l="1"/>
  <c r="L4" i="19" s="1"/>
  <c r="L7" i="19" s="1"/>
  <c r="E20" i="1"/>
  <c r="F20" i="1"/>
  <c r="C19" i="40"/>
  <c r="J15" i="19"/>
  <c r="E12" i="1"/>
  <c r="F12" i="1"/>
  <c r="G12" i="1" l="1"/>
  <c r="C38" i="40"/>
  <c r="H1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Erik Geurts</author>
    <author>VSWS</author>
  </authors>
  <commentList>
    <comment ref="A1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Erik Geurts (Telengy):</t>
        </r>
        <r>
          <rPr>
            <sz val="8"/>
            <color indexed="81"/>
            <rFont val="Tahoma"/>
            <family val="2"/>
          </rPr>
          <t xml:space="preserve">
1 = Kostenplaats
3 = Interne order</t>
        </r>
      </text>
    </comment>
    <comment ref="A20" authorId="1" shapeId="0" xr:uid="{00000000-0006-0000-0100-000002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1 = kpl
3 = io
4 = balans</t>
        </r>
      </text>
    </comment>
    <comment ref="B20" authorId="1" shapeId="0" xr:uid="{00000000-0006-0000-0100-000003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1 = balans
5..... / 6..... = kpl
7..... / 8..... = io</t>
        </r>
      </text>
    </comment>
    <comment ref="H20" authorId="1" shapeId="0" xr:uid="{00000000-0006-0000-0100-000004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Alleen ingeven bij correctie op btw-code. Anders blanco laten!</t>
        </r>
      </text>
    </comment>
    <comment ref="I20" authorId="1" shapeId="0" xr:uid="{00000000-0006-0000-0100-000005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Oorspronkelijk doc.nr.
(niet verplicht)</t>
        </r>
      </text>
    </comment>
    <comment ref="J20" authorId="1" shapeId="0" xr:uid="{00000000-0006-0000-0100-000006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Standaardtekst is overschrijfbaar.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VSWS</author>
  </authors>
  <commentList>
    <comment ref="D1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H001</t>
        </r>
      </text>
    </comment>
    <comment ref="E1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H001</t>
        </r>
      </text>
    </comment>
    <comment ref="F1" authorId="0" shapeId="0" xr:uid="{00000000-0006-0000-0200-000003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H001</t>
        </r>
      </text>
    </comment>
    <comment ref="G1" authorId="0" shapeId="0" xr:uid="{00000000-0006-0000-0200-000004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H001</t>
        </r>
      </text>
    </comment>
    <comment ref="H1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H001</t>
        </r>
      </text>
    </comment>
    <comment ref="I1" authorId="0" shapeId="0" xr:uid="{00000000-0006-0000-0200-000006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H001</t>
        </r>
      </text>
    </comment>
    <comment ref="J1" authorId="0" shapeId="0" xr:uid="{00000000-0006-0000-0200-000007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H002</t>
        </r>
      </text>
    </comment>
    <comment ref="K1" authorId="0" shapeId="0" xr:uid="{00000000-0006-0000-0200-000008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H002</t>
        </r>
      </text>
    </comment>
    <comment ref="L1" authorId="0" shapeId="0" xr:uid="{00000000-0006-0000-0200-000009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H002</t>
        </r>
      </text>
    </comment>
    <comment ref="M1" authorId="0" shapeId="0" xr:uid="{00000000-0006-0000-0200-00000A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H002</t>
        </r>
      </text>
    </comment>
    <comment ref="N1" authorId="0" shapeId="0" xr:uid="{00000000-0006-0000-0200-00000B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H002</t>
        </r>
      </text>
    </comment>
    <comment ref="O1" authorId="0" shapeId="0" xr:uid="{00000000-0006-0000-0200-00000C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H002</t>
        </r>
      </text>
    </comment>
    <comment ref="P1" authorId="0" shapeId="0" xr:uid="{00000000-0006-0000-0200-00000D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VDMF</t>
        </r>
      </text>
    </comment>
    <comment ref="Q1" authorId="0" shapeId="0" xr:uid="{00000000-0006-0000-0200-00000E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VDMF</t>
        </r>
      </text>
    </comment>
  </commentList>
</comments>
</file>

<file path=xl/sharedStrings.xml><?xml version="1.0" encoding="utf-8"?>
<sst xmlns="http://schemas.openxmlformats.org/spreadsheetml/2006/main" count="323" uniqueCount="288">
  <si>
    <t>Omschrijving 40A</t>
  </si>
  <si>
    <t>Code</t>
  </si>
  <si>
    <t xml:space="preserve"> </t>
  </si>
  <si>
    <t>Type</t>
  </si>
  <si>
    <t>Kpl/Ksrt/IO</t>
  </si>
  <si>
    <t>Org/Type cat</t>
  </si>
  <si>
    <t>Organisatie/Type categorie</t>
  </si>
  <si>
    <t>Afd</t>
  </si>
  <si>
    <t>Afdeling</t>
  </si>
  <si>
    <t>Bgh</t>
  </si>
  <si>
    <t>Budgethouder</t>
  </si>
  <si>
    <t>Programma</t>
  </si>
  <si>
    <t>Prd</t>
  </si>
  <si>
    <t>Product</t>
  </si>
  <si>
    <t>Fnc</t>
  </si>
  <si>
    <t>Functie</t>
  </si>
  <si>
    <t>Sluitrecord</t>
  </si>
  <si>
    <t>Kpl</t>
  </si>
  <si>
    <t>Prog</t>
  </si>
  <si>
    <t>Ksrt</t>
  </si>
  <si>
    <t>Omschrijving</t>
  </si>
  <si>
    <t>Bedrag</t>
  </si>
  <si>
    <t>NR</t>
  </si>
  <si>
    <t>Boekjaar</t>
  </si>
  <si>
    <t>Code 1/3</t>
  </si>
  <si>
    <t>KPL/IO</t>
  </si>
  <si>
    <t>CODE 1/3</t>
  </si>
  <si>
    <t>Totaal 5</t>
  </si>
  <si>
    <t>Totaal 6</t>
  </si>
  <si>
    <t>Gem</t>
  </si>
  <si>
    <t>Gemeente</t>
  </si>
  <si>
    <t>BoekjaarMin</t>
  </si>
  <si>
    <t>BoekjaarMax</t>
  </si>
  <si>
    <t>GemeenteCode</t>
  </si>
  <si>
    <t>Coderingen</t>
  </si>
  <si>
    <t>Evt. (jaarlijks) aanpassen</t>
  </si>
  <si>
    <t>Gekoppelde cel (niet wijzigen)</t>
  </si>
  <si>
    <t>Formule (niet wijzigbaar)</t>
  </si>
  <si>
    <t>BoekjaarCode</t>
  </si>
  <si>
    <t>Gekozen boekjaar</t>
  </si>
  <si>
    <t>DataBoekjaar</t>
  </si>
  <si>
    <t>Code (initieel 0)</t>
  </si>
  <si>
    <t>Controle (&lt;&gt; 0)</t>
  </si>
  <si>
    <t>Check</t>
  </si>
  <si>
    <t>Wim Drinkwaard</t>
  </si>
  <si>
    <t>Bestandsnaam:</t>
  </si>
  <si>
    <t>DataGemeente</t>
  </si>
  <si>
    <t>Gekozen gemeente</t>
  </si>
  <si>
    <t>Systeemjaar</t>
  </si>
  <si>
    <t>Extra jaar in naam</t>
  </si>
  <si>
    <t>Debet</t>
  </si>
  <si>
    <t>Credit</t>
  </si>
  <si>
    <r>
      <rPr>
        <sz val="9"/>
        <color rgb="FFFF0000"/>
        <rFont val="Lucida Sans Unicode"/>
        <family val="2"/>
      </rPr>
      <t>Debet</t>
    </r>
    <r>
      <rPr>
        <sz val="9"/>
        <rFont val="Lucida Sans Unicode"/>
        <family val="2"/>
      </rPr>
      <t xml:space="preserve"> = Meer lasten / minder baten</t>
    </r>
  </si>
  <si>
    <r>
      <rPr>
        <sz val="9"/>
        <color rgb="FF0000FF"/>
        <rFont val="Lucida Sans Unicode"/>
        <family val="2"/>
      </rPr>
      <t>Credit</t>
    </r>
    <r>
      <rPr>
        <sz val="9"/>
        <rFont val="Lucida Sans Unicode"/>
        <family val="2"/>
      </rPr>
      <t xml:space="preserve"> = Minder lasten / meer baten</t>
    </r>
  </si>
  <si>
    <t>Naam</t>
  </si>
  <si>
    <t>Ini</t>
  </si>
  <si>
    <t>LOFF</t>
  </si>
  <si>
    <t>Lex Offerman</t>
  </si>
  <si>
    <t>WDRI</t>
  </si>
  <si>
    <t>Gekozen naam</t>
  </si>
  <si>
    <t>Consulentcode</t>
  </si>
  <si>
    <t>Gekozen ini</t>
  </si>
  <si>
    <t>Maak uw keuze</t>
  </si>
  <si>
    <t>Korte tekst</t>
  </si>
  <si>
    <t>S p e c i f i c a t i e   m e m o r i a a l  :</t>
  </si>
  <si>
    <t>|</t>
  </si>
  <si>
    <t>DataConsulenten (memo-boekers)</t>
  </si>
  <si>
    <t>LijstBelastingcode</t>
  </si>
  <si>
    <t>DataBTW</t>
  </si>
  <si>
    <t>Nul</t>
  </si>
  <si>
    <t>Laag</t>
  </si>
  <si>
    <t>Hoog</t>
  </si>
  <si>
    <t>Percentage</t>
  </si>
  <si>
    <t>A0</t>
  </si>
  <si>
    <t>A1</t>
  </si>
  <si>
    <t>C1</t>
  </si>
  <si>
    <t>V0</t>
  </si>
  <si>
    <t>V1</t>
  </si>
  <si>
    <t>V2</t>
  </si>
  <si>
    <t>BTW</t>
  </si>
  <si>
    <t>Tussenrekening nog uit te zoeken betalingen</t>
  </si>
  <si>
    <t>Tussenrekening nog uit te zoeken ontvangsten</t>
  </si>
  <si>
    <t>Kruisposten</t>
  </si>
  <si>
    <t>Tussenrekening SOZA uitgaven</t>
  </si>
  <si>
    <t>Tussenrekening SOZA inkomsten</t>
  </si>
  <si>
    <t>* alleen ingeven bij correctie btw-code</t>
  </si>
  <si>
    <t>V3</t>
  </si>
  <si>
    <t>6.0</t>
  </si>
  <si>
    <t>6.1</t>
  </si>
  <si>
    <t>6.2</t>
  </si>
  <si>
    <t>6.3</t>
  </si>
  <si>
    <t>Totaal 7</t>
  </si>
  <si>
    <t>Bestandsnaam / Korte tekst</t>
  </si>
  <si>
    <t>bestandsnaam:</t>
  </si>
  <si>
    <t>korte tekst (25A):</t>
  </si>
  <si>
    <t>Begindatum</t>
  </si>
  <si>
    <t>Einddatum</t>
  </si>
  <si>
    <t>d-m(-jj)</t>
  </si>
  <si>
    <t>LANGE OMSCHRIJVING (INTERN)</t>
  </si>
  <si>
    <t>VdNd</t>
  </si>
  <si>
    <r>
      <rPr>
        <b/>
        <sz val="9"/>
        <color rgb="FF00B050"/>
        <rFont val="Lucida Sans Unicode"/>
        <family val="2"/>
      </rPr>
      <t>v</t>
    </r>
    <r>
      <rPr>
        <b/>
        <sz val="9"/>
        <rFont val="Lucida Sans Unicode"/>
        <family val="2"/>
      </rPr>
      <t>/</t>
    </r>
    <r>
      <rPr>
        <b/>
        <sz val="9"/>
        <color rgb="FFFF0000"/>
        <rFont val="Lucida Sans Unicode"/>
        <family val="2"/>
      </rPr>
      <t>n</t>
    </r>
  </si>
  <si>
    <t>Balansrekening</t>
  </si>
  <si>
    <t>Totaal 1</t>
  </si>
  <si>
    <t>Totaal 8</t>
  </si>
  <si>
    <t>interne orders (kredieten) (3)</t>
  </si>
  <si>
    <t>interne orders (r&amp;v) (3)</t>
  </si>
  <si>
    <t>kostenplaatsen (kostendragers) (1)</t>
  </si>
  <si>
    <t>kostenplaatsen (afdelingen) (1)</t>
  </si>
  <si>
    <t>balans (4)</t>
  </si>
  <si>
    <t>Nog te ontvangen BSGR</t>
  </si>
  <si>
    <t>Vooruitbetaalde bedragen (algemeen)</t>
  </si>
  <si>
    <t>Nog te betalen Sociale Dienst</t>
  </si>
  <si>
    <t>R/c Soza Leidschendam-Voorburg</t>
  </si>
  <si>
    <t>Belastingdebiteuren</t>
  </si>
  <si>
    <t>Debiteuren Welzijn/Soza</t>
  </si>
  <si>
    <t>Nog te betalen bedragen (algemeen)</t>
  </si>
  <si>
    <t>Salarissen Centric/Raet</t>
  </si>
  <si>
    <t>Loonheffing CBK</t>
  </si>
  <si>
    <t>IZA-premie</t>
  </si>
  <si>
    <t>Tussenr vergoeding personeels pas</t>
  </si>
  <si>
    <t>Vooruitontvangen bedragen (transitoria)</t>
  </si>
  <si>
    <t>Vooruitontvangen Reïntegratie</t>
  </si>
  <si>
    <t>Sisa C7c: ISV Geluidssanering</t>
  </si>
  <si>
    <t>Te verrekenen BTW met belastingdienst</t>
  </si>
  <si>
    <t>Te vorderen BCF 6%</t>
  </si>
  <si>
    <t>Te verrekenen BCF met belastingdienst</t>
  </si>
  <si>
    <t>Betalingen onderweg</t>
  </si>
  <si>
    <t>Tussenrekening correctie activaklasse</t>
  </si>
  <si>
    <t>Tussenrekening rente vaste activa (balans)</t>
  </si>
  <si>
    <t>Tussenrekening afletteren</t>
  </si>
  <si>
    <t>Tijdelijk ivm BTW overboekingen</t>
  </si>
  <si>
    <t>Overige grond- en hulpstoffen</t>
  </si>
  <si>
    <t>Gereed product en handelsgoederen</t>
  </si>
  <si>
    <t>Vooruitbetalingen (voorraden)</t>
  </si>
  <si>
    <t>Boekdatum</t>
  </si>
  <si>
    <t>BoekDat</t>
  </si>
  <si>
    <t>DocDat</t>
  </si>
  <si>
    <t>LENGTE</t>
  </si>
  <si>
    <t>(1=balans)</t>
  </si>
  <si>
    <t>VOORDEEL/NADEEL</t>
  </si>
  <si>
    <t>BTW-CODE *</t>
  </si>
  <si>
    <t>KSRT/
GRBK</t>
  </si>
  <si>
    <t>OMSCHRIJVING (AUTOMATISCH)</t>
  </si>
  <si>
    <t>OPDRACHTGEVER</t>
  </si>
  <si>
    <t>Paraaf:</t>
  </si>
  <si>
    <t>Akkoord door:</t>
  </si>
  <si>
    <t>Datum:</t>
  </si>
  <si>
    <t>ADMINISTRATIE</t>
  </si>
  <si>
    <t>Datum verwerking:</t>
  </si>
  <si>
    <t>Verwerkt door:</t>
  </si>
  <si>
    <t>DOCNR</t>
  </si>
  <si>
    <t>OMSCHRIJVING WEBPUBLISHING 30/40A
(evt. docnr wordt automatisch toegevoegd)</t>
  </si>
  <si>
    <t>Documentdatum</t>
  </si>
  <si>
    <t>boekdatum bepaalt periode</t>
  </si>
  <si>
    <t>Mix 99%-1% laag (6%)</t>
  </si>
  <si>
    <t>Mix 99%-1% hoog (21%)</t>
  </si>
  <si>
    <t>Mix 98%-2% laag (6%)</t>
  </si>
  <si>
    <t>Mix 97%-3% laag (6%)</t>
  </si>
  <si>
    <t>Mix 96%-4% laag (6%)</t>
  </si>
  <si>
    <t>Mix 95%-5% laag (6%)</t>
  </si>
  <si>
    <t>Mix 94%-6% laag (6%)</t>
  </si>
  <si>
    <t>Mix 93%-7% laag (6%)</t>
  </si>
  <si>
    <t>Mix 92%-8% laag (6%)</t>
  </si>
  <si>
    <t>Af te dragen btw nul (0%)</t>
  </si>
  <si>
    <t>Af te dragen btw laag (6%)</t>
  </si>
  <si>
    <t>A3</t>
  </si>
  <si>
    <t>Af te dragen btw hoog (21%)</t>
  </si>
  <si>
    <t>Compensabele btw laag (6%)</t>
  </si>
  <si>
    <t>C3</t>
  </si>
  <si>
    <t>Compensabele btw hoog (21%)</t>
  </si>
  <si>
    <t>Te vorderen btw nul (0%)</t>
  </si>
  <si>
    <t>Te vorderen btw laag (6%)</t>
  </si>
  <si>
    <t>Te vorderen btw hoog (0%)</t>
  </si>
  <si>
    <t>Te vorderen btw hoog (21%)</t>
  </si>
  <si>
    <t>WAS</t>
  </si>
  <si>
    <t>VOO</t>
  </si>
  <si>
    <t>WOD</t>
  </si>
  <si>
    <t>(invoegen oud)</t>
  </si>
  <si>
    <t>(invoegen nieuw)</t>
  </si>
  <si>
    <t>T:\FFJ\FIN\Gekoppelde gegevens (AFBLIJVEN)\Stamgeg begr en memo\</t>
  </si>
  <si>
    <t>Ahmed Terzedi</t>
  </si>
  <si>
    <t>ATER</t>
  </si>
  <si>
    <t>Nomen Nesio</t>
  </si>
  <si>
    <t>NNES</t>
  </si>
  <si>
    <t>Div consulenten</t>
  </si>
  <si>
    <t>DCON</t>
  </si>
  <si>
    <t>Mix 83%-17% laag (6%)</t>
  </si>
  <si>
    <t>B1</t>
  </si>
  <si>
    <t>B2</t>
  </si>
  <si>
    <t>Af te dragen buitenl laag (6%)</t>
  </si>
  <si>
    <t>Af te dragen buitenl hoog (21%0</t>
  </si>
  <si>
    <t>D1</t>
  </si>
  <si>
    <t>D2</t>
  </si>
  <si>
    <t>Doorschuif BTW laag (6%)</t>
  </si>
  <si>
    <t>Doorschuif BTW hoog (21%)</t>
  </si>
  <si>
    <t>E1</t>
  </si>
  <si>
    <t>E2</t>
  </si>
  <si>
    <t>Mix 98%-2% hoog (21%)</t>
  </si>
  <si>
    <t>Mix 97%-3% hoog (21%)</t>
  </si>
  <si>
    <t>Mix 96%-4% hoog (21%)</t>
  </si>
  <si>
    <t>Mix 95%-5% hoog (21%)</t>
  </si>
  <si>
    <t>Mix 94%-6% hoog (21%)</t>
  </si>
  <si>
    <t>Mix 93%-7% hoog (21%)</t>
  </si>
  <si>
    <t>Mix 92%-8% hoog (21%)</t>
  </si>
  <si>
    <t>Mix 83%-17% hoog (21%)</t>
  </si>
  <si>
    <t>F1</t>
  </si>
  <si>
    <t>F2</t>
  </si>
  <si>
    <t>G1</t>
  </si>
  <si>
    <t>G2</t>
  </si>
  <si>
    <t>H1</t>
  </si>
  <si>
    <t>H2</t>
  </si>
  <si>
    <t>I1</t>
  </si>
  <si>
    <t>I2</t>
  </si>
  <si>
    <t>J1</t>
  </si>
  <si>
    <t>J2</t>
  </si>
  <si>
    <t>K1</t>
  </si>
  <si>
    <t>K2</t>
  </si>
  <si>
    <t>Dobbew. 75%-25% laag (6%)</t>
  </si>
  <si>
    <t>Dobbew. 75%-25% hoog (21%)</t>
  </si>
  <si>
    <t>Deltapl. 36%-64% laag (6%)</t>
  </si>
  <si>
    <t>Deltapl. 36%-64% hoog (21%)</t>
  </si>
  <si>
    <t>DVC 68%-32% laag (6%)</t>
  </si>
  <si>
    <t>DVC 68%-32% hoog (21%)</t>
  </si>
  <si>
    <t>Vlietw. 65%-35% laag (6%)</t>
  </si>
  <si>
    <t>Vlietw. 65%-35% hoog (21%)</t>
  </si>
  <si>
    <t>N-Hofl. 43%-57% laag (6%)</t>
  </si>
  <si>
    <t>N-Hofl. 43%-57% hoog (21%)</t>
  </si>
  <si>
    <t>N1</t>
  </si>
  <si>
    <t>N3</t>
  </si>
  <si>
    <t>Niet comp. BTW laag (6%)</t>
  </si>
  <si>
    <t>Niet comp. BTW hoog (21%)</t>
  </si>
  <si>
    <t>Theo van Kuijk</t>
  </si>
  <si>
    <t>TKUIJK</t>
  </si>
  <si>
    <t>Nog te ontvangen niet overheid, Rijk, EU</t>
  </si>
  <si>
    <t>Nog te ontvangen van ov. overheid</t>
  </si>
  <si>
    <t>Nog te ontvangen bijdrage van de EU</t>
  </si>
  <si>
    <t>Nog te ontvangen bijdrage van het Rijk</t>
  </si>
  <si>
    <t>Door te berekenen belastingen/heffingen BSGR</t>
  </si>
  <si>
    <t>R/c gemeente Voorschoten</t>
  </si>
  <si>
    <t>R/c GR Werkorganisatie Duivenvoorde</t>
  </si>
  <si>
    <t>R/C Schatkistbankieren Rijk</t>
  </si>
  <si>
    <t>Crediteuren</t>
  </si>
  <si>
    <t>NTB/Crediteuren Workflow 2016-&gt;2017</t>
  </si>
  <si>
    <t>Vooruitbet.bedr. niet afgewikkeld balansdatum</t>
  </si>
  <si>
    <t>Crediteuren overige publiekrechtelijke lichamen</t>
  </si>
  <si>
    <t>Debiteuren algemeen</t>
  </si>
  <si>
    <t>Debiteuren overige publiekrechtelijke lichamen</t>
  </si>
  <si>
    <t>Voorziening dubieuze debiteuren</t>
  </si>
  <si>
    <t>Kasgeldleningen o/g openb.lichamen (art. 1a Fido)</t>
  </si>
  <si>
    <t>Overige kasgeldleningen o/g</t>
  </si>
  <si>
    <t>Verstrekte kasgeldleningen aan openb. lichamen (ar</t>
  </si>
  <si>
    <t>Overige verstrekte kasgeldleningen</t>
  </si>
  <si>
    <t>Schatkistbankieren uitzettingen &lt; 1 jr. u/g</t>
  </si>
  <si>
    <t>Tussenrekening betalingen H10</t>
  </si>
  <si>
    <t>Tussenrekening betalingen H10 Schakenbosch</t>
  </si>
  <si>
    <t>TR balansinbreng 31-12-2016</t>
  </si>
  <si>
    <t>Debiteuren 2016 ontvangen in 2017</t>
  </si>
  <si>
    <t>Crediteuren 2016 bet in 2017</t>
  </si>
  <si>
    <t>IKB reservering</t>
  </si>
  <si>
    <t>Vooruit ontvangen bijdragen van de EU</t>
  </si>
  <si>
    <t>Vooruit ontvangen bijdragen van het Rijk</t>
  </si>
  <si>
    <t>Vooruit ontvangen bijdragen van overige overheid</t>
  </si>
  <si>
    <t>Af te dragen btw 0% (vraag 1e)</t>
  </si>
  <si>
    <t>Af te dragen btw 6% (vraag 1b)</t>
  </si>
  <si>
    <t>Af te dragen btw 21% (vraag 1a)</t>
  </si>
  <si>
    <t>Af te dragen btw Verlegd (vraag 2a)</t>
  </si>
  <si>
    <t>Af te dragen btw buitenland binnen EU (vraag 4b)</t>
  </si>
  <si>
    <t>Af te dragen btw buitenland buiten EU (vraag 4a)</t>
  </si>
  <si>
    <t>Te vorderen btw 0% (vraag 5b)</t>
  </si>
  <si>
    <t>Te vorderen btw 6 en 9% (vraag 5b.)</t>
  </si>
  <si>
    <t>Te vorderen btw 21% (vraag 5b.)</t>
  </si>
  <si>
    <t>Te vorderen BCF oud 19%</t>
  </si>
  <si>
    <t>Te vorderen BCF 21%</t>
  </si>
  <si>
    <t>Te vorderen BCF 9%</t>
  </si>
  <si>
    <t>Te vorderen BCF gemengd</t>
  </si>
  <si>
    <t>Door te schuiven BTW 6%</t>
  </si>
  <si>
    <t>Door te schuiven BTW 21%</t>
  </si>
  <si>
    <t>Door te schuiven BTW 9%</t>
  </si>
  <si>
    <t>Tussenrekening verplichtingen</t>
  </si>
  <si>
    <t>Onderhanden werk (incl. bouwgronden in expl.)</t>
  </si>
  <si>
    <t>R/c gemeente Wassenaar</t>
  </si>
  <si>
    <t>Crediteuren Kasrondje Vlietwijk</t>
  </si>
  <si>
    <t>Debiteuren Kasrondje Vlietwijk</t>
  </si>
  <si>
    <t>Sander Meyer</t>
  </si>
  <si>
    <t>SMEY</t>
  </si>
  <si>
    <t>Jerzy Perreira</t>
  </si>
  <si>
    <t>JPER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</si>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</sst>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\ dd/mm/yyyy"/>
  </numFmts>
  <fonts count="37" x14ac:knownFonts="1">
    <font>
      <sz val="9"/>
      <name val="Lucida Sans Unicode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"/>
      <name val="Lucida Sans Unicode"/>
      <family val="2"/>
    </font>
    <font>
      <b/>
      <i/>
      <sz val="9"/>
      <color indexed="8"/>
      <name val="Lucida Sans Unicode"/>
      <family val="2"/>
    </font>
    <font>
      <b/>
      <sz val="9"/>
      <color indexed="8"/>
      <name val="Lucida Sans Unicode"/>
      <family val="2"/>
    </font>
    <font>
      <b/>
      <sz val="9"/>
      <name val="Lucida Sans Unicode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Lucida Sans Unicode"/>
      <family val="2"/>
    </font>
    <font>
      <sz val="9"/>
      <color indexed="12"/>
      <name val="Lucida Sans Unicode"/>
      <family val="2"/>
    </font>
    <font>
      <sz val="9"/>
      <name val="Lucida Sans Unicode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8"/>
      <color rgb="FF000000"/>
      <name val="Tahoma"/>
      <family val="2"/>
    </font>
    <font>
      <sz val="9"/>
      <color rgb="FF000000"/>
      <name val="Lucida Sans Unicode"/>
      <family val="2"/>
    </font>
    <font>
      <sz val="9"/>
      <color rgb="FFFF0000"/>
      <name val="Lucida Sans Unicode"/>
      <family val="2"/>
    </font>
    <font>
      <sz val="9"/>
      <color rgb="FF0000FF"/>
      <name val="Lucida Sans Unicode"/>
      <family val="2"/>
    </font>
    <font>
      <sz val="9"/>
      <name val="Wingdings 3"/>
      <family val="1"/>
      <charset val="2"/>
    </font>
    <font>
      <b/>
      <sz val="9"/>
      <color indexed="12"/>
      <name val="Lucida Sans Unicode"/>
      <family val="2"/>
    </font>
    <font>
      <b/>
      <sz val="9"/>
      <color rgb="FF00B050"/>
      <name val="Lucida Sans Unicode"/>
      <family val="2"/>
    </font>
    <font>
      <b/>
      <sz val="9"/>
      <color rgb="FFFF0000"/>
      <name val="Lucida Sans Unicode"/>
      <family val="2"/>
    </font>
    <font>
      <sz val="11"/>
      <color rgb="FFFF0000"/>
      <name val="Calibri"/>
      <family val="2"/>
      <scheme val="minor"/>
    </font>
    <font>
      <b/>
      <sz val="9"/>
      <color indexed="10"/>
      <name val="Lucida Sans Unicode"/>
      <family val="2"/>
    </font>
    <font>
      <i/>
      <sz val="9"/>
      <name val="Lucida Sans Unicode"/>
      <family val="2"/>
    </font>
  </fonts>
  <fills count="1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4E59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0070C0"/>
      </left>
      <right/>
      <top style="double">
        <color rgb="FF0070C0"/>
      </top>
      <bottom/>
      <diagonal/>
    </border>
    <border>
      <left/>
      <right style="double">
        <color rgb="FF0070C0"/>
      </right>
      <top style="double">
        <color rgb="FF0070C0"/>
      </top>
      <bottom/>
      <diagonal/>
    </border>
    <border>
      <left style="double">
        <color rgb="FF0070C0"/>
      </left>
      <right/>
      <top/>
      <bottom/>
      <diagonal/>
    </border>
    <border>
      <left/>
      <right style="double">
        <color rgb="FF0070C0"/>
      </right>
      <top/>
      <bottom/>
      <diagonal/>
    </border>
    <border>
      <left style="double">
        <color rgb="FF0070C0"/>
      </left>
      <right/>
      <top/>
      <bottom style="double">
        <color rgb="FF0070C0"/>
      </bottom>
      <diagonal/>
    </border>
    <border>
      <left/>
      <right style="double">
        <color rgb="FF0070C0"/>
      </right>
      <top/>
      <bottom style="double">
        <color rgb="FF0070C0"/>
      </bottom>
      <diagonal/>
    </border>
    <border>
      <left style="double">
        <color rgb="FF0070C0"/>
      </left>
      <right style="double">
        <color rgb="FF0070C0"/>
      </right>
      <top style="double">
        <color rgb="FF0070C0"/>
      </top>
      <bottom/>
      <diagonal/>
    </border>
    <border>
      <left style="double">
        <color rgb="FF0070C0"/>
      </left>
      <right style="double">
        <color rgb="FF0070C0"/>
      </right>
      <top/>
      <bottom style="double">
        <color rgb="FF0070C0"/>
      </bottom>
      <diagonal/>
    </border>
    <border>
      <left/>
      <right/>
      <top style="double">
        <color rgb="FF0070C0"/>
      </top>
      <bottom/>
      <diagonal/>
    </border>
    <border>
      <left/>
      <right/>
      <top/>
      <bottom style="double">
        <color rgb="FF0070C0"/>
      </bottom>
      <diagonal/>
    </border>
    <border>
      <left style="double">
        <color rgb="FF0070C0"/>
      </left>
      <right/>
      <top style="double">
        <color rgb="FF0070C0"/>
      </top>
      <bottom style="double">
        <color rgb="FF0070C0"/>
      </bottom>
      <diagonal/>
    </border>
    <border>
      <left/>
      <right style="double">
        <color rgb="FF0070C0"/>
      </right>
      <top style="double">
        <color rgb="FF0070C0"/>
      </top>
      <bottom style="double">
        <color rgb="FF0070C0"/>
      </bottom>
      <diagonal/>
    </border>
    <border>
      <left style="medium">
        <color rgb="FF00B050"/>
      </left>
      <right/>
      <top style="medium">
        <color rgb="FF00B050"/>
      </top>
      <bottom/>
      <diagonal/>
    </border>
    <border>
      <left/>
      <right/>
      <top style="medium">
        <color rgb="FF00B050"/>
      </top>
      <bottom/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 style="medium">
        <color rgb="FF00B050"/>
      </left>
      <right/>
      <top/>
      <bottom/>
      <diagonal/>
    </border>
    <border>
      <left/>
      <right style="medium">
        <color rgb="FF00B050"/>
      </right>
      <top/>
      <bottom/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00B050"/>
      </bottom>
      <diagonal/>
    </border>
    <border>
      <left/>
      <right style="medium">
        <color rgb="FF00B050"/>
      </right>
      <top/>
      <bottom style="medium">
        <color rgb="FF00B050"/>
      </bottom>
      <diagonal/>
    </border>
    <border>
      <left style="double">
        <color rgb="FF0070C0"/>
      </left>
      <right style="double">
        <color rgb="FF0070C0"/>
      </right>
      <top style="double">
        <color rgb="FF0070C0"/>
      </top>
      <bottom style="double">
        <color rgb="FF0070C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9" fontId="22" fillId="0" borderId="0" applyFont="0" applyFill="0" applyBorder="0" applyAlignment="0" applyProtection="0"/>
  </cellStyleXfs>
  <cellXfs count="143">
    <xf numFmtId="0" fontId="0" fillId="0" borderId="0" xfId="0"/>
    <xf numFmtId="0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 applyNumberFormat="1" applyFont="1"/>
    <xf numFmtId="0" fontId="14" fillId="0" borderId="0" xfId="0" applyNumberFormat="1" applyFont="1" applyFill="1"/>
    <xf numFmtId="0" fontId="0" fillId="0" borderId="0" xfId="0" applyNumberFormat="1" applyFont="1" applyAlignment="1">
      <alignment horizontal="center"/>
    </xf>
    <xf numFmtId="0" fontId="14" fillId="0" borderId="0" xfId="0" applyNumberFormat="1" applyFont="1" applyFill="1" applyAlignment="1">
      <alignment horizontal="left" vertical="top"/>
    </xf>
    <xf numFmtId="0" fontId="14" fillId="0" borderId="0" xfId="0" applyNumberFormat="1" applyFont="1" applyFill="1" applyBorder="1"/>
    <xf numFmtId="0" fontId="14" fillId="0" borderId="0" xfId="0" applyNumberFormat="1" applyFont="1" applyFill="1" applyBorder="1" applyAlignment="1">
      <alignment horizontal="center"/>
    </xf>
    <xf numFmtId="0" fontId="14" fillId="0" borderId="0" xfId="0" applyNumberFormat="1" applyFont="1" applyFill="1" applyBorder="1" applyAlignment="1">
      <alignment horizontal="right"/>
    </xf>
    <xf numFmtId="0" fontId="16" fillId="0" borderId="0" xfId="0" applyNumberFormat="1" applyFont="1" applyFill="1" applyBorder="1"/>
    <xf numFmtId="0" fontId="0" fillId="0" borderId="0" xfId="0" applyNumberFormat="1" applyFont="1" applyFill="1"/>
    <xf numFmtId="0" fontId="0" fillId="0" borderId="0" xfId="0" applyNumberFormat="1" applyFont="1" applyFill="1" applyAlignment="1">
      <alignment horizontal="center"/>
    </xf>
    <xf numFmtId="0" fontId="17" fillId="0" borderId="0" xfId="0" applyNumberFormat="1" applyFont="1" applyAlignment="1">
      <alignment wrapText="1"/>
    </xf>
    <xf numFmtId="0" fontId="16" fillId="0" borderId="1" xfId="0" applyNumberFormat="1" applyFont="1" applyFill="1" applyBorder="1" applyAlignment="1" applyProtection="1">
      <alignment wrapText="1"/>
    </xf>
    <xf numFmtId="0" fontId="0" fillId="0" borderId="1" xfId="0" applyNumberFormat="1" applyFont="1" applyBorder="1"/>
    <xf numFmtId="0" fontId="14" fillId="0" borderId="1" xfId="0" applyNumberFormat="1" applyFont="1" applyFill="1" applyBorder="1" applyAlignment="1">
      <alignment horizontal="center"/>
    </xf>
    <xf numFmtId="0" fontId="14" fillId="0" borderId="1" xfId="0" applyNumberFormat="1" applyFont="1" applyFill="1" applyBorder="1" applyAlignment="1">
      <alignment horizontal="right"/>
    </xf>
    <xf numFmtId="0" fontId="14" fillId="0" borderId="1" xfId="0" applyNumberFormat="1" applyFont="1" applyFill="1" applyBorder="1"/>
    <xf numFmtId="0" fontId="0" fillId="0" borderId="2" xfId="0" applyNumberFormat="1" applyFont="1" applyBorder="1"/>
    <xf numFmtId="0" fontId="15" fillId="0" borderId="3" xfId="0" applyNumberFormat="1" applyFont="1" applyFill="1" applyBorder="1" applyAlignment="1" applyProtection="1">
      <alignment horizontal="right"/>
    </xf>
    <xf numFmtId="0" fontId="15" fillId="0" borderId="3" xfId="0" applyNumberFormat="1" applyFont="1" applyFill="1" applyBorder="1" applyAlignment="1" applyProtection="1">
      <alignment horizontal="left"/>
    </xf>
    <xf numFmtId="0" fontId="0" fillId="0" borderId="3" xfId="0" applyNumberFormat="1" applyFont="1" applyBorder="1" applyAlignment="1">
      <alignment horizontal="center"/>
    </xf>
    <xf numFmtId="0" fontId="0" fillId="0" borderId="4" xfId="0" applyNumberFormat="1" applyFont="1" applyBorder="1"/>
    <xf numFmtId="0" fontId="0" fillId="0" borderId="5" xfId="0" applyNumberFormat="1" applyFont="1" applyBorder="1"/>
    <xf numFmtId="0" fontId="14" fillId="0" borderId="6" xfId="0" applyNumberFormat="1" applyFont="1" applyFill="1" applyBorder="1" applyAlignment="1">
      <alignment horizontal="center"/>
    </xf>
    <xf numFmtId="0" fontId="14" fillId="0" borderId="6" xfId="0" applyNumberFormat="1" applyFont="1" applyFill="1" applyBorder="1" applyAlignment="1">
      <alignment horizontal="right"/>
    </xf>
    <xf numFmtId="0" fontId="14" fillId="0" borderId="6" xfId="0" applyNumberFormat="1" applyFont="1" applyFill="1" applyBorder="1"/>
    <xf numFmtId="0" fontId="0" fillId="0" borderId="6" xfId="0" applyNumberFormat="1" applyFont="1" applyBorder="1" applyAlignment="1">
      <alignment horizontal="center"/>
    </xf>
    <xf numFmtId="0" fontId="0" fillId="0" borderId="7" xfId="0" applyNumberFormat="1" applyFont="1" applyBorder="1"/>
    <xf numFmtId="0" fontId="0" fillId="2" borderId="0" xfId="0" applyNumberFormat="1" applyFont="1" applyFill="1"/>
    <xf numFmtId="0" fontId="0" fillId="2" borderId="0" xfId="0" applyNumberFormat="1" applyFont="1" applyFill="1" applyAlignment="1">
      <alignment horizontal="center"/>
    </xf>
    <xf numFmtId="0" fontId="16" fillId="3" borderId="1" xfId="0" applyNumberFormat="1" applyFont="1" applyFill="1" applyBorder="1" applyAlignment="1" applyProtection="1">
      <alignment horizontal="center" wrapText="1"/>
    </xf>
    <xf numFmtId="0" fontId="17" fillId="3" borderId="1" xfId="0" applyNumberFormat="1" applyFont="1" applyFill="1" applyBorder="1" applyAlignment="1">
      <alignment wrapText="1"/>
    </xf>
    <xf numFmtId="0" fontId="17" fillId="4" borderId="1" xfId="0" applyNumberFormat="1" applyFont="1" applyFill="1" applyBorder="1" applyAlignment="1">
      <alignment wrapText="1"/>
    </xf>
    <xf numFmtId="3" fontId="0" fillId="0" borderId="0" xfId="0" applyNumberFormat="1"/>
    <xf numFmtId="3" fontId="0" fillId="0" borderId="0" xfId="0" applyNumberFormat="1" applyFont="1"/>
    <xf numFmtId="3" fontId="14" fillId="0" borderId="0" xfId="0" applyNumberFormat="1" applyFont="1" applyFill="1" applyAlignment="1">
      <alignment horizontal="left" vertical="top"/>
    </xf>
    <xf numFmtId="3" fontId="14" fillId="0" borderId="3" xfId="0" applyNumberFormat="1" applyFont="1" applyFill="1" applyBorder="1" applyAlignment="1"/>
    <xf numFmtId="3" fontId="14" fillId="0" borderId="3" xfId="0" applyNumberFormat="1" applyFont="1" applyFill="1" applyBorder="1" applyAlignment="1">
      <alignment horizontal="right"/>
    </xf>
    <xf numFmtId="3" fontId="14" fillId="0" borderId="6" xfId="0" applyNumberFormat="1" applyFont="1" applyFill="1" applyBorder="1"/>
    <xf numFmtId="3" fontId="14" fillId="0" borderId="6" xfId="0" applyNumberFormat="1" applyFont="1" applyFill="1" applyBorder="1" applyAlignment="1">
      <alignment horizontal="right"/>
    </xf>
    <xf numFmtId="3" fontId="16" fillId="3" borderId="1" xfId="0" applyNumberFormat="1" applyFont="1" applyFill="1" applyBorder="1" applyAlignment="1" applyProtection="1">
      <alignment horizontal="center" wrapText="1"/>
    </xf>
    <xf numFmtId="3" fontId="21" fillId="0" borderId="1" xfId="0" applyNumberFormat="1" applyFont="1" applyFill="1" applyBorder="1" applyAlignment="1">
      <alignment horizontal="center"/>
    </xf>
    <xf numFmtId="3" fontId="14" fillId="0" borderId="0" xfId="0" applyNumberFormat="1" applyFont="1" applyFill="1" applyBorder="1" applyAlignment="1">
      <alignment horizontal="center"/>
    </xf>
    <xf numFmtId="3" fontId="0" fillId="0" borderId="0" xfId="0" applyNumberFormat="1" applyFont="1" applyFill="1"/>
    <xf numFmtId="0" fontId="22" fillId="5" borderId="0" xfId="0" applyNumberFormat="1" applyFont="1" applyFill="1" applyAlignment="1">
      <alignment horizontal="center"/>
    </xf>
    <xf numFmtId="0" fontId="0" fillId="5" borderId="0" xfId="0" applyNumberFormat="1" applyFont="1" applyFill="1"/>
    <xf numFmtId="0" fontId="17" fillId="0" borderId="1" xfId="0" applyNumberFormat="1" applyFont="1" applyFill="1" applyBorder="1" applyAlignment="1">
      <alignment wrapText="1"/>
    </xf>
    <xf numFmtId="0" fontId="0" fillId="2" borderId="0" xfId="0" applyNumberFormat="1" applyFill="1"/>
    <xf numFmtId="3" fontId="14" fillId="0" borderId="0" xfId="0" applyNumberFormat="1" applyFont="1" applyFill="1" applyAlignment="1">
      <alignment vertical="top"/>
    </xf>
    <xf numFmtId="0" fontId="3" fillId="0" borderId="0" xfId="16"/>
    <xf numFmtId="0" fontId="24" fillId="0" borderId="0" xfId="16" applyFont="1"/>
    <xf numFmtId="0" fontId="25" fillId="6" borderId="0" xfId="16" applyFont="1" applyFill="1"/>
    <xf numFmtId="0" fontId="0" fillId="7" borderId="0" xfId="0" applyFill="1"/>
    <xf numFmtId="0" fontId="0" fillId="0" borderId="0" xfId="0" applyBorder="1"/>
    <xf numFmtId="0" fontId="0" fillId="0" borderId="10" xfId="0" applyBorder="1"/>
    <xf numFmtId="0" fontId="0" fillId="0" borderId="12" xfId="0" applyBorder="1"/>
    <xf numFmtId="0" fontId="0" fillId="8" borderId="0" xfId="0" applyFill="1"/>
    <xf numFmtId="0" fontId="0" fillId="7" borderId="15" xfId="0" applyFill="1" applyBorder="1"/>
    <xf numFmtId="0" fontId="0" fillId="0" borderId="17" xfId="0" applyBorder="1"/>
    <xf numFmtId="0" fontId="17" fillId="0" borderId="8" xfId="0" applyFont="1" applyBorder="1"/>
    <xf numFmtId="0" fontId="17" fillId="0" borderId="9" xfId="0" applyFont="1" applyBorder="1"/>
    <xf numFmtId="0" fontId="17" fillId="0" borderId="14" xfId="0" applyFont="1" applyBorder="1"/>
    <xf numFmtId="0" fontId="17" fillId="0" borderId="16" xfId="0" applyFont="1" applyBorder="1"/>
    <xf numFmtId="0" fontId="0" fillId="9" borderId="0" xfId="0" applyFill="1"/>
    <xf numFmtId="0" fontId="0" fillId="9" borderId="15" xfId="0" applyFill="1" applyBorder="1" applyProtection="1">
      <protection locked="0"/>
    </xf>
    <xf numFmtId="1" fontId="0" fillId="7" borderId="13" xfId="0" applyNumberFormat="1" applyFill="1" applyBorder="1" applyProtection="1"/>
    <xf numFmtId="0" fontId="0" fillId="0" borderId="18" xfId="0" applyBorder="1"/>
    <xf numFmtId="0" fontId="0" fillId="7" borderId="19" xfId="0" applyFill="1" applyBorder="1"/>
    <xf numFmtId="0" fontId="0" fillId="11" borderId="0" xfId="0" applyFill="1"/>
    <xf numFmtId="0" fontId="0" fillId="8" borderId="0" xfId="0" applyFill="1" applyBorder="1"/>
    <xf numFmtId="0" fontId="0" fillId="8" borderId="0" xfId="0" applyFont="1" applyFill="1" applyBorder="1" applyAlignment="1">
      <alignment horizontal="center"/>
    </xf>
    <xf numFmtId="0" fontId="0" fillId="8" borderId="0" xfId="0" applyFill="1" applyBorder="1" applyProtection="1">
      <protection hidden="1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 applyAlignment="1">
      <alignment horizontal="center"/>
    </xf>
    <xf numFmtId="0" fontId="0" fillId="0" borderId="24" xfId="0" applyBorder="1"/>
    <xf numFmtId="0" fontId="0" fillId="0" borderId="23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12" borderId="0" xfId="0" applyNumberFormat="1" applyFill="1"/>
    <xf numFmtId="0" fontId="0" fillId="5" borderId="0" xfId="0" applyNumberFormat="1" applyFont="1" applyFill="1" applyAlignment="1">
      <alignment horizontal="center"/>
    </xf>
    <xf numFmtId="1" fontId="0" fillId="7" borderId="11" xfId="0" applyNumberFormat="1" applyFill="1" applyBorder="1" applyProtection="1"/>
    <xf numFmtId="0" fontId="0" fillId="0" borderId="2" xfId="0" applyBorder="1"/>
    <xf numFmtId="0" fontId="0" fillId="0" borderId="5" xfId="0" applyBorder="1"/>
    <xf numFmtId="1" fontId="0" fillId="0" borderId="11" xfId="0" applyNumberFormat="1" applyFill="1" applyBorder="1" applyAlignment="1" applyProtection="1">
      <alignment horizontal="center"/>
    </xf>
    <xf numFmtId="1" fontId="0" fillId="0" borderId="13" xfId="0" applyNumberFormat="1" applyFill="1" applyBorder="1" applyAlignment="1" applyProtection="1">
      <alignment horizontal="center"/>
    </xf>
    <xf numFmtId="0" fontId="0" fillId="7" borderId="4" xfId="0" applyFill="1" applyBorder="1"/>
    <xf numFmtId="0" fontId="0" fillId="7" borderId="7" xfId="0" applyFill="1" applyBorder="1"/>
    <xf numFmtId="0" fontId="14" fillId="0" borderId="0" xfId="0" quotePrefix="1" applyNumberFormat="1" applyFont="1" applyFill="1" applyAlignment="1">
      <alignment horizontal="right" vertical="top"/>
    </xf>
    <xf numFmtId="0" fontId="17" fillId="0" borderId="0" xfId="0" applyFont="1" applyBorder="1"/>
    <xf numFmtId="0" fontId="0" fillId="0" borderId="11" xfId="0" applyBorder="1"/>
    <xf numFmtId="0" fontId="0" fillId="0" borderId="13" xfId="0" applyBorder="1"/>
    <xf numFmtId="0" fontId="0" fillId="0" borderId="8" xfId="0" applyBorder="1"/>
    <xf numFmtId="0" fontId="0" fillId="7" borderId="9" xfId="0" applyFill="1" applyBorder="1" applyAlignment="1">
      <alignment horizontal="right"/>
    </xf>
    <xf numFmtId="0" fontId="0" fillId="7" borderId="13" xfId="0" applyFill="1" applyBorder="1" applyAlignment="1">
      <alignment horizontal="right"/>
    </xf>
    <xf numFmtId="0" fontId="17" fillId="0" borderId="11" xfId="0" applyFont="1" applyBorder="1"/>
    <xf numFmtId="0" fontId="0" fillId="7" borderId="15" xfId="0" applyFill="1" applyBorder="1" applyProtection="1">
      <protection locked="0"/>
    </xf>
    <xf numFmtId="4" fontId="0" fillId="2" borderId="0" xfId="0" applyNumberFormat="1" applyFont="1" applyFill="1"/>
    <xf numFmtId="0" fontId="0" fillId="7" borderId="28" xfId="0" applyFont="1" applyFill="1" applyBorder="1"/>
    <xf numFmtId="0" fontId="0" fillId="0" borderId="10" xfId="0" applyBorder="1" applyAlignment="1">
      <alignment horizontal="right"/>
    </xf>
    <xf numFmtId="0" fontId="0" fillId="0" borderId="12" xfId="0" applyBorder="1" applyAlignment="1">
      <alignment horizontal="right"/>
    </xf>
    <xf numFmtId="9" fontId="0" fillId="0" borderId="11" xfId="17" applyFont="1" applyFill="1" applyBorder="1" applyAlignment="1" applyProtection="1">
      <alignment horizontal="center"/>
    </xf>
    <xf numFmtId="9" fontId="0" fillId="0" borderId="13" xfId="17" applyFont="1" applyFill="1" applyBorder="1" applyAlignment="1" applyProtection="1">
      <alignment horizontal="center"/>
    </xf>
    <xf numFmtId="0" fontId="0" fillId="0" borderId="11" xfId="0" applyFill="1" applyBorder="1"/>
    <xf numFmtId="1" fontId="0" fillId="2" borderId="0" xfId="0" applyNumberFormat="1" applyFont="1" applyFill="1"/>
    <xf numFmtId="1" fontId="0" fillId="2" borderId="0" xfId="0" applyNumberFormat="1" applyFont="1" applyFill="1" applyAlignment="1">
      <alignment horizontal="right"/>
    </xf>
    <xf numFmtId="3" fontId="14" fillId="0" borderId="29" xfId="0" applyNumberFormat="1" applyFont="1" applyFill="1" applyBorder="1" applyAlignment="1">
      <alignment vertical="top"/>
    </xf>
    <xf numFmtId="14" fontId="0" fillId="7" borderId="0" xfId="0" applyNumberFormat="1" applyFill="1"/>
    <xf numFmtId="0" fontId="0" fillId="10" borderId="0" xfId="0" applyFill="1" applyBorder="1" applyAlignment="1" applyProtection="1">
      <alignment horizontal="center"/>
      <protection locked="0"/>
    </xf>
    <xf numFmtId="164" fontId="0" fillId="10" borderId="0" xfId="0" applyNumberFormat="1" applyFill="1" applyBorder="1" applyAlignment="1" applyProtection="1">
      <alignment horizontal="center"/>
      <protection locked="0"/>
    </xf>
    <xf numFmtId="3" fontId="14" fillId="0" borderId="0" xfId="0" applyNumberFormat="1" applyFont="1" applyFill="1" applyBorder="1" applyAlignment="1">
      <alignment vertical="top"/>
    </xf>
    <xf numFmtId="3" fontId="31" fillId="0" borderId="1" xfId="0" applyNumberFormat="1" applyFont="1" applyFill="1" applyBorder="1" applyAlignment="1">
      <alignment horizontal="center"/>
    </xf>
    <xf numFmtId="0" fontId="30" fillId="14" borderId="0" xfId="0" applyNumberFormat="1" applyFont="1" applyFill="1" applyAlignment="1">
      <alignment horizontal="center"/>
    </xf>
    <xf numFmtId="3" fontId="16" fillId="0" borderId="1" xfId="0" applyNumberFormat="1" applyFont="1" applyFill="1" applyBorder="1" applyAlignment="1" applyProtection="1">
      <alignment horizontal="center" wrapText="1"/>
    </xf>
    <xf numFmtId="0" fontId="2" fillId="0" borderId="0" xfId="16" applyFont="1"/>
    <xf numFmtId="0" fontId="2" fillId="13" borderId="0" xfId="16" applyFont="1" applyFill="1"/>
    <xf numFmtId="0" fontId="34" fillId="0" borderId="0" xfId="0" applyNumberFormat="1" applyFont="1" applyFill="1"/>
    <xf numFmtId="49" fontId="34" fillId="0" borderId="0" xfId="0" applyNumberFormat="1" applyFont="1" applyFill="1"/>
    <xf numFmtId="1" fontId="0" fillId="7" borderId="0" xfId="0" applyNumberFormat="1" applyFill="1"/>
    <xf numFmtId="0" fontId="0" fillId="0" borderId="0" xfId="0" applyNumberFormat="1" applyFont="1" applyBorder="1"/>
    <xf numFmtId="0" fontId="0" fillId="14" borderId="0" xfId="0" applyNumberFormat="1" applyFill="1"/>
    <xf numFmtId="0" fontId="17" fillId="15" borderId="1" xfId="0" applyNumberFormat="1" applyFont="1" applyFill="1" applyBorder="1" applyAlignment="1">
      <alignment wrapText="1"/>
    </xf>
    <xf numFmtId="0" fontId="0" fillId="0" borderId="0" xfId="0" applyNumberFormat="1" applyFont="1" applyFill="1" applyBorder="1"/>
    <xf numFmtId="3" fontId="35" fillId="0" borderId="1" xfId="0" applyNumberFormat="1" applyFont="1" applyFill="1" applyBorder="1" applyAlignment="1">
      <alignment horizontal="center"/>
    </xf>
    <xf numFmtId="0" fontId="17" fillId="0" borderId="0" xfId="0" applyNumberFormat="1" applyFont="1"/>
    <xf numFmtId="16" fontId="0" fillId="11" borderId="31" xfId="0" applyNumberFormat="1" applyFill="1" applyBorder="1"/>
    <xf numFmtId="0" fontId="0" fillId="11" borderId="30" xfId="0" applyNumberFormat="1" applyFill="1" applyBorder="1"/>
    <xf numFmtId="0" fontId="0" fillId="11" borderId="32" xfId="0" applyNumberFormat="1" applyFill="1" applyBorder="1"/>
    <xf numFmtId="0" fontId="0" fillId="11" borderId="30" xfId="0" applyNumberFormat="1" applyFont="1" applyFill="1" applyBorder="1"/>
    <xf numFmtId="0" fontId="17" fillId="11" borderId="31" xfId="0" applyNumberFormat="1" applyFont="1" applyFill="1" applyBorder="1" applyAlignment="1">
      <alignment horizontal="center"/>
    </xf>
    <xf numFmtId="0" fontId="0" fillId="11" borderId="32" xfId="0" applyNumberFormat="1" applyFont="1" applyFill="1" applyBorder="1"/>
    <xf numFmtId="0" fontId="0" fillId="11" borderId="31" xfId="0" applyNumberFormat="1" applyFont="1" applyFill="1" applyBorder="1"/>
    <xf numFmtId="0" fontId="0" fillId="11" borderId="31" xfId="0" applyNumberFormat="1" applyFont="1" applyFill="1" applyBorder="1" applyAlignment="1">
      <alignment horizontal="center"/>
    </xf>
    <xf numFmtId="0" fontId="36" fillId="8" borderId="0" xfId="0" applyFont="1" applyFill="1" applyBorder="1"/>
    <xf numFmtId="0" fontId="0" fillId="7" borderId="19" xfId="0" applyFill="1" applyBorder="1" applyAlignment="1">
      <alignment horizontal="center"/>
    </xf>
    <xf numFmtId="0" fontId="3" fillId="0" borderId="0" xfId="16" quotePrefix="1"/>
    <xf numFmtId="0" fontId="2" fillId="0" borderId="0" xfId="16" quotePrefix="1" applyFont="1"/>
    <xf numFmtId="0" fontId="1" fillId="0" borderId="0" xfId="16" quotePrefix="1" applyFont="1"/>
    <xf numFmtId="0" fontId="0" fillId="0" borderId="0" xfId="0" applyFill="1" applyBorder="1"/>
  </cellXfs>
  <cellStyles count="18">
    <cellStyle name="Procent" xfId="17" builtinId="5"/>
    <cellStyle name="Standaard" xfId="0" builtinId="0"/>
    <cellStyle name="Standaard 10" xfId="9" xr:uid="{00000000-0005-0000-0000-000002000000}"/>
    <cellStyle name="Standaard 11" xfId="10" xr:uid="{00000000-0005-0000-0000-000003000000}"/>
    <cellStyle name="Standaard 12" xfId="11" xr:uid="{00000000-0005-0000-0000-000004000000}"/>
    <cellStyle name="Standaard 13" xfId="12" xr:uid="{00000000-0005-0000-0000-000005000000}"/>
    <cellStyle name="Standaard 14" xfId="13" xr:uid="{00000000-0005-0000-0000-000006000000}"/>
    <cellStyle name="Standaard 15" xfId="14" xr:uid="{00000000-0005-0000-0000-000007000000}"/>
    <cellStyle name="Standaard 16" xfId="15" xr:uid="{00000000-0005-0000-0000-000008000000}"/>
    <cellStyle name="Standaard 17" xfId="16" xr:uid="{00000000-0005-0000-0000-000009000000}"/>
    <cellStyle name="Standaard 2" xfId="1" xr:uid="{00000000-0005-0000-0000-00000A000000}"/>
    <cellStyle name="Standaard 3" xfId="2" xr:uid="{00000000-0005-0000-0000-00000B000000}"/>
    <cellStyle name="Standaard 4" xfId="3" xr:uid="{00000000-0005-0000-0000-00000C000000}"/>
    <cellStyle name="Standaard 5" xfId="4" xr:uid="{00000000-0005-0000-0000-00000D000000}"/>
    <cellStyle name="Standaard 6" xfId="5" xr:uid="{00000000-0005-0000-0000-00000E000000}"/>
    <cellStyle name="Standaard 7" xfId="6" xr:uid="{00000000-0005-0000-0000-00000F000000}"/>
    <cellStyle name="Standaard 8" xfId="7" xr:uid="{00000000-0005-0000-0000-000010000000}"/>
    <cellStyle name="Standaard 9" xfId="8" xr:uid="{00000000-0005-0000-0000-000011000000}"/>
  </cellStyles>
  <dxfs count="31">
    <dxf>
      <fill>
        <patternFill>
          <bgColor indexed="1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indexed="1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</dxfs>
  <tableStyles count="0" defaultTableStyle="TableStyleMedium9" defaultPivotStyle="PivotStyleLight16"/>
  <colors>
    <mruColors>
      <color rgb="FFFFFFCC"/>
      <color rgb="FFCCFFFF"/>
      <color rgb="FFEAEAEA"/>
      <color rgb="FF000000"/>
      <color rgb="FFCCECFF"/>
      <color rgb="FFABDB77"/>
      <color rgb="FF0000FF"/>
      <color rgb="FFFF7C80"/>
      <color rgb="FFC4E59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checked="Checked" firstButton="1" fmlaLink="GemeenteCode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fmlaLink="BoekjaarCode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Drop" dropStyle="combo" dx="16" fmlaLink="Coderingen!$C$11" fmlaRange="LijstConsulenten" noThreeD="1" sel="9" val="5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76200</xdr:rowOff>
        </xdr:from>
        <xdr:to>
          <xdr:col>4</xdr:col>
          <xdr:colOff>0</xdr:colOff>
          <xdr:row>14</xdr:row>
          <xdr:rowOff>9525</xdr:rowOff>
        </xdr:to>
        <xdr:sp macro="" textlink="">
          <xdr:nvSpPr>
            <xdr:cNvPr id="4097" name="Group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Gemeente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19050</xdr:rowOff>
        </xdr:from>
        <xdr:to>
          <xdr:col>2</xdr:col>
          <xdr:colOff>1133475</xdr:colOff>
          <xdr:row>11</xdr:row>
          <xdr:rowOff>66675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Wassenaar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11</xdr:row>
          <xdr:rowOff>76200</xdr:rowOff>
        </xdr:from>
        <xdr:to>
          <xdr:col>2</xdr:col>
          <xdr:colOff>1133475</xdr:colOff>
          <xdr:row>12</xdr:row>
          <xdr:rowOff>123825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Voorschoten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76200</xdr:rowOff>
        </xdr:from>
        <xdr:to>
          <xdr:col>4</xdr:col>
          <xdr:colOff>0</xdr:colOff>
          <xdr:row>20</xdr:row>
          <xdr:rowOff>9525</xdr:rowOff>
        </xdr:to>
        <xdr:sp macro="" textlink="">
          <xdr:nvSpPr>
            <xdr:cNvPr id="4113" name="Group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Boekjaar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16</xdr:row>
          <xdr:rowOff>142875</xdr:rowOff>
        </xdr:from>
        <xdr:to>
          <xdr:col>2</xdr:col>
          <xdr:colOff>504825</xdr:colOff>
          <xdr:row>18</xdr:row>
          <xdr:rowOff>19050</xdr:rowOff>
        </xdr:to>
        <xdr:sp macro="" textlink="">
          <xdr:nvSpPr>
            <xdr:cNvPr id="4118" name="Option 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17</xdr:row>
          <xdr:rowOff>152400</xdr:rowOff>
        </xdr:from>
        <xdr:to>
          <xdr:col>2</xdr:col>
          <xdr:colOff>504825</xdr:colOff>
          <xdr:row>19</xdr:row>
          <xdr:rowOff>28575</xdr:rowOff>
        </xdr:to>
        <xdr:sp macro="" textlink="">
          <xdr:nvSpPr>
            <xdr:cNvPr id="4119" name="Option 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1104900</xdr:colOff>
          <xdr:row>39</xdr:row>
          <xdr:rowOff>38100</xdr:rowOff>
        </xdr:from>
        <xdr:to>
          <xdr:col>4</xdr:col>
          <xdr:colOff>19050</xdr:colOff>
          <xdr:row>41</xdr:row>
          <xdr:rowOff>47625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Lucida Sans Unicode"/>
                  <a:cs typeface="Lucida Sans Unicode"/>
                </a:rPr>
                <a:t>Verder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76200</xdr:rowOff>
        </xdr:from>
        <xdr:to>
          <xdr:col>4</xdr:col>
          <xdr:colOff>0</xdr:colOff>
          <xdr:row>8</xdr:row>
          <xdr:rowOff>9525</xdr:rowOff>
        </xdr:to>
        <xdr:sp macro="" textlink="">
          <xdr:nvSpPr>
            <xdr:cNvPr id="4138" name="Group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Consulent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5</xdr:row>
          <xdr:rowOff>47625</xdr:rowOff>
        </xdr:from>
        <xdr:to>
          <xdr:col>3</xdr:col>
          <xdr:colOff>152400</xdr:colOff>
          <xdr:row>6</xdr:row>
          <xdr:rowOff>76200</xdr:rowOff>
        </xdr:to>
        <xdr:sp macro="" textlink="">
          <xdr:nvSpPr>
            <xdr:cNvPr id="4139" name="Drop Dow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66675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4140" name="Group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Omschrijving (20A)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66675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4141" name="Group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Documentdatum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66675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4142" name="Group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Boekdatum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12</xdr:row>
          <xdr:rowOff>123825</xdr:rowOff>
        </xdr:from>
        <xdr:to>
          <xdr:col>2</xdr:col>
          <xdr:colOff>962025</xdr:colOff>
          <xdr:row>14</xdr:row>
          <xdr:rowOff>0</xdr:rowOff>
        </xdr:to>
        <xdr:sp macro="" textlink="">
          <xdr:nvSpPr>
            <xdr:cNvPr id="4144" name="Option 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Duivenvoorde (3)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4">
    <tabColor rgb="FFFF0000"/>
  </sheetPr>
  <dimension ref="B1:E42"/>
  <sheetViews>
    <sheetView showGridLines="0" tabSelected="1" zoomScaleNormal="100" workbookViewId="0">
      <selection activeCell="C24" sqref="C24"/>
    </sheetView>
  </sheetViews>
  <sheetFormatPr defaultRowHeight="13.5" x14ac:dyDescent="0.25"/>
  <cols>
    <col min="1" max="1" width="1.625" customWidth="1"/>
    <col min="2" max="2" width="5.625" customWidth="1"/>
    <col min="3" max="3" width="18" customWidth="1"/>
    <col min="4" max="4" width="9.5" customWidth="1"/>
    <col min="5" max="5" width="24.375" customWidth="1"/>
  </cols>
  <sheetData>
    <row r="1" spans="2:5" ht="9.9499999999999993" customHeight="1" x14ac:dyDescent="0.25"/>
    <row r="2" spans="2:5" ht="9.9499999999999993" customHeight="1" thickBot="1" x14ac:dyDescent="0.3"/>
    <row r="3" spans="2:5" x14ac:dyDescent="0.25">
      <c r="B3" s="74"/>
      <c r="C3" s="75"/>
      <c r="D3" s="75"/>
      <c r="E3" s="76"/>
    </row>
    <row r="4" spans="2:5" x14ac:dyDescent="0.25">
      <c r="B4" s="79"/>
      <c r="C4" s="55"/>
      <c r="D4" s="55"/>
      <c r="E4" s="78"/>
    </row>
    <row r="5" spans="2:5" x14ac:dyDescent="0.25">
      <c r="B5" s="79"/>
      <c r="C5" s="71"/>
      <c r="D5" s="71"/>
      <c r="E5" s="78"/>
    </row>
    <row r="6" spans="2:5" x14ac:dyDescent="0.25">
      <c r="B6" s="79"/>
      <c r="C6" s="71"/>
      <c r="D6" s="71"/>
      <c r="E6" s="78"/>
    </row>
    <row r="7" spans="2:5" x14ac:dyDescent="0.25">
      <c r="B7" s="79"/>
      <c r="C7" s="71"/>
      <c r="D7" s="71"/>
      <c r="E7" s="78"/>
    </row>
    <row r="8" spans="2:5" x14ac:dyDescent="0.25">
      <c r="B8" s="79"/>
      <c r="C8" s="71"/>
      <c r="D8" s="71"/>
      <c r="E8" s="78"/>
    </row>
    <row r="9" spans="2:5" x14ac:dyDescent="0.25">
      <c r="B9" s="79"/>
      <c r="C9" s="55"/>
      <c r="D9" s="55"/>
      <c r="E9" s="78"/>
    </row>
    <row r="10" spans="2:5" x14ac:dyDescent="0.25">
      <c r="B10" s="77"/>
      <c r="C10" s="55"/>
      <c r="D10" s="55"/>
      <c r="E10" s="78"/>
    </row>
    <row r="11" spans="2:5" x14ac:dyDescent="0.25">
      <c r="B11" s="79"/>
      <c r="C11" s="71"/>
      <c r="D11" s="71"/>
      <c r="E11" s="78"/>
    </row>
    <row r="12" spans="2:5" x14ac:dyDescent="0.25">
      <c r="B12" s="79"/>
      <c r="C12" s="71"/>
      <c r="D12" s="71"/>
      <c r="E12" s="78"/>
    </row>
    <row r="13" spans="2:5" x14ac:dyDescent="0.25">
      <c r="B13" s="79"/>
      <c r="C13" s="71"/>
      <c r="D13" s="71"/>
      <c r="E13" s="78"/>
    </row>
    <row r="14" spans="2:5" x14ac:dyDescent="0.25">
      <c r="B14" s="79"/>
      <c r="C14" s="71"/>
      <c r="D14" s="71"/>
      <c r="E14" s="78"/>
    </row>
    <row r="15" spans="2:5" x14ac:dyDescent="0.25">
      <c r="B15" s="79"/>
      <c r="C15" s="55"/>
      <c r="D15" s="55"/>
      <c r="E15" s="78"/>
    </row>
    <row r="16" spans="2:5" x14ac:dyDescent="0.25">
      <c r="B16" s="79"/>
      <c r="C16" s="55"/>
      <c r="D16" s="55"/>
      <c r="E16" s="78"/>
    </row>
    <row r="17" spans="2:5" x14ac:dyDescent="0.25">
      <c r="B17" s="79"/>
      <c r="C17" s="71"/>
      <c r="D17" s="71"/>
      <c r="E17" s="78"/>
    </row>
    <row r="18" spans="2:5" x14ac:dyDescent="0.25">
      <c r="B18" s="79"/>
      <c r="C18" s="72">
        <f ca="1">BoekjaarMax</f>
        <v>2021</v>
      </c>
      <c r="D18" s="72"/>
      <c r="E18" s="78"/>
    </row>
    <row r="19" spans="2:5" x14ac:dyDescent="0.25">
      <c r="B19" s="79"/>
      <c r="C19" s="72">
        <f ca="1">BoekjaarMin</f>
        <v>2020</v>
      </c>
      <c r="D19" s="72"/>
      <c r="E19" s="78"/>
    </row>
    <row r="20" spans="2:5" x14ac:dyDescent="0.25">
      <c r="B20" s="79"/>
      <c r="C20" s="72"/>
      <c r="D20" s="72"/>
      <c r="E20" s="78"/>
    </row>
    <row r="21" spans="2:5" x14ac:dyDescent="0.25">
      <c r="B21" s="79"/>
      <c r="C21" s="55"/>
      <c r="D21" s="55"/>
      <c r="E21" s="78"/>
    </row>
    <row r="22" spans="2:5" x14ac:dyDescent="0.25">
      <c r="B22" s="79"/>
      <c r="C22" s="55"/>
      <c r="D22" s="55"/>
      <c r="E22" s="78"/>
    </row>
    <row r="23" spans="2:5" x14ac:dyDescent="0.25">
      <c r="B23" s="79"/>
      <c r="C23" s="71"/>
      <c r="D23" s="71"/>
      <c r="E23" s="78"/>
    </row>
    <row r="24" spans="2:5" x14ac:dyDescent="0.25">
      <c r="B24" s="79"/>
      <c r="C24" s="112" t="s">
        <v>287</v>
      </c>
      <c r="D24" s="73">
        <f>LEN(OmschrijvingKort)</f>
        <v>4</v>
      </c>
      <c r="E24" s="78"/>
    </row>
    <row r="25" spans="2:5" x14ac:dyDescent="0.25">
      <c r="B25" s="79"/>
      <c r="C25" s="71"/>
      <c r="D25" s="71"/>
      <c r="E25" s="78"/>
    </row>
    <row r="26" spans="2:5" x14ac:dyDescent="0.25">
      <c r="B26" s="79"/>
      <c r="C26" s="55"/>
      <c r="D26" s="55"/>
      <c r="E26" s="78"/>
    </row>
    <row r="27" spans="2:5" x14ac:dyDescent="0.25">
      <c r="B27" s="79"/>
      <c r="C27" s="55"/>
      <c r="D27" s="55"/>
      <c r="E27" s="78"/>
    </row>
    <row r="28" spans="2:5" x14ac:dyDescent="0.25">
      <c r="B28" s="79"/>
      <c r="C28" s="71"/>
      <c r="D28" s="71"/>
      <c r="E28" s="78"/>
    </row>
    <row r="29" spans="2:5" x14ac:dyDescent="0.25">
      <c r="B29" s="79"/>
      <c r="C29" s="113">
        <f ca="1">TODAY()</f>
        <v>44236</v>
      </c>
      <c r="D29" s="73"/>
      <c r="E29" s="78" t="s">
        <v>97</v>
      </c>
    </row>
    <row r="30" spans="2:5" x14ac:dyDescent="0.25">
      <c r="B30" s="79"/>
      <c r="C30" s="137" t="s">
        <v>153</v>
      </c>
      <c r="D30" s="71"/>
      <c r="E30" s="78"/>
    </row>
    <row r="31" spans="2:5" x14ac:dyDescent="0.25">
      <c r="B31" s="79"/>
      <c r="C31" s="55"/>
      <c r="D31" s="55"/>
      <c r="E31" s="78"/>
    </row>
    <row r="32" spans="2:5" x14ac:dyDescent="0.25">
      <c r="B32" s="79"/>
      <c r="C32" s="55"/>
      <c r="D32" s="55"/>
      <c r="E32" s="78"/>
    </row>
    <row r="33" spans="2:5" x14ac:dyDescent="0.25">
      <c r="B33" s="79"/>
      <c r="C33" s="71"/>
      <c r="D33" s="71"/>
      <c r="E33" s="78"/>
    </row>
    <row r="34" spans="2:5" x14ac:dyDescent="0.25">
      <c r="B34" s="79"/>
      <c r="C34" s="113">
        <f ca="1">TODAY()</f>
        <v>44236</v>
      </c>
      <c r="D34" s="73"/>
      <c r="E34" s="78" t="s">
        <v>97</v>
      </c>
    </row>
    <row r="35" spans="2:5" x14ac:dyDescent="0.25">
      <c r="B35" s="79"/>
      <c r="C35" s="71"/>
      <c r="D35" s="71"/>
      <c r="E35" s="78"/>
    </row>
    <row r="36" spans="2:5" x14ac:dyDescent="0.25">
      <c r="B36" s="79"/>
      <c r="C36" s="55"/>
      <c r="D36" s="55"/>
      <c r="E36" s="78"/>
    </row>
    <row r="37" spans="2:5" x14ac:dyDescent="0.25">
      <c r="B37" s="79"/>
      <c r="C37" s="55" t="s">
        <v>45</v>
      </c>
      <c r="D37" s="55"/>
      <c r="E37" s="78"/>
    </row>
    <row r="38" spans="2:5" x14ac:dyDescent="0.25">
      <c r="B38" s="79"/>
      <c r="C38" s="55" t="str">
        <f ca="1">Bestandsnaam</f>
        <v>Memo WAS-DCON 210209-1604 test</v>
      </c>
      <c r="D38" s="55"/>
      <c r="E38" s="78"/>
    </row>
    <row r="39" spans="2:5" x14ac:dyDescent="0.25">
      <c r="B39" s="79"/>
      <c r="C39" s="55"/>
      <c r="D39" s="55"/>
      <c r="E39" s="78"/>
    </row>
    <row r="40" spans="2:5" x14ac:dyDescent="0.25">
      <c r="B40" s="79"/>
      <c r="C40" s="55"/>
      <c r="D40" s="55"/>
      <c r="E40" s="78"/>
    </row>
    <row r="41" spans="2:5" x14ac:dyDescent="0.25">
      <c r="B41" s="79"/>
      <c r="C41" s="55"/>
      <c r="D41" s="55"/>
      <c r="E41" s="78"/>
    </row>
    <row r="42" spans="2:5" ht="14.25" thickBot="1" x14ac:dyDescent="0.3">
      <c r="B42" s="80"/>
      <c r="C42" s="81"/>
      <c r="D42" s="81"/>
      <c r="E42" s="82"/>
    </row>
  </sheetData>
  <sheetProtection selectLockedCells="1"/>
  <conditionalFormatting sqref="C24">
    <cfRule type="expression" dxfId="30" priority="109">
      <formula>#REF!&gt;40</formula>
    </cfRule>
  </conditionalFormatting>
  <conditionalFormatting sqref="C34">
    <cfRule type="expression" dxfId="29" priority="2">
      <formula>#REF!&gt;40</formula>
    </cfRule>
  </conditionalFormatting>
  <conditionalFormatting sqref="C29">
    <cfRule type="expression" dxfId="28" priority="1">
      <formula>#REF!&gt;40</formula>
    </cfRule>
  </conditionalFormatting>
  <dataValidations count="2">
    <dataValidation type="textLength" operator="lessThanOrEqual" allowBlank="1" showInputMessage="1" showErrorMessage="1" sqref="C24" xr:uid="{00000000-0002-0000-0000-000000000000}">
      <formula1>20</formula1>
    </dataValidation>
    <dataValidation type="date" allowBlank="1" showInputMessage="1" showErrorMessage="1" sqref="C34 C29" xr:uid="{00000000-0002-0000-0000-000001000000}">
      <formula1>DocDTB</formula1>
      <formula2>DocDTE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Group Box 1">
              <controlPr defaultSize="0" autoFill="0" autoPict="0">
                <anchor moveWithCells="1">
                  <from>
                    <xdr:col>2</xdr:col>
                    <xdr:colOff>0</xdr:colOff>
                    <xdr:row>9</xdr:row>
                    <xdr:rowOff>76200</xdr:rowOff>
                  </from>
                  <to>
                    <xdr:col>4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Option Button 2">
              <controlPr defaultSize="0" autoFill="0" autoLine="0" autoPict="0" macro="[0]!KlikGemeente">
                <anchor moveWithCells="1">
                  <from>
                    <xdr:col>2</xdr:col>
                    <xdr:colOff>57150</xdr:colOff>
                    <xdr:row>10</xdr:row>
                    <xdr:rowOff>19050</xdr:rowOff>
                  </from>
                  <to>
                    <xdr:col>2</xdr:col>
                    <xdr:colOff>1133475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Option Button 3">
              <controlPr defaultSize="0" autoFill="0" autoLine="0" autoPict="0" macro="[0]!KlikGemeente">
                <anchor moveWithCells="1">
                  <from>
                    <xdr:col>2</xdr:col>
                    <xdr:colOff>57150</xdr:colOff>
                    <xdr:row>11</xdr:row>
                    <xdr:rowOff>76200</xdr:rowOff>
                  </from>
                  <to>
                    <xdr:col>2</xdr:col>
                    <xdr:colOff>1133475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7" name="Group Box 17">
              <controlPr defaultSize="0" autoFill="0" autoPict="0">
                <anchor moveWithCells="1">
                  <from>
                    <xdr:col>2</xdr:col>
                    <xdr:colOff>0</xdr:colOff>
                    <xdr:row>15</xdr:row>
                    <xdr:rowOff>76200</xdr:rowOff>
                  </from>
                  <to>
                    <xdr:col>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8" name="Option Button 22">
              <controlPr defaultSize="0" autoFill="0" autoLine="0" autoPict="0" macro="[0]!KlikBoekjaar">
                <anchor moveWithCells="1">
                  <from>
                    <xdr:col>2</xdr:col>
                    <xdr:colOff>85725</xdr:colOff>
                    <xdr:row>16</xdr:row>
                    <xdr:rowOff>142875</xdr:rowOff>
                  </from>
                  <to>
                    <xdr:col>2</xdr:col>
                    <xdr:colOff>504825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9" name="Option Button 23">
              <controlPr defaultSize="0" autoFill="0" autoLine="0" autoPict="0" macro="[0]!KlikBoekjaar">
                <anchor moveWithCells="1">
                  <from>
                    <xdr:col>2</xdr:col>
                    <xdr:colOff>85725</xdr:colOff>
                    <xdr:row>17</xdr:row>
                    <xdr:rowOff>152400</xdr:rowOff>
                  </from>
                  <to>
                    <xdr:col>2</xdr:col>
                    <xdr:colOff>504825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10" name="Button 39">
              <controlPr defaultSize="0" print="0" autoFill="0" autoPict="0" macro="[0]!KlikVerder">
                <anchor moveWithCells="1" sizeWithCells="1">
                  <from>
                    <xdr:col>2</xdr:col>
                    <xdr:colOff>1104900</xdr:colOff>
                    <xdr:row>39</xdr:row>
                    <xdr:rowOff>38100</xdr:rowOff>
                  </from>
                  <to>
                    <xdr:col>4</xdr:col>
                    <xdr:colOff>19050</xdr:colOff>
                    <xdr:row>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11" name="Group Box 42">
              <controlPr defaultSize="0" autoFill="0" autoPict="0">
                <anchor moveWithCells="1">
                  <from>
                    <xdr:col>2</xdr:col>
                    <xdr:colOff>0</xdr:colOff>
                    <xdr:row>3</xdr:row>
                    <xdr:rowOff>76200</xdr:rowOff>
                  </from>
                  <to>
                    <xdr:col>4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12" name="Drop Down 43">
              <controlPr defaultSize="0" autoLine="0" autoPict="0" macro="[0]!KlikConsulent">
                <anchor moveWithCells="1">
                  <from>
                    <xdr:col>2</xdr:col>
                    <xdr:colOff>161925</xdr:colOff>
                    <xdr:row>5</xdr:row>
                    <xdr:rowOff>47625</xdr:rowOff>
                  </from>
                  <to>
                    <xdr:col>3</xdr:col>
                    <xdr:colOff>152400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13" name="Group Box 44">
              <controlPr defaultSize="0" autoFill="0" autoPict="0">
                <anchor moveWithCells="1">
                  <from>
                    <xdr:col>2</xdr:col>
                    <xdr:colOff>0</xdr:colOff>
                    <xdr:row>21</xdr:row>
                    <xdr:rowOff>66675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14" name="Group Box 45">
              <controlPr defaultSize="0" autoFill="0" autoPict="0">
                <anchor moveWithCells="1">
                  <from>
                    <xdr:col>2</xdr:col>
                    <xdr:colOff>0</xdr:colOff>
                    <xdr:row>31</xdr:row>
                    <xdr:rowOff>66675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15" name="Group Box 46">
              <controlPr defaultSize="0" autoFill="0" autoPict="0">
                <anchor moveWithCells="1">
                  <from>
                    <xdr:col>2</xdr:col>
                    <xdr:colOff>0</xdr:colOff>
                    <xdr:row>26</xdr:row>
                    <xdr:rowOff>66675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16" name="Option Button 48">
              <controlPr defaultSize="0" autoFill="0" autoLine="0" autoPict="0" macro="[0]!KlikGemeente">
                <anchor moveWithCells="1">
                  <from>
                    <xdr:col>2</xdr:col>
                    <xdr:colOff>57150</xdr:colOff>
                    <xdr:row>12</xdr:row>
                    <xdr:rowOff>123825</xdr:rowOff>
                  </from>
                  <to>
                    <xdr:col>2</xdr:col>
                    <xdr:colOff>962025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>
    <tabColor rgb="FFFF0000"/>
  </sheetPr>
  <dimension ref="A1:P27"/>
  <sheetViews>
    <sheetView workbookViewId="0">
      <pane xSplit="4" ySplit="22" topLeftCell="E23" activePane="bottomRight" state="frozen"/>
      <selection pane="topRight" activeCell="E1" sqref="E1"/>
      <selection pane="bottomLeft" activeCell="A21" sqref="A21"/>
      <selection pane="bottomRight" activeCell="D29" sqref="D29"/>
    </sheetView>
  </sheetViews>
  <sheetFormatPr defaultRowHeight="13.5" x14ac:dyDescent="0.25"/>
  <cols>
    <col min="1" max="1" width="9" style="3"/>
    <col min="2" max="2" width="9.875" style="3" bestFit="1" customWidth="1"/>
    <col min="3" max="3" width="9" style="3"/>
    <col min="4" max="4" width="48.25" style="3" bestFit="1" customWidth="1"/>
    <col min="5" max="7" width="10.25" style="36" customWidth="1"/>
    <col min="8" max="8" width="5.75" style="36" customWidth="1"/>
    <col min="9" max="9" width="10.625" style="5" customWidth="1"/>
    <col min="10" max="10" width="38.875" style="3" bestFit="1" customWidth="1"/>
    <col min="11" max="11" width="7.625" style="3" bestFit="1" customWidth="1"/>
    <col min="12" max="12" width="38.875" style="3" bestFit="1" customWidth="1"/>
    <col min="13" max="16384" width="9" style="3"/>
  </cols>
  <sheetData>
    <row r="1" spans="1:15" x14ac:dyDescent="0.25">
      <c r="A1" s="83" t="s">
        <v>24</v>
      </c>
      <c r="B1" s="1" t="s">
        <v>17</v>
      </c>
      <c r="C1" s="1" t="s">
        <v>19</v>
      </c>
      <c r="D1" s="1" t="s">
        <v>20</v>
      </c>
      <c r="E1" s="35" t="s">
        <v>21</v>
      </c>
      <c r="F1" s="35" t="s">
        <v>21</v>
      </c>
      <c r="G1" s="35" t="s">
        <v>99</v>
      </c>
      <c r="H1" s="35" t="s">
        <v>79</v>
      </c>
      <c r="I1" s="2" t="s">
        <v>22</v>
      </c>
      <c r="J1" s="1" t="s">
        <v>0</v>
      </c>
      <c r="K1" s="1"/>
      <c r="L1" s="1" t="s">
        <v>20</v>
      </c>
      <c r="M1" s="1" t="s">
        <v>1</v>
      </c>
      <c r="N1" s="1" t="s">
        <v>43</v>
      </c>
      <c r="O1" s="3" t="s">
        <v>86</v>
      </c>
    </row>
    <row r="2" spans="1:15" x14ac:dyDescent="0.25">
      <c r="A2" s="83"/>
      <c r="B2" s="1"/>
      <c r="C2" s="1"/>
      <c r="D2" s="1"/>
      <c r="E2" s="35"/>
      <c r="F2" s="35"/>
      <c r="G2" s="35"/>
      <c r="H2" s="35"/>
      <c r="I2" s="2"/>
      <c r="J2" s="1"/>
      <c r="K2" s="1"/>
      <c r="L2" s="1"/>
      <c r="M2" s="1"/>
      <c r="N2" s="1"/>
    </row>
    <row r="3" spans="1:15" x14ac:dyDescent="0.25">
      <c r="A3" s="83"/>
      <c r="B3" s="1"/>
      <c r="C3" s="1"/>
      <c r="D3" s="1"/>
      <c r="E3" s="35"/>
      <c r="F3" s="35"/>
      <c r="G3" s="35"/>
      <c r="H3" s="35"/>
      <c r="I3" s="2"/>
      <c r="J3" s="128" t="s">
        <v>143</v>
      </c>
      <c r="K3" s="1"/>
      <c r="L3" s="128" t="s">
        <v>147</v>
      </c>
      <c r="M3" s="1"/>
      <c r="N3" s="1"/>
    </row>
    <row r="4" spans="1:15" ht="14.25" thickBot="1" x14ac:dyDescent="0.3">
      <c r="A4" s="83"/>
      <c r="B4" s="1"/>
      <c r="C4" s="1"/>
      <c r="D4" s="1"/>
      <c r="E4" s="1" t="s">
        <v>52</v>
      </c>
      <c r="F4" s="35"/>
      <c r="G4" s="35"/>
      <c r="H4" s="35"/>
      <c r="I4" s="2"/>
      <c r="J4" s="128"/>
      <c r="K4" s="1"/>
      <c r="L4" s="128"/>
      <c r="M4" s="1"/>
      <c r="N4" s="1"/>
    </row>
    <row r="5" spans="1:15" x14ac:dyDescent="0.25">
      <c r="A5" s="83"/>
      <c r="B5" s="1"/>
      <c r="C5" s="1"/>
      <c r="D5" s="1"/>
      <c r="E5" s="1"/>
      <c r="F5" s="1" t="s">
        <v>53</v>
      </c>
      <c r="G5" s="1"/>
      <c r="H5" s="1"/>
      <c r="I5" s="2"/>
      <c r="J5" s="130" t="s">
        <v>146</v>
      </c>
      <c r="K5" s="1"/>
      <c r="L5" s="130" t="s">
        <v>148</v>
      </c>
      <c r="M5" s="1"/>
      <c r="N5" s="1"/>
    </row>
    <row r="6" spans="1:15" x14ac:dyDescent="0.25">
      <c r="A6" s="83"/>
      <c r="B6" s="1"/>
      <c r="C6" s="1"/>
      <c r="D6" s="1"/>
      <c r="E6" s="35"/>
      <c r="F6" s="35"/>
      <c r="G6" s="35"/>
      <c r="H6" s="35"/>
      <c r="I6" s="2"/>
      <c r="J6" s="129"/>
      <c r="K6" s="1"/>
      <c r="L6" s="129"/>
      <c r="M6" s="1"/>
      <c r="N6" s="1"/>
    </row>
    <row r="7" spans="1:15" ht="14.25" thickBot="1" x14ac:dyDescent="0.3">
      <c r="A7" s="83"/>
      <c r="B7" s="6" t="s">
        <v>102</v>
      </c>
      <c r="C7" s="4" t="s">
        <v>108</v>
      </c>
      <c r="D7" s="6"/>
      <c r="E7" s="50">
        <f>SUMIF($M$21:$M$1008,1,E$21:E$1008)</f>
        <v>0</v>
      </c>
      <c r="F7" s="50">
        <f>SUMIF($M$21:$M$1008,1,F$21:F$1008)</f>
        <v>0</v>
      </c>
      <c r="G7" s="50"/>
      <c r="H7" s="50"/>
      <c r="I7" s="50"/>
      <c r="J7" s="131"/>
      <c r="L7" s="131"/>
    </row>
    <row r="8" spans="1:15" ht="14.25" thickBot="1" x14ac:dyDescent="0.3">
      <c r="A8" s="83"/>
      <c r="B8" s="6" t="s">
        <v>27</v>
      </c>
      <c r="C8" s="4" t="s">
        <v>107</v>
      </c>
      <c r="D8" s="6"/>
      <c r="E8" s="50">
        <f>SUMIF($M$21:$M$1008,5,E$21:E$1008)</f>
        <v>0</v>
      </c>
      <c r="F8" s="50">
        <f>SUMIF($M$21:$M$1008,5,F$21:F$1008)</f>
        <v>0</v>
      </c>
      <c r="G8" s="50"/>
      <c r="H8" s="50"/>
      <c r="I8" s="50"/>
    </row>
    <row r="9" spans="1:15" x14ac:dyDescent="0.25">
      <c r="A9" s="83"/>
      <c r="B9" s="6" t="s">
        <v>28</v>
      </c>
      <c r="C9" s="4" t="s">
        <v>106</v>
      </c>
      <c r="D9" s="6"/>
      <c r="E9" s="50">
        <f>SUMIF($M$21:$M$1008,6,E$21:E$1008)</f>
        <v>0</v>
      </c>
      <c r="F9" s="50">
        <f>SUMIF($M$21:$M$1008,6,F$21:F$1008)</f>
        <v>0</v>
      </c>
      <c r="G9" s="50"/>
      <c r="H9" s="50"/>
      <c r="I9" s="50"/>
      <c r="J9" s="132" t="s">
        <v>145</v>
      </c>
      <c r="L9" s="132" t="s">
        <v>149</v>
      </c>
    </row>
    <row r="10" spans="1:15" x14ac:dyDescent="0.25">
      <c r="A10" s="83"/>
      <c r="B10" s="6" t="s">
        <v>91</v>
      </c>
      <c r="C10" s="4" t="s">
        <v>104</v>
      </c>
      <c r="D10" s="6"/>
      <c r="E10" s="50">
        <f>SUMIF($M$21:$M$1008,7,E$21:E$1008)</f>
        <v>0</v>
      </c>
      <c r="F10" s="50">
        <f>SUMIF($M$21:$M$1008,7,F$21:F$1008)</f>
        <v>0</v>
      </c>
      <c r="G10" s="50"/>
      <c r="H10" s="50"/>
      <c r="I10" s="50"/>
      <c r="J10" s="133" t="str">
        <f>Coderingen!O22</f>
        <v>Div consulenten</v>
      </c>
      <c r="L10" s="136"/>
    </row>
    <row r="11" spans="1:15" ht="14.25" thickBot="1" x14ac:dyDescent="0.3">
      <c r="A11" s="83"/>
      <c r="B11" s="6" t="s">
        <v>103</v>
      </c>
      <c r="C11" s="4" t="s">
        <v>105</v>
      </c>
      <c r="D11" s="6"/>
      <c r="E11" s="50">
        <f>SUMIF($M$21:$M$1008,8,E$21:E$1008)</f>
        <v>0</v>
      </c>
      <c r="F11" s="50">
        <f>SUMIF($M$21:$M$1008,8,F$21:F$1008)</f>
        <v>0</v>
      </c>
      <c r="G11" s="50"/>
      <c r="H11" s="50"/>
      <c r="I11" s="50"/>
      <c r="J11" s="134"/>
      <c r="L11" s="134"/>
    </row>
    <row r="12" spans="1:15" ht="14.25" thickBot="1" x14ac:dyDescent="0.3">
      <c r="A12" s="83"/>
      <c r="B12" s="6"/>
      <c r="C12" s="4"/>
      <c r="D12" s="6"/>
      <c r="E12" s="110">
        <f>SUM(E7:E11)</f>
        <v>0</v>
      </c>
      <c r="F12" s="110">
        <f>SUM(F7:F11)</f>
        <v>0</v>
      </c>
      <c r="G12" s="114">
        <f>F12-E12</f>
        <v>0</v>
      </c>
      <c r="H12" s="50" t="str">
        <f>IF(E12=F12,"in evenwicht","NIET in evenwicht")</f>
        <v>in evenwicht</v>
      </c>
      <c r="I12" s="50"/>
    </row>
    <row r="13" spans="1:15" x14ac:dyDescent="0.25">
      <c r="A13" s="83"/>
      <c r="B13" s="6" t="s">
        <v>87</v>
      </c>
      <c r="C13" s="4"/>
      <c r="D13" s="6"/>
      <c r="E13" s="50">
        <f>SUMIF($O$21:$O$1008,460,E$21:E$1008)+SUMIF($O$21:$O$1008,860,E$21:E$1008)</f>
        <v>0</v>
      </c>
      <c r="F13" s="50">
        <f>SUMIF($O$21:$O$1008,460,F$21:F$1008)+SUMIF($O$21:$O$1008,860,F$21:F$1008)</f>
        <v>0</v>
      </c>
      <c r="G13" s="50"/>
      <c r="H13" s="50" t="str">
        <f>IF(E13=F13,"in evenwicht","NIET in evenwicht")</f>
        <v>in evenwicht</v>
      </c>
      <c r="I13" s="50"/>
      <c r="J13" s="132" t="s">
        <v>144</v>
      </c>
      <c r="L13" s="132" t="s">
        <v>144</v>
      </c>
    </row>
    <row r="14" spans="1:15" x14ac:dyDescent="0.25">
      <c r="A14" s="83"/>
      <c r="B14" s="6" t="s">
        <v>88</v>
      </c>
      <c r="C14" s="4"/>
      <c r="D14" s="6"/>
      <c r="E14" s="50">
        <f>SUMIF($O$21:$O$1008,461,E$21:E$1008)+SUMIF($O$21:$O$1008,861,E$21:E$1008)</f>
        <v>0</v>
      </c>
      <c r="F14" s="50">
        <f>SUMIF($O$21:$O$1008,461,F$21:F$1008)+SUMIF($O$21:$O$1008,861,F$21:F$1008)</f>
        <v>0</v>
      </c>
      <c r="G14" s="50"/>
      <c r="H14" s="50" t="str">
        <f>IF(E14=F14,"in evenwicht","NIET in evenwicht")</f>
        <v>in evenwicht</v>
      </c>
      <c r="I14" s="50"/>
      <c r="J14" s="135"/>
      <c r="L14" s="135"/>
    </row>
    <row r="15" spans="1:15" ht="14.25" thickBot="1" x14ac:dyDescent="0.3">
      <c r="A15" s="83"/>
      <c r="B15" s="6" t="s">
        <v>89</v>
      </c>
      <c r="C15" s="4"/>
      <c r="D15" s="6"/>
      <c r="E15" s="50">
        <f>SUMIF($O$21:$O$1008,462,E$21:E$1008)+SUMIF($O$21:$O$1008,862,E$21:E$1008)</f>
        <v>0</v>
      </c>
      <c r="F15" s="50">
        <f>SUMIF($O$21:$O$1008,462,F$21:F$1008)+SUMIF($O$21:$O$1008,862,F$21:F$1008)</f>
        <v>0</v>
      </c>
      <c r="G15" s="50"/>
      <c r="H15" s="50" t="str">
        <f>IF(E15=F15,"in evenwicht","NIET in evenwicht")</f>
        <v>in evenwicht</v>
      </c>
      <c r="I15" s="50"/>
      <c r="J15" s="134"/>
      <c r="L15" s="134"/>
    </row>
    <row r="16" spans="1:15" x14ac:dyDescent="0.25">
      <c r="A16" s="83"/>
      <c r="B16" s="6" t="s">
        <v>90</v>
      </c>
      <c r="C16" s="4"/>
      <c r="D16" s="6"/>
      <c r="E16" s="50">
        <f>SUMIF($O$21:$O$1008,463,E$21:E$1008)+SUMIF($O$21:$O$1008,863,E$21:E$1008)</f>
        <v>0</v>
      </c>
      <c r="F16" s="50">
        <f>SUMIF($O$21:$O$1008,463,F$21:F$1008)+SUMIF($O$21:$O$1008,863,F$21:F$1008)</f>
        <v>0</v>
      </c>
      <c r="G16" s="50"/>
      <c r="H16" s="50" t="str">
        <f>IF(E16=F16,"in evenwicht","NIET in evenwicht")</f>
        <v>in evenwicht</v>
      </c>
      <c r="I16" s="50"/>
    </row>
    <row r="17" spans="1:16" x14ac:dyDescent="0.25">
      <c r="A17" s="3" t="s">
        <v>2</v>
      </c>
      <c r="B17" s="92"/>
      <c r="C17" s="6"/>
      <c r="D17" s="6" t="s">
        <v>2</v>
      </c>
      <c r="E17" s="37"/>
      <c r="F17" s="37"/>
      <c r="G17" s="37"/>
      <c r="H17" s="37" t="s">
        <v>85</v>
      </c>
    </row>
    <row r="18" spans="1:16" x14ac:dyDescent="0.25">
      <c r="A18" s="19"/>
      <c r="B18" s="20"/>
      <c r="C18" s="21" t="s">
        <v>64</v>
      </c>
      <c r="D18" s="20"/>
      <c r="E18" s="38"/>
      <c r="F18" s="39"/>
      <c r="G18" s="39"/>
      <c r="H18" s="39"/>
      <c r="I18" s="22"/>
      <c r="J18" s="23"/>
      <c r="K18" s="123"/>
    </row>
    <row r="19" spans="1:16" x14ac:dyDescent="0.25">
      <c r="A19" s="24"/>
      <c r="B19" s="26"/>
      <c r="C19" s="25"/>
      <c r="D19" s="27"/>
      <c r="E19" s="40"/>
      <c r="F19" s="41"/>
      <c r="G19" s="41"/>
      <c r="H19" s="41"/>
      <c r="I19" s="28"/>
      <c r="J19" s="29"/>
      <c r="K19" s="123"/>
    </row>
    <row r="20" spans="1:16" s="13" customFormat="1" ht="40.5" x14ac:dyDescent="0.25">
      <c r="A20" s="48" t="s">
        <v>26</v>
      </c>
      <c r="B20" s="32" t="s">
        <v>25</v>
      </c>
      <c r="C20" s="32" t="s">
        <v>141</v>
      </c>
      <c r="D20" s="14" t="s">
        <v>142</v>
      </c>
      <c r="E20" s="42" t="str">
        <f ca="1">"MUTATIE
"&amp;Boekjaar</f>
        <v>MUTATIE
2021</v>
      </c>
      <c r="F20" s="42" t="str">
        <f ca="1">"MUTATIE
"&amp;Boekjaar</f>
        <v>MUTATIE
2021</v>
      </c>
      <c r="G20" s="117" t="s">
        <v>139</v>
      </c>
      <c r="H20" s="42" t="s">
        <v>140</v>
      </c>
      <c r="I20" s="32" t="s">
        <v>150</v>
      </c>
      <c r="J20" s="33" t="s">
        <v>151</v>
      </c>
      <c r="K20" s="125" t="s">
        <v>137</v>
      </c>
      <c r="L20" s="34" t="s">
        <v>98</v>
      </c>
    </row>
    <row r="21" spans="1:16" x14ac:dyDescent="0.25">
      <c r="A21" s="15"/>
      <c r="B21" s="17" t="s">
        <v>138</v>
      </c>
      <c r="C21" s="18"/>
      <c r="D21" s="18" t="s">
        <v>2</v>
      </c>
      <c r="E21" s="127" t="s">
        <v>50</v>
      </c>
      <c r="F21" s="115" t="s">
        <v>51</v>
      </c>
      <c r="G21" s="115" t="s">
        <v>100</v>
      </c>
      <c r="H21" s="43"/>
      <c r="I21" s="16"/>
      <c r="J21" s="15"/>
      <c r="K21" s="123"/>
    </row>
    <row r="22" spans="1:16" x14ac:dyDescent="0.25">
      <c r="A22" s="11"/>
      <c r="B22" s="9"/>
      <c r="C22" s="8"/>
      <c r="D22" s="7"/>
      <c r="E22" s="44"/>
      <c r="F22" s="44"/>
      <c r="G22" s="44"/>
      <c r="H22" s="44"/>
      <c r="I22" s="12"/>
      <c r="J22" s="11"/>
      <c r="K22" s="11"/>
      <c r="L22" s="11"/>
      <c r="M22" s="11"/>
    </row>
    <row r="23" spans="1:16" x14ac:dyDescent="0.25">
      <c r="A23" s="11"/>
      <c r="B23" s="11"/>
      <c r="C23" s="11"/>
      <c r="D23" s="10" t="s">
        <v>2</v>
      </c>
      <c r="E23" s="45"/>
      <c r="F23" s="45"/>
      <c r="G23" s="45"/>
      <c r="H23" s="45"/>
      <c r="I23" s="12"/>
      <c r="J23" s="11"/>
      <c r="K23" s="11"/>
      <c r="L23" s="11"/>
      <c r="M23" s="11"/>
    </row>
    <row r="24" spans="1:16" x14ac:dyDescent="0.25">
      <c r="A24" s="84" t="s">
        <v>2</v>
      </c>
      <c r="B24" s="49">
        <v>0</v>
      </c>
      <c r="C24" s="30">
        <v>0</v>
      </c>
      <c r="D24" s="47" t="s">
        <v>2</v>
      </c>
      <c r="E24" s="101">
        <v>0</v>
      </c>
      <c r="F24" s="101">
        <v>0</v>
      </c>
      <c r="G24" s="116" t="str">
        <f>IF(N24&lt;&gt;1,"",IF(OR(AND(LEFT(C24)="4",E24-F24&gt;0),AND(LEFT(C24)="8",E24-F24&lt;0)),"",IF(OR(AND(LEFT(C24)="4",E24-F24&lt;0),AND(LEFT(C24)="8",E24-F24&gt;0)),"","")))</f>
        <v/>
      </c>
      <c r="H24" s="109"/>
      <c r="I24" s="31"/>
      <c r="J24" s="49" t="str">
        <f>OmschrijvingKort</f>
        <v>test</v>
      </c>
      <c r="K24" s="124">
        <f>LEN(TRIM(I24&amp;" "&amp;J24))</f>
        <v>4</v>
      </c>
      <c r="L24" s="30"/>
      <c r="M24" s="47">
        <f>IFERROR(VALUE(LEFT(B24)),0)</f>
        <v>0</v>
      </c>
      <c r="N24" s="47">
        <f>IFERROR(IF(OR(E24&lt;&gt;0,F24&lt;&gt;0),1,0)*A24,0)</f>
        <v>0</v>
      </c>
      <c r="O24" s="47">
        <f>IFERROR(VALUE(LEFT(C24,3)),0)</f>
        <v>0</v>
      </c>
      <c r="P24" s="47">
        <f>--(SUMPRODUCT(("'"&amp;'Lias stamgegevens (gekoppeld)'!$B$2:$B$10000="'" &amp; $B24)*(('Lias stamgegevens (gekoppeld)'!$S$2:$S$10000=Gemeente)+('Lias stamgegevens (gekoppeld)'!$S$2:$S$10000="")))&gt;0)</f>
        <v>0</v>
      </c>
    </row>
    <row r="25" spans="1:16" x14ac:dyDescent="0.25">
      <c r="A25" s="84" t="s">
        <v>2</v>
      </c>
      <c r="B25" s="49">
        <v>0</v>
      </c>
      <c r="C25" s="30">
        <v>0</v>
      </c>
      <c r="D25" s="47" t="s">
        <v>2</v>
      </c>
      <c r="E25" s="101">
        <v>0</v>
      </c>
      <c r="F25" s="101">
        <v>0</v>
      </c>
      <c r="G25" s="116" t="str">
        <f>IF(N25&lt;&gt;1,"",IF(OR(AND(LEFT(C25)="4",E25-F25&gt;0),AND(LEFT(C25)="8",E25-F25&lt;0)),"",IF(OR(AND(LEFT(C25)="4",E25-F25&lt;0),AND(LEFT(C25)="8",E25-F25&gt;0)),"","")))</f>
        <v/>
      </c>
      <c r="H25" s="109"/>
      <c r="I25" s="31"/>
      <c r="J25" s="49" t="str">
        <f>OmschrijvingKort</f>
        <v>test</v>
      </c>
      <c r="K25" s="124">
        <f>LEN(TRIM(I25&amp;" "&amp;J25))</f>
        <v>4</v>
      </c>
      <c r="L25" s="30"/>
      <c r="M25" s="47">
        <f>IFERROR(VALUE(LEFT(B25)),0)</f>
        <v>0</v>
      </c>
      <c r="N25" s="47">
        <f>IFERROR(IF(OR(E25&lt;&gt;0,F25&lt;&gt;0),1,0)*A25,0)</f>
        <v>0</v>
      </c>
      <c r="O25" s="47">
        <f>IFERROR(VALUE(LEFT(C25,3)),0)</f>
        <v>0</v>
      </c>
      <c r="P25" s="47">
        <f>--(SUMPRODUCT(("'"&amp;'Lias stamgegevens (gekoppeld)'!$B$2:$B$10000="'" &amp; $B25)*(('Lias stamgegevens (gekoppeld)'!$S$2:$S$10000=Gemeente)+('Lias stamgegevens (gekoppeld)'!$S$2:$S$10000="")))&gt;0)</f>
        <v>0</v>
      </c>
    </row>
    <row r="26" spans="1:16" x14ac:dyDescent="0.25">
      <c r="A26" s="126" t="s">
        <v>2</v>
      </c>
      <c r="D26" s="3" t="s">
        <v>2</v>
      </c>
    </row>
    <row r="27" spans="1:16" x14ac:dyDescent="0.25">
      <c r="A27" s="3" t="s">
        <v>2</v>
      </c>
      <c r="B27" s="1"/>
      <c r="C27" s="1"/>
      <c r="D27" s="3" t="s">
        <v>2</v>
      </c>
    </row>
  </sheetData>
  <sheetProtection selectLockedCells="1" selectUnlockedCells="1"/>
  <phoneticPr fontId="0" type="noConversion"/>
  <conditionalFormatting sqref="K24:K25">
    <cfRule type="expression" dxfId="27" priority="127" stopIfTrue="1">
      <formula>LEN(K24)&gt;40</formula>
    </cfRule>
  </conditionalFormatting>
  <conditionalFormatting sqref="B24">
    <cfRule type="expression" dxfId="26" priority="23">
      <formula>(($P24&lt;&gt;1)*($B24&lt;&gt;0))&gt;0</formula>
    </cfRule>
  </conditionalFormatting>
  <conditionalFormatting sqref="B25">
    <cfRule type="expression" dxfId="25" priority="22">
      <formula>(($P25&lt;&gt;1)*($B25&lt;&gt;0))&gt;0</formula>
    </cfRule>
  </conditionalFormatting>
  <conditionalFormatting sqref="H12">
    <cfRule type="expression" dxfId="24" priority="21">
      <formula>$E12&lt;&gt;$F12</formula>
    </cfRule>
  </conditionalFormatting>
  <conditionalFormatting sqref="H13">
    <cfRule type="expression" dxfId="23" priority="16">
      <formula>$E13&lt;&gt;$F13</formula>
    </cfRule>
  </conditionalFormatting>
  <conditionalFormatting sqref="H14">
    <cfRule type="expression" dxfId="22" priority="15">
      <formula>$E14&lt;&gt;$F14</formula>
    </cfRule>
  </conditionalFormatting>
  <conditionalFormatting sqref="H15">
    <cfRule type="expression" dxfId="21" priority="14">
      <formula>$E15&lt;&gt;$F15</formula>
    </cfRule>
  </conditionalFormatting>
  <conditionalFormatting sqref="H16">
    <cfRule type="expression" dxfId="20" priority="13">
      <formula>$E16&lt;&gt;$F16</formula>
    </cfRule>
  </conditionalFormatting>
  <conditionalFormatting sqref="B13">
    <cfRule type="expression" dxfId="19" priority="11">
      <formula>$E13&lt;&gt;$F13</formula>
    </cfRule>
  </conditionalFormatting>
  <conditionalFormatting sqref="B14">
    <cfRule type="expression" dxfId="18" priority="10">
      <formula>$E14&lt;&gt;$F14</formula>
    </cfRule>
  </conditionalFormatting>
  <conditionalFormatting sqref="B15">
    <cfRule type="expression" dxfId="17" priority="9">
      <formula>$E15&lt;&gt;$F15</formula>
    </cfRule>
  </conditionalFormatting>
  <conditionalFormatting sqref="B16">
    <cfRule type="expression" dxfId="16" priority="8">
      <formula>$E16&lt;&gt;$F16</formula>
    </cfRule>
  </conditionalFormatting>
  <conditionalFormatting sqref="G24">
    <cfRule type="expression" dxfId="15" priority="6">
      <formula>$E24-$F24&lt;0</formula>
    </cfRule>
    <cfRule type="expression" dxfId="14" priority="7">
      <formula>$E24-$F24&gt;0</formula>
    </cfRule>
  </conditionalFormatting>
  <conditionalFormatting sqref="G25">
    <cfRule type="expression" dxfId="13" priority="4">
      <formula>$E25-$F25&lt;0</formula>
    </cfRule>
    <cfRule type="expression" dxfId="12" priority="5">
      <formula>$E25-$F25&gt;0</formula>
    </cfRule>
  </conditionalFormatting>
  <conditionalFormatting sqref="J25">
    <cfRule type="expression" dxfId="11" priority="2" stopIfTrue="1">
      <formula>K25&gt;40</formula>
    </cfRule>
  </conditionalFormatting>
  <conditionalFormatting sqref="J24">
    <cfRule type="expression" dxfId="10" priority="1" stopIfTrue="1">
      <formula>K24&gt;40</formula>
    </cfRule>
  </conditionalFormatting>
  <dataValidations count="2">
    <dataValidation type="decimal" operator="greaterThanOrEqual" allowBlank="1" showInputMessage="1" showErrorMessage="1" errorTitle="INVOERFOUT" error="Alleen positieve getallen." sqref="E24:F25" xr:uid="{00000000-0002-0000-0100-000000000000}">
      <formula1>0</formula1>
    </dataValidation>
    <dataValidation type="list" operator="greaterThanOrEqual" allowBlank="1" showInputMessage="1" showErrorMessage="1" errorTitle="INVOERFOUT" error="Alleen positieve getallen." sqref="H24:H25" xr:uid="{00000000-0002-0000-0100-000001000000}">
      <formula1>LijstBelastingcode</formula1>
    </dataValidation>
  </dataValidations>
  <pageMargins left="0.74791666666666667" right="0.74791666666666667" top="0.98402777777777772" bottom="0.98402777777777772" header="0.51180555555555551" footer="0.51180555555555551"/>
  <pageSetup paperSize="9" scale="60" firstPageNumber="0" orientation="landscape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2">
    <tabColor rgb="FFFF0000"/>
  </sheetPr>
  <dimension ref="A1:AJ2649"/>
  <sheetViews>
    <sheetView workbookViewId="0">
      <pane ySplit="1" topLeftCell="A479" activePane="bottomLeft" state="frozen"/>
      <selection pane="bottomLeft" activeCell="B497" sqref="B497"/>
    </sheetView>
  </sheetViews>
  <sheetFormatPr defaultRowHeight="15" x14ac:dyDescent="0.25"/>
  <cols>
    <col min="1" max="1" width="5" style="51" bestFit="1" customWidth="1"/>
    <col min="2" max="2" width="10.625" style="51" bestFit="1" customWidth="1"/>
    <col min="3" max="3" width="37" style="51" bestFit="1" customWidth="1"/>
    <col min="4" max="4" width="12.125" style="51" bestFit="1" customWidth="1"/>
    <col min="5" max="5" width="24.875" style="51" bestFit="1" customWidth="1"/>
    <col min="6" max="6" width="10.625" style="51" bestFit="1" customWidth="1"/>
    <col min="7" max="7" width="28.375" style="51" bestFit="1" customWidth="1"/>
    <col min="8" max="8" width="11" style="51" bestFit="1" customWidth="1"/>
    <col min="9" max="9" width="32" style="51" bestFit="1" customWidth="1"/>
    <col min="10" max="10" width="10.625" style="51" bestFit="1" customWidth="1"/>
    <col min="11" max="11" width="20.625" style="51" bestFit="1" customWidth="1"/>
    <col min="12" max="12" width="10.625" style="51" bestFit="1" customWidth="1"/>
    <col min="13" max="13" width="34.625" style="51" bestFit="1" customWidth="1"/>
    <col min="14" max="14" width="11" style="51" bestFit="1" customWidth="1"/>
    <col min="15" max="15" width="34.5" style="51" bestFit="1" customWidth="1"/>
    <col min="16" max="16" width="9" style="51"/>
    <col min="17" max="17" width="35.625" style="51" bestFit="1" customWidth="1"/>
    <col min="18" max="18" width="1.75" style="51" customWidth="1"/>
    <col min="19" max="19" width="4.625" style="51" bestFit="1" customWidth="1"/>
    <col min="20" max="20" width="9.625" style="51" bestFit="1" customWidth="1"/>
    <col min="21" max="21" width="37" style="51" bestFit="1" customWidth="1"/>
    <col min="22" max="22" width="10.75" style="51" bestFit="1" customWidth="1"/>
    <col min="23" max="23" width="24.875" style="51" bestFit="1" customWidth="1"/>
    <col min="24" max="24" width="10.625" style="51" bestFit="1" customWidth="1"/>
    <col min="25" max="25" width="28.375" style="51" bestFit="1" customWidth="1"/>
    <col min="26" max="26" width="11" style="51" bestFit="1" customWidth="1"/>
    <col min="27" max="27" width="32" style="51" bestFit="1" customWidth="1"/>
    <col min="28" max="28" width="10.625" style="51" bestFit="1" customWidth="1"/>
    <col min="29" max="29" width="20.625" style="51" bestFit="1" customWidth="1"/>
    <col min="30" max="30" width="10.625" style="51" bestFit="1" customWidth="1"/>
    <col min="31" max="31" width="34.625" style="51" bestFit="1" customWidth="1"/>
    <col min="32" max="32" width="11" style="51" bestFit="1" customWidth="1"/>
    <col min="33" max="33" width="34.375" style="51" bestFit="1" customWidth="1"/>
    <col min="34" max="34" width="9" style="51"/>
    <col min="35" max="35" width="35.625" style="51" bestFit="1" customWidth="1"/>
    <col min="36" max="36" width="9.375" style="51" bestFit="1" customWidth="1"/>
    <col min="37" max="16384" width="9" style="51"/>
  </cols>
  <sheetData>
    <row r="1" spans="1:36" ht="22.5" customHeight="1" x14ac:dyDescent="0.25">
      <c r="A1" s="53" t="s">
        <v>3</v>
      </c>
      <c r="B1" s="53" t="s">
        <v>4</v>
      </c>
      <c r="C1" s="53" t="s">
        <v>20</v>
      </c>
      <c r="D1" s="53" t="s">
        <v>5</v>
      </c>
      <c r="E1" s="53" t="s">
        <v>6</v>
      </c>
      <c r="F1" s="53" t="s">
        <v>7</v>
      </c>
      <c r="G1" s="53" t="s">
        <v>8</v>
      </c>
      <c r="H1" s="53" t="s">
        <v>9</v>
      </c>
      <c r="I1" s="53" t="s">
        <v>10</v>
      </c>
      <c r="J1" s="53" t="s">
        <v>29</v>
      </c>
      <c r="K1" s="53" t="s">
        <v>30</v>
      </c>
      <c r="L1" s="53" t="s">
        <v>18</v>
      </c>
      <c r="M1" s="53" t="s">
        <v>11</v>
      </c>
      <c r="N1" s="53" t="s">
        <v>12</v>
      </c>
      <c r="O1" s="53" t="s">
        <v>13</v>
      </c>
      <c r="P1" s="53" t="s">
        <v>14</v>
      </c>
      <c r="Q1" s="53" t="s">
        <v>15</v>
      </c>
      <c r="R1" s="53" t="s">
        <v>16</v>
      </c>
      <c r="S1" s="52" t="s">
        <v>179</v>
      </c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</row>
    <row r="2" spans="1:36" ht="22.5" customHeight="1" x14ac:dyDescent="0.25">
      <c r="A2" s="119">
        <v>104</v>
      </c>
      <c r="B2" s="118">
        <v>1</v>
      </c>
      <c r="C2" s="118" t="s">
        <v>101</v>
      </c>
      <c r="D2" s="118"/>
      <c r="E2" s="118"/>
      <c r="R2" s="51" t="s">
        <v>65</v>
      </c>
      <c r="Z2" s="52"/>
      <c r="AA2" s="52"/>
      <c r="AB2" s="52"/>
      <c r="AC2" s="52"/>
      <c r="AD2" s="52"/>
      <c r="AE2" s="52"/>
      <c r="AF2" s="52"/>
      <c r="AG2" s="52"/>
      <c r="AH2" s="52"/>
      <c r="AI2" s="52"/>
      <c r="AJ2" s="52"/>
    </row>
    <row r="3" spans="1:36" x14ac:dyDescent="0.25">
      <c r="A3" s="119">
        <v>102</v>
      </c>
      <c r="B3" s="120">
        <v>120100</v>
      </c>
      <c r="C3" s="121" t="s">
        <v>233</v>
      </c>
      <c r="D3" s="118"/>
      <c r="E3" s="118"/>
      <c r="R3" s="51" t="s">
        <v>65</v>
      </c>
      <c r="AG3" s="52"/>
      <c r="AH3" s="52"/>
      <c r="AI3" s="52"/>
      <c r="AJ3" s="52"/>
    </row>
    <row r="4" spans="1:36" x14ac:dyDescent="0.25">
      <c r="A4" s="119">
        <v>102</v>
      </c>
      <c r="B4" s="120">
        <v>120110</v>
      </c>
      <c r="C4" s="121" t="s">
        <v>234</v>
      </c>
      <c r="D4" s="118"/>
      <c r="E4" s="118"/>
      <c r="R4" s="51" t="s">
        <v>65</v>
      </c>
      <c r="AG4" s="52"/>
      <c r="AH4" s="52"/>
      <c r="AI4" s="52"/>
      <c r="AJ4" s="52"/>
    </row>
    <row r="5" spans="1:36" x14ac:dyDescent="0.25">
      <c r="A5" s="119">
        <v>102</v>
      </c>
      <c r="B5" s="120">
        <v>120120</v>
      </c>
      <c r="C5" s="121" t="s">
        <v>235</v>
      </c>
      <c r="D5" s="118"/>
      <c r="E5" s="118"/>
      <c r="AG5" s="52"/>
      <c r="AH5" s="52"/>
      <c r="AI5" s="52"/>
      <c r="AJ5" s="52"/>
    </row>
    <row r="6" spans="1:36" x14ac:dyDescent="0.25">
      <c r="A6" s="119">
        <v>102</v>
      </c>
      <c r="B6" s="120">
        <v>120130</v>
      </c>
      <c r="C6" s="121" t="s">
        <v>236</v>
      </c>
      <c r="D6" s="118"/>
      <c r="E6" s="118"/>
      <c r="AG6" s="52"/>
      <c r="AH6" s="52"/>
      <c r="AI6" s="52"/>
      <c r="AJ6" s="52"/>
    </row>
    <row r="7" spans="1:36" x14ac:dyDescent="0.25">
      <c r="A7" s="119">
        <v>102</v>
      </c>
      <c r="B7" s="120">
        <v>120160</v>
      </c>
      <c r="C7" s="121" t="s">
        <v>109</v>
      </c>
      <c r="D7" s="118"/>
      <c r="E7" s="118"/>
      <c r="R7" s="51" t="s">
        <v>65</v>
      </c>
      <c r="AG7" s="52"/>
      <c r="AH7" s="52"/>
      <c r="AI7" s="52"/>
      <c r="AJ7" s="52"/>
    </row>
    <row r="8" spans="1:36" x14ac:dyDescent="0.25">
      <c r="A8" s="119">
        <v>102</v>
      </c>
      <c r="B8" s="120">
        <v>120200</v>
      </c>
      <c r="C8" s="121" t="s">
        <v>110</v>
      </c>
      <c r="D8" s="118"/>
      <c r="E8" s="118"/>
      <c r="R8" s="51" t="s">
        <v>65</v>
      </c>
      <c r="AG8" s="52"/>
      <c r="AH8" s="52"/>
      <c r="AI8" s="52"/>
      <c r="AJ8" s="52"/>
    </row>
    <row r="9" spans="1:36" x14ac:dyDescent="0.25">
      <c r="A9" s="119">
        <v>102</v>
      </c>
      <c r="B9" s="120">
        <v>120300</v>
      </c>
      <c r="C9" s="121" t="s">
        <v>111</v>
      </c>
      <c r="D9" s="118"/>
      <c r="E9" s="118"/>
      <c r="AG9" s="52"/>
      <c r="AH9" s="52"/>
      <c r="AI9" s="52"/>
      <c r="AJ9" s="52"/>
    </row>
    <row r="10" spans="1:36" x14ac:dyDescent="0.25">
      <c r="A10" s="119">
        <v>102</v>
      </c>
      <c r="B10" s="120">
        <v>130180</v>
      </c>
      <c r="C10" s="121" t="s">
        <v>112</v>
      </c>
      <c r="D10" s="118"/>
      <c r="E10" s="118"/>
      <c r="AG10" s="52"/>
      <c r="AH10" s="52"/>
      <c r="AI10" s="52"/>
      <c r="AJ10" s="52"/>
    </row>
    <row r="11" spans="1:36" x14ac:dyDescent="0.25">
      <c r="A11" s="119">
        <v>102</v>
      </c>
      <c r="B11" s="120">
        <v>130191</v>
      </c>
      <c r="C11" s="121" t="s">
        <v>237</v>
      </c>
      <c r="D11" s="118"/>
      <c r="E11" s="118"/>
      <c r="AG11" s="52"/>
      <c r="AH11" s="52"/>
      <c r="AI11" s="52"/>
      <c r="AJ11" s="52"/>
    </row>
    <row r="12" spans="1:36" x14ac:dyDescent="0.25">
      <c r="A12" s="119">
        <v>102</v>
      </c>
      <c r="B12" s="120">
        <v>130240</v>
      </c>
      <c r="C12" s="121" t="s">
        <v>280</v>
      </c>
      <c r="D12" s="118"/>
      <c r="E12" s="118"/>
      <c r="AG12" s="52"/>
      <c r="AH12" s="52"/>
      <c r="AI12" s="52"/>
      <c r="AJ12" s="52"/>
    </row>
    <row r="13" spans="1:36" x14ac:dyDescent="0.25">
      <c r="A13" s="119">
        <v>102</v>
      </c>
      <c r="B13" s="120">
        <v>130250</v>
      </c>
      <c r="C13" s="121" t="s">
        <v>238</v>
      </c>
      <c r="D13" s="118"/>
      <c r="E13" s="118"/>
      <c r="AG13" s="52"/>
      <c r="AH13" s="52"/>
      <c r="AI13" s="52"/>
      <c r="AJ13" s="52"/>
    </row>
    <row r="14" spans="1:36" x14ac:dyDescent="0.25">
      <c r="A14" s="119">
        <v>102</v>
      </c>
      <c r="B14" s="120">
        <v>130260</v>
      </c>
      <c r="C14" s="121" t="s">
        <v>239</v>
      </c>
      <c r="D14" s="118"/>
      <c r="E14" s="118"/>
      <c r="AG14" s="52"/>
      <c r="AH14" s="52"/>
      <c r="AI14" s="52"/>
      <c r="AJ14" s="52"/>
    </row>
    <row r="15" spans="1:36" x14ac:dyDescent="0.25">
      <c r="A15" s="119">
        <v>102</v>
      </c>
      <c r="B15" s="120">
        <v>130300</v>
      </c>
      <c r="C15" s="121" t="s">
        <v>240</v>
      </c>
      <c r="D15" s="118"/>
      <c r="E15" s="118"/>
      <c r="AG15" s="52"/>
      <c r="AH15" s="52"/>
      <c r="AI15" s="52"/>
      <c r="AJ15" s="52"/>
    </row>
    <row r="16" spans="1:36" x14ac:dyDescent="0.25">
      <c r="A16" s="119">
        <v>102</v>
      </c>
      <c r="B16" s="120">
        <v>140000</v>
      </c>
      <c r="C16" s="121" t="s">
        <v>241</v>
      </c>
      <c r="D16" s="118"/>
      <c r="E16" s="118"/>
      <c r="AG16" s="52"/>
      <c r="AH16" s="52"/>
      <c r="AI16" s="52"/>
      <c r="AJ16" s="52"/>
    </row>
    <row r="17" spans="1:36" x14ac:dyDescent="0.25">
      <c r="A17" s="119">
        <v>102</v>
      </c>
      <c r="B17" s="120">
        <v>140010</v>
      </c>
      <c r="C17" s="121" t="s">
        <v>242</v>
      </c>
      <c r="D17" s="118"/>
      <c r="E17" s="118"/>
      <c r="AG17" s="52"/>
      <c r="AH17" s="52"/>
      <c r="AI17" s="52"/>
      <c r="AJ17" s="52"/>
    </row>
    <row r="18" spans="1:36" x14ac:dyDescent="0.25">
      <c r="A18" s="119">
        <v>102</v>
      </c>
      <c r="B18" s="120">
        <v>140020</v>
      </c>
      <c r="C18" s="121" t="s">
        <v>243</v>
      </c>
      <c r="D18" s="118"/>
      <c r="E18" s="118"/>
      <c r="AG18" s="52"/>
      <c r="AH18" s="52"/>
      <c r="AI18" s="52"/>
      <c r="AJ18" s="52"/>
    </row>
    <row r="19" spans="1:36" x14ac:dyDescent="0.25">
      <c r="A19" s="119">
        <v>102</v>
      </c>
      <c r="B19" s="120">
        <v>140030</v>
      </c>
      <c r="C19" s="121" t="s">
        <v>281</v>
      </c>
      <c r="D19" s="118"/>
      <c r="E19" s="118"/>
      <c r="AG19" s="52"/>
      <c r="AH19" s="52"/>
      <c r="AI19" s="52"/>
      <c r="AJ19" s="52"/>
    </row>
    <row r="20" spans="1:36" x14ac:dyDescent="0.25">
      <c r="A20" s="119">
        <v>102</v>
      </c>
      <c r="B20" s="120">
        <v>140100</v>
      </c>
      <c r="C20" s="121" t="s">
        <v>244</v>
      </c>
      <c r="D20" s="118"/>
      <c r="E20" s="118"/>
      <c r="AG20" s="52"/>
      <c r="AH20" s="52"/>
      <c r="AI20" s="52"/>
      <c r="AJ20" s="52"/>
    </row>
    <row r="21" spans="1:36" x14ac:dyDescent="0.25">
      <c r="A21" s="119">
        <v>102</v>
      </c>
      <c r="B21" s="120">
        <v>150000</v>
      </c>
      <c r="C21" s="121" t="s">
        <v>245</v>
      </c>
      <c r="D21" s="118"/>
      <c r="E21" s="118"/>
      <c r="AG21" s="52"/>
      <c r="AH21" s="52"/>
      <c r="AI21" s="52"/>
      <c r="AJ21" s="52"/>
    </row>
    <row r="22" spans="1:36" x14ac:dyDescent="0.25">
      <c r="A22" s="119">
        <v>102</v>
      </c>
      <c r="B22" s="120">
        <v>150030</v>
      </c>
      <c r="C22" s="121" t="s">
        <v>282</v>
      </c>
      <c r="D22" s="118"/>
      <c r="E22" s="118"/>
      <c r="AG22" s="52"/>
      <c r="AH22" s="52"/>
      <c r="AI22" s="52"/>
      <c r="AJ22" s="52"/>
    </row>
    <row r="23" spans="1:36" x14ac:dyDescent="0.25">
      <c r="A23" s="119">
        <v>102</v>
      </c>
      <c r="B23" s="120">
        <v>150100</v>
      </c>
      <c r="C23" s="121" t="s">
        <v>246</v>
      </c>
      <c r="D23" s="118"/>
      <c r="E23" s="118"/>
      <c r="AG23" s="52"/>
      <c r="AH23" s="52"/>
      <c r="AI23" s="52"/>
      <c r="AJ23" s="52"/>
    </row>
    <row r="24" spans="1:36" x14ac:dyDescent="0.25">
      <c r="A24" s="119">
        <v>102</v>
      </c>
      <c r="B24" s="120">
        <v>150200</v>
      </c>
      <c r="C24" s="121" t="s">
        <v>247</v>
      </c>
      <c r="D24" s="118"/>
      <c r="E24" s="118"/>
      <c r="AG24" s="52"/>
      <c r="AH24" s="52"/>
      <c r="AI24" s="52"/>
      <c r="AJ24" s="52"/>
    </row>
    <row r="25" spans="1:36" x14ac:dyDescent="0.25">
      <c r="A25" s="119">
        <v>102</v>
      </c>
      <c r="B25" s="120">
        <v>150300</v>
      </c>
      <c r="C25" s="121" t="s">
        <v>113</v>
      </c>
      <c r="D25" s="118"/>
      <c r="E25" s="118"/>
      <c r="AG25" s="52"/>
      <c r="AH25" s="52"/>
      <c r="AI25" s="52"/>
      <c r="AJ25" s="52"/>
    </row>
    <row r="26" spans="1:36" x14ac:dyDescent="0.25">
      <c r="A26" s="119">
        <v>102</v>
      </c>
      <c r="B26" s="120">
        <v>150600</v>
      </c>
      <c r="C26" s="121" t="s">
        <v>114</v>
      </c>
      <c r="D26" s="118"/>
      <c r="E26" s="118"/>
      <c r="AG26" s="52"/>
      <c r="AH26" s="52"/>
      <c r="AI26" s="52"/>
      <c r="AJ26" s="52"/>
    </row>
    <row r="27" spans="1:36" x14ac:dyDescent="0.25">
      <c r="A27" s="119">
        <v>102</v>
      </c>
      <c r="B27" s="120">
        <v>160100</v>
      </c>
      <c r="C27" s="121" t="s">
        <v>248</v>
      </c>
      <c r="D27" s="118"/>
      <c r="E27" s="118"/>
      <c r="AG27" s="52"/>
      <c r="AH27" s="52"/>
      <c r="AI27" s="52"/>
      <c r="AJ27" s="52"/>
    </row>
    <row r="28" spans="1:36" x14ac:dyDescent="0.25">
      <c r="A28" s="119">
        <v>102</v>
      </c>
      <c r="B28" s="120">
        <v>160110</v>
      </c>
      <c r="C28" s="121" t="s">
        <v>249</v>
      </c>
      <c r="D28" s="118"/>
      <c r="E28" s="118"/>
      <c r="AG28" s="52"/>
      <c r="AH28" s="52"/>
      <c r="AI28" s="52"/>
      <c r="AJ28" s="52"/>
    </row>
    <row r="29" spans="1:36" x14ac:dyDescent="0.25">
      <c r="A29" s="119">
        <v>102</v>
      </c>
      <c r="B29" s="120">
        <v>180200</v>
      </c>
      <c r="C29" s="121" t="s">
        <v>250</v>
      </c>
      <c r="D29" s="118"/>
      <c r="E29" s="118"/>
      <c r="AG29" s="52"/>
      <c r="AH29" s="52"/>
      <c r="AI29" s="52"/>
      <c r="AJ29" s="52"/>
    </row>
    <row r="30" spans="1:36" x14ac:dyDescent="0.25">
      <c r="A30" s="119">
        <v>102</v>
      </c>
      <c r="B30" s="120">
        <v>180210</v>
      </c>
      <c r="C30" s="121" t="s">
        <v>251</v>
      </c>
      <c r="D30" s="118"/>
      <c r="E30" s="118"/>
      <c r="AG30" s="52"/>
      <c r="AH30" s="52"/>
      <c r="AI30" s="52"/>
      <c r="AJ30" s="52"/>
    </row>
    <row r="31" spans="1:36" x14ac:dyDescent="0.25">
      <c r="A31" s="119">
        <v>102</v>
      </c>
      <c r="B31" s="120">
        <v>180400</v>
      </c>
      <c r="C31" s="121" t="s">
        <v>252</v>
      </c>
      <c r="D31" s="118"/>
      <c r="E31" s="118"/>
      <c r="AG31" s="52"/>
      <c r="AH31" s="52"/>
      <c r="AI31" s="52"/>
      <c r="AJ31" s="52"/>
    </row>
    <row r="32" spans="1:36" x14ac:dyDescent="0.25">
      <c r="A32" s="119">
        <v>102</v>
      </c>
      <c r="B32" s="120">
        <v>199999</v>
      </c>
      <c r="C32" s="121" t="s">
        <v>255</v>
      </c>
      <c r="D32" s="118"/>
      <c r="E32" s="118"/>
      <c r="AG32" s="52"/>
      <c r="AH32" s="52"/>
      <c r="AI32" s="52"/>
      <c r="AJ32" s="52"/>
    </row>
    <row r="33" spans="1:36" x14ac:dyDescent="0.25">
      <c r="A33" s="119">
        <v>102</v>
      </c>
      <c r="B33" s="120">
        <v>200040</v>
      </c>
      <c r="C33" s="121" t="s">
        <v>80</v>
      </c>
      <c r="D33" s="118"/>
      <c r="E33" s="118"/>
      <c r="AG33" s="52"/>
      <c r="AH33" s="52"/>
      <c r="AI33" s="52"/>
      <c r="AJ33" s="52"/>
    </row>
    <row r="34" spans="1:36" x14ac:dyDescent="0.25">
      <c r="A34" s="119">
        <v>102</v>
      </c>
      <c r="B34" s="120">
        <v>200080</v>
      </c>
      <c r="C34" s="121" t="s">
        <v>81</v>
      </c>
      <c r="D34" s="118"/>
      <c r="E34" s="118"/>
      <c r="AG34" s="52"/>
      <c r="AH34" s="52"/>
      <c r="AI34" s="52"/>
      <c r="AJ34" s="52"/>
    </row>
    <row r="35" spans="1:36" x14ac:dyDescent="0.25">
      <c r="A35" s="119">
        <v>102</v>
      </c>
      <c r="B35" s="120">
        <v>200100</v>
      </c>
      <c r="C35" s="121" t="s">
        <v>82</v>
      </c>
      <c r="D35" s="118"/>
      <c r="E35" s="118"/>
      <c r="AG35" s="52"/>
      <c r="AH35" s="52"/>
      <c r="AI35" s="52"/>
      <c r="AJ35" s="52"/>
    </row>
    <row r="36" spans="1:36" x14ac:dyDescent="0.25">
      <c r="A36" s="119">
        <v>102</v>
      </c>
      <c r="B36" s="120">
        <v>200140</v>
      </c>
      <c r="C36" s="121" t="s">
        <v>83</v>
      </c>
      <c r="D36" s="118"/>
      <c r="E36" s="118"/>
      <c r="AG36" s="52"/>
      <c r="AH36" s="52"/>
      <c r="AI36" s="52"/>
      <c r="AJ36" s="52"/>
    </row>
    <row r="37" spans="1:36" x14ac:dyDescent="0.25">
      <c r="A37" s="119">
        <v>102</v>
      </c>
      <c r="B37" s="120">
        <v>200150</v>
      </c>
      <c r="C37" s="121" t="s">
        <v>253</v>
      </c>
      <c r="D37" s="118"/>
      <c r="E37" s="118"/>
      <c r="AG37" s="52"/>
      <c r="AH37" s="52"/>
      <c r="AI37" s="52"/>
      <c r="AJ37" s="52"/>
    </row>
    <row r="38" spans="1:36" x14ac:dyDescent="0.25">
      <c r="A38" s="119">
        <v>102</v>
      </c>
      <c r="B38" s="120">
        <v>200155</v>
      </c>
      <c r="C38" s="121" t="s">
        <v>254</v>
      </c>
      <c r="D38" s="118"/>
      <c r="E38" s="118"/>
      <c r="AG38" s="52"/>
      <c r="AH38" s="52"/>
      <c r="AI38" s="52"/>
      <c r="AJ38" s="52"/>
    </row>
    <row r="39" spans="1:36" x14ac:dyDescent="0.25">
      <c r="A39" s="119">
        <v>102</v>
      </c>
      <c r="B39" s="120">
        <v>200180</v>
      </c>
      <c r="C39" s="121" t="s">
        <v>84</v>
      </c>
      <c r="D39" s="118"/>
      <c r="E39" s="118"/>
      <c r="AG39" s="52"/>
      <c r="AH39" s="52"/>
      <c r="AI39" s="52"/>
      <c r="AJ39" s="52"/>
    </row>
    <row r="40" spans="1:36" x14ac:dyDescent="0.25">
      <c r="A40" s="119">
        <v>102</v>
      </c>
      <c r="B40" s="120">
        <v>200300</v>
      </c>
      <c r="C40" s="121" t="s">
        <v>256</v>
      </c>
      <c r="D40" s="118"/>
      <c r="E40" s="118"/>
      <c r="AG40" s="52"/>
      <c r="AH40" s="52"/>
      <c r="AI40" s="52"/>
      <c r="AJ40" s="52"/>
    </row>
    <row r="41" spans="1:36" x14ac:dyDescent="0.25">
      <c r="A41" s="119">
        <v>102</v>
      </c>
      <c r="B41" s="120">
        <v>200400</v>
      </c>
      <c r="C41" s="121" t="s">
        <v>257</v>
      </c>
      <c r="D41" s="118"/>
      <c r="E41" s="118"/>
      <c r="AG41" s="52"/>
      <c r="AH41" s="52"/>
      <c r="AI41" s="52"/>
      <c r="AJ41" s="52"/>
    </row>
    <row r="42" spans="1:36" x14ac:dyDescent="0.25">
      <c r="A42" s="119">
        <v>102</v>
      </c>
      <c r="B42" s="120">
        <v>250100</v>
      </c>
      <c r="C42" s="121" t="s">
        <v>115</v>
      </c>
      <c r="D42" s="118"/>
      <c r="E42" s="118"/>
      <c r="AG42" s="52"/>
      <c r="AH42" s="52"/>
      <c r="AI42" s="52"/>
      <c r="AJ42" s="52"/>
    </row>
    <row r="43" spans="1:36" x14ac:dyDescent="0.25">
      <c r="A43" s="119">
        <v>102</v>
      </c>
      <c r="B43" s="120">
        <v>250110</v>
      </c>
      <c r="C43" s="121" t="s">
        <v>116</v>
      </c>
      <c r="D43" s="118"/>
      <c r="E43" s="118"/>
      <c r="AG43" s="52"/>
      <c r="AH43" s="52"/>
      <c r="AI43" s="52"/>
      <c r="AJ43" s="52"/>
    </row>
    <row r="44" spans="1:36" x14ac:dyDescent="0.25">
      <c r="A44" s="119">
        <v>102</v>
      </c>
      <c r="B44" s="120">
        <v>250120</v>
      </c>
      <c r="C44" s="121" t="s">
        <v>117</v>
      </c>
      <c r="D44" s="118"/>
      <c r="E44" s="118"/>
      <c r="AG44" s="52"/>
      <c r="AH44" s="52"/>
      <c r="AI44" s="52"/>
      <c r="AJ44" s="52"/>
    </row>
    <row r="45" spans="1:36" x14ac:dyDescent="0.25">
      <c r="A45" s="119">
        <v>102</v>
      </c>
      <c r="B45" s="120">
        <v>250130</v>
      </c>
      <c r="C45" s="121" t="s">
        <v>118</v>
      </c>
      <c r="D45" s="118"/>
      <c r="E45" s="118"/>
      <c r="AG45" s="52"/>
      <c r="AH45" s="52"/>
      <c r="AI45" s="52"/>
      <c r="AJ45" s="52"/>
    </row>
    <row r="46" spans="1:36" x14ac:dyDescent="0.25">
      <c r="A46" s="119">
        <v>102</v>
      </c>
      <c r="B46" s="120">
        <v>250170</v>
      </c>
      <c r="C46" s="121" t="s">
        <v>119</v>
      </c>
      <c r="D46" s="118"/>
      <c r="E46" s="118"/>
      <c r="AG46" s="52"/>
      <c r="AH46" s="52"/>
      <c r="AI46" s="52"/>
      <c r="AJ46" s="52"/>
    </row>
    <row r="47" spans="1:36" x14ac:dyDescent="0.25">
      <c r="A47" s="119">
        <v>102</v>
      </c>
      <c r="B47" s="120">
        <v>250180</v>
      </c>
      <c r="C47" s="121" t="s">
        <v>258</v>
      </c>
      <c r="D47" s="118"/>
      <c r="E47" s="118"/>
      <c r="AG47" s="52"/>
      <c r="AH47" s="52"/>
      <c r="AI47" s="52"/>
      <c r="AJ47" s="52"/>
    </row>
    <row r="48" spans="1:36" x14ac:dyDescent="0.25">
      <c r="A48" s="119">
        <v>102</v>
      </c>
      <c r="B48" s="120">
        <v>250210</v>
      </c>
      <c r="C48" s="121" t="s">
        <v>259</v>
      </c>
      <c r="D48" s="118"/>
      <c r="E48" s="118"/>
      <c r="AG48" s="52"/>
      <c r="AH48" s="52"/>
      <c r="AI48" s="52"/>
      <c r="AJ48" s="52"/>
    </row>
    <row r="49" spans="1:36" x14ac:dyDescent="0.25">
      <c r="A49" s="119">
        <v>102</v>
      </c>
      <c r="B49" s="120">
        <v>250220</v>
      </c>
      <c r="C49" s="121" t="s">
        <v>260</v>
      </c>
      <c r="D49" s="118"/>
      <c r="E49" s="118"/>
      <c r="AG49" s="52"/>
      <c r="AH49" s="52"/>
      <c r="AI49" s="52"/>
      <c r="AJ49" s="52"/>
    </row>
    <row r="50" spans="1:36" x14ac:dyDescent="0.25">
      <c r="A50" s="119">
        <v>102</v>
      </c>
      <c r="B50" s="120">
        <v>250230</v>
      </c>
      <c r="C50" s="121" t="s">
        <v>261</v>
      </c>
      <c r="D50" s="118"/>
      <c r="E50" s="118"/>
      <c r="AG50" s="52"/>
      <c r="AH50" s="52"/>
      <c r="AI50" s="52"/>
      <c r="AJ50" s="52"/>
    </row>
    <row r="51" spans="1:36" x14ac:dyDescent="0.25">
      <c r="A51" s="119">
        <v>102</v>
      </c>
      <c r="B51" s="120">
        <v>250300</v>
      </c>
      <c r="C51" s="121" t="s">
        <v>120</v>
      </c>
      <c r="D51" s="118"/>
      <c r="E51" s="118"/>
      <c r="AG51" s="52"/>
      <c r="AH51" s="52"/>
      <c r="AI51" s="52"/>
      <c r="AJ51" s="52"/>
    </row>
    <row r="52" spans="1:36" x14ac:dyDescent="0.25">
      <c r="A52" s="119">
        <v>102</v>
      </c>
      <c r="B52" s="120">
        <v>250312</v>
      </c>
      <c r="C52" s="121" t="s">
        <v>121</v>
      </c>
      <c r="D52" s="118"/>
      <c r="E52" s="118"/>
      <c r="AG52" s="52"/>
      <c r="AH52" s="52"/>
      <c r="AI52" s="52"/>
      <c r="AJ52" s="52"/>
    </row>
    <row r="53" spans="1:36" x14ac:dyDescent="0.25">
      <c r="A53" s="119">
        <v>102</v>
      </c>
      <c r="B53" s="120">
        <v>250314</v>
      </c>
      <c r="C53" s="121" t="s">
        <v>122</v>
      </c>
      <c r="D53" s="118"/>
      <c r="E53" s="118"/>
      <c r="AG53" s="52"/>
      <c r="AH53" s="52"/>
      <c r="AI53" s="52"/>
      <c r="AJ53" s="52"/>
    </row>
    <row r="54" spans="1:36" x14ac:dyDescent="0.25">
      <c r="A54" s="119">
        <v>102</v>
      </c>
      <c r="B54" s="120">
        <v>250510</v>
      </c>
      <c r="C54" s="121" t="s">
        <v>262</v>
      </c>
      <c r="D54" s="118"/>
      <c r="E54" s="118"/>
      <c r="AG54" s="52"/>
      <c r="AH54" s="52"/>
      <c r="AI54" s="52"/>
      <c r="AJ54" s="52"/>
    </row>
    <row r="55" spans="1:36" x14ac:dyDescent="0.25">
      <c r="A55" s="119">
        <v>102</v>
      </c>
      <c r="B55" s="120">
        <v>250511</v>
      </c>
      <c r="C55" s="121" t="s">
        <v>263</v>
      </c>
      <c r="D55" s="118"/>
      <c r="E55" s="118"/>
      <c r="AG55" s="52"/>
      <c r="AH55" s="52"/>
      <c r="AI55" s="52"/>
      <c r="AJ55" s="52"/>
    </row>
    <row r="56" spans="1:36" x14ac:dyDescent="0.25">
      <c r="A56" s="119">
        <v>102</v>
      </c>
      <c r="B56" s="120">
        <v>250513</v>
      </c>
      <c r="C56" s="121" t="s">
        <v>264</v>
      </c>
      <c r="D56" s="118"/>
      <c r="E56" s="118"/>
      <c r="AG56" s="52"/>
      <c r="AH56" s="52"/>
      <c r="AI56" s="52"/>
      <c r="AJ56" s="52"/>
    </row>
    <row r="57" spans="1:36" x14ac:dyDescent="0.25">
      <c r="A57" s="119">
        <v>102</v>
      </c>
      <c r="B57" s="120">
        <v>250514</v>
      </c>
      <c r="C57" s="121" t="s">
        <v>265</v>
      </c>
      <c r="D57" s="118"/>
      <c r="E57" s="118"/>
      <c r="AG57" s="52"/>
      <c r="AH57" s="52"/>
      <c r="AI57" s="52"/>
      <c r="AJ57" s="52"/>
    </row>
    <row r="58" spans="1:36" x14ac:dyDescent="0.25">
      <c r="A58" s="119">
        <v>102</v>
      </c>
      <c r="B58" s="120">
        <v>250515</v>
      </c>
      <c r="C58" s="121" t="s">
        <v>266</v>
      </c>
      <c r="D58" s="118"/>
      <c r="E58" s="118"/>
      <c r="AG58" s="52"/>
      <c r="AH58" s="52"/>
      <c r="AI58" s="52"/>
      <c r="AJ58" s="52"/>
    </row>
    <row r="59" spans="1:36" x14ac:dyDescent="0.25">
      <c r="A59" s="119">
        <v>102</v>
      </c>
      <c r="B59" s="120">
        <v>250516</v>
      </c>
      <c r="C59" s="121" t="s">
        <v>267</v>
      </c>
      <c r="D59" s="118"/>
      <c r="E59" s="118"/>
      <c r="AG59" s="52"/>
      <c r="AH59" s="52"/>
      <c r="AI59" s="52"/>
      <c r="AJ59" s="52"/>
    </row>
    <row r="60" spans="1:36" x14ac:dyDescent="0.25">
      <c r="A60" s="119">
        <v>102</v>
      </c>
      <c r="B60" s="120">
        <v>250530</v>
      </c>
      <c r="C60" s="121" t="s">
        <v>268</v>
      </c>
      <c r="D60" s="118"/>
      <c r="E60" s="118"/>
      <c r="AG60" s="52"/>
      <c r="AH60" s="52"/>
      <c r="AI60" s="52"/>
      <c r="AJ60" s="52"/>
    </row>
    <row r="61" spans="1:36" x14ac:dyDescent="0.25">
      <c r="A61" s="119">
        <v>102</v>
      </c>
      <c r="B61" s="120">
        <v>250531</v>
      </c>
      <c r="C61" s="121" t="s">
        <v>269</v>
      </c>
      <c r="D61" s="118"/>
      <c r="E61" s="118"/>
      <c r="AG61" s="52"/>
      <c r="AH61" s="52"/>
      <c r="AI61" s="52"/>
      <c r="AJ61" s="52"/>
    </row>
    <row r="62" spans="1:36" x14ac:dyDescent="0.25">
      <c r="A62" s="119">
        <v>102</v>
      </c>
      <c r="B62" s="120">
        <v>250533</v>
      </c>
      <c r="C62" s="121" t="s">
        <v>270</v>
      </c>
      <c r="D62" s="118"/>
      <c r="E62" s="118"/>
      <c r="AG62" s="52"/>
      <c r="AH62" s="52"/>
      <c r="AI62" s="52"/>
      <c r="AJ62" s="52"/>
    </row>
    <row r="63" spans="1:36" x14ac:dyDescent="0.25">
      <c r="A63" s="119">
        <v>102</v>
      </c>
      <c r="B63" s="120">
        <v>250590</v>
      </c>
      <c r="C63" s="121" t="s">
        <v>123</v>
      </c>
      <c r="D63" s="118"/>
      <c r="E63" s="118"/>
      <c r="AG63" s="52"/>
      <c r="AH63" s="52"/>
      <c r="AI63" s="52"/>
      <c r="AJ63" s="52"/>
    </row>
    <row r="64" spans="1:36" x14ac:dyDescent="0.25">
      <c r="A64" s="119">
        <v>102</v>
      </c>
      <c r="B64" s="120">
        <v>250611</v>
      </c>
      <c r="C64" s="121" t="s">
        <v>124</v>
      </c>
      <c r="D64" s="118"/>
      <c r="E64" s="118"/>
      <c r="AG64" s="52"/>
      <c r="AH64" s="52"/>
      <c r="AI64" s="52"/>
      <c r="AJ64" s="52"/>
    </row>
    <row r="65" spans="1:36" x14ac:dyDescent="0.25">
      <c r="A65" s="119">
        <v>102</v>
      </c>
      <c r="B65" s="120">
        <v>250612</v>
      </c>
      <c r="C65" s="121" t="s">
        <v>271</v>
      </c>
      <c r="D65" s="118"/>
      <c r="E65" s="118"/>
      <c r="AG65" s="52"/>
      <c r="AH65" s="52"/>
      <c r="AI65" s="52"/>
      <c r="AJ65" s="52"/>
    </row>
    <row r="66" spans="1:36" x14ac:dyDescent="0.25">
      <c r="A66" s="119">
        <v>102</v>
      </c>
      <c r="B66" s="120">
        <v>250613</v>
      </c>
      <c r="C66" s="121" t="s">
        <v>272</v>
      </c>
      <c r="D66" s="118"/>
      <c r="E66" s="118"/>
      <c r="AG66" s="52"/>
      <c r="AH66" s="52"/>
      <c r="AI66" s="52"/>
      <c r="AJ66" s="52"/>
    </row>
    <row r="67" spans="1:36" x14ac:dyDescent="0.25">
      <c r="A67" s="119">
        <v>102</v>
      </c>
      <c r="B67" s="120">
        <v>250614</v>
      </c>
      <c r="C67" s="121" t="s">
        <v>273</v>
      </c>
      <c r="D67" s="118"/>
      <c r="E67" s="118"/>
      <c r="AG67" s="52"/>
      <c r="AH67" s="52"/>
      <c r="AI67" s="52"/>
      <c r="AJ67" s="52"/>
    </row>
    <row r="68" spans="1:36" x14ac:dyDescent="0.25">
      <c r="A68" s="119">
        <v>102</v>
      </c>
      <c r="B68" s="120">
        <v>250620</v>
      </c>
      <c r="C68" s="121" t="s">
        <v>274</v>
      </c>
      <c r="D68" s="118"/>
      <c r="E68" s="118"/>
      <c r="AG68" s="52"/>
      <c r="AH68" s="52"/>
      <c r="AI68" s="52"/>
      <c r="AJ68" s="52"/>
    </row>
    <row r="69" spans="1:36" x14ac:dyDescent="0.25">
      <c r="A69" s="119">
        <v>102</v>
      </c>
      <c r="B69" s="120">
        <v>250630</v>
      </c>
      <c r="C69" s="121" t="s">
        <v>275</v>
      </c>
      <c r="D69" s="118"/>
      <c r="E69" s="118"/>
      <c r="AG69" s="52"/>
      <c r="AH69" s="52"/>
      <c r="AI69" s="52"/>
      <c r="AJ69" s="52"/>
    </row>
    <row r="70" spans="1:36" x14ac:dyDescent="0.25">
      <c r="A70" s="119">
        <v>102</v>
      </c>
      <c r="B70" s="120">
        <v>250631</v>
      </c>
      <c r="C70" s="121" t="s">
        <v>276</v>
      </c>
      <c r="D70" s="118"/>
      <c r="E70" s="118"/>
      <c r="AG70" s="52"/>
      <c r="AH70" s="52"/>
      <c r="AI70" s="52"/>
      <c r="AJ70" s="52"/>
    </row>
    <row r="71" spans="1:36" x14ac:dyDescent="0.25">
      <c r="A71" s="119">
        <v>102</v>
      </c>
      <c r="B71" s="120">
        <v>250632</v>
      </c>
      <c r="C71" s="121" t="s">
        <v>277</v>
      </c>
      <c r="D71" s="118"/>
      <c r="E71" s="118"/>
      <c r="AG71" s="52"/>
      <c r="AH71" s="52"/>
      <c r="AI71" s="52"/>
      <c r="AJ71" s="52"/>
    </row>
    <row r="72" spans="1:36" x14ac:dyDescent="0.25">
      <c r="A72" s="119">
        <v>102</v>
      </c>
      <c r="B72" s="120">
        <v>250690</v>
      </c>
      <c r="C72" s="121" t="s">
        <v>125</v>
      </c>
      <c r="D72" s="118"/>
      <c r="E72" s="118"/>
      <c r="AG72" s="52"/>
      <c r="AH72" s="52"/>
      <c r="AI72" s="52"/>
      <c r="AJ72" s="52"/>
    </row>
    <row r="73" spans="1:36" x14ac:dyDescent="0.25">
      <c r="A73" s="119">
        <v>102</v>
      </c>
      <c r="B73" s="120">
        <v>280000</v>
      </c>
      <c r="C73" s="121" t="s">
        <v>126</v>
      </c>
      <c r="D73" s="118"/>
      <c r="E73" s="118"/>
      <c r="AG73" s="52"/>
      <c r="AH73" s="52"/>
      <c r="AI73" s="52"/>
      <c r="AJ73" s="52"/>
    </row>
    <row r="74" spans="1:36" x14ac:dyDescent="0.25">
      <c r="A74" s="119">
        <v>102</v>
      </c>
      <c r="B74" s="120">
        <v>299991</v>
      </c>
      <c r="C74" s="121" t="s">
        <v>127</v>
      </c>
      <c r="D74" s="118"/>
      <c r="E74" s="118"/>
      <c r="AG74" s="52"/>
      <c r="AH74" s="52"/>
      <c r="AI74" s="52"/>
      <c r="AJ74" s="52"/>
    </row>
    <row r="75" spans="1:36" x14ac:dyDescent="0.25">
      <c r="A75" s="119">
        <v>102</v>
      </c>
      <c r="B75" s="120">
        <v>299993</v>
      </c>
      <c r="C75" s="121" t="s">
        <v>128</v>
      </c>
      <c r="D75" s="118"/>
      <c r="E75" s="118"/>
      <c r="AG75" s="52"/>
      <c r="AH75" s="52"/>
      <c r="AI75" s="52"/>
      <c r="AJ75" s="52"/>
    </row>
    <row r="76" spans="1:36" x14ac:dyDescent="0.25">
      <c r="A76" s="119">
        <v>102</v>
      </c>
      <c r="B76" s="120">
        <v>299995</v>
      </c>
      <c r="C76" s="121" t="s">
        <v>129</v>
      </c>
      <c r="D76" s="118"/>
      <c r="E76" s="118"/>
      <c r="AG76" s="52"/>
      <c r="AH76" s="52"/>
      <c r="AI76" s="52"/>
      <c r="AJ76" s="52"/>
    </row>
    <row r="77" spans="1:36" x14ac:dyDescent="0.25">
      <c r="A77" s="119">
        <v>102</v>
      </c>
      <c r="B77" s="120">
        <v>299996</v>
      </c>
      <c r="C77" s="121" t="s">
        <v>278</v>
      </c>
      <c r="D77" s="118"/>
      <c r="E77" s="118"/>
      <c r="AG77" s="52"/>
      <c r="AH77" s="52"/>
      <c r="AI77" s="52"/>
      <c r="AJ77" s="52"/>
    </row>
    <row r="78" spans="1:36" x14ac:dyDescent="0.25">
      <c r="A78" s="119">
        <v>102</v>
      </c>
      <c r="B78" s="120">
        <v>299999</v>
      </c>
      <c r="C78" s="121" t="s">
        <v>130</v>
      </c>
      <c r="D78" s="118"/>
      <c r="E78" s="118"/>
      <c r="AG78" s="52"/>
      <c r="AH78" s="52"/>
      <c r="AI78" s="52"/>
      <c r="AJ78" s="52"/>
    </row>
    <row r="79" spans="1:36" x14ac:dyDescent="0.25">
      <c r="A79" s="119">
        <v>102</v>
      </c>
      <c r="B79" s="120">
        <v>300200</v>
      </c>
      <c r="C79" s="121" t="s">
        <v>131</v>
      </c>
      <c r="D79" s="118"/>
      <c r="E79" s="118"/>
      <c r="AG79" s="52"/>
      <c r="AH79" s="52"/>
      <c r="AI79" s="52"/>
      <c r="AJ79" s="52"/>
    </row>
    <row r="80" spans="1:36" x14ac:dyDescent="0.25">
      <c r="A80" s="119">
        <v>102</v>
      </c>
      <c r="B80" s="120">
        <v>300300</v>
      </c>
      <c r="C80" s="121" t="s">
        <v>279</v>
      </c>
      <c r="D80" s="118"/>
      <c r="E80" s="118"/>
      <c r="AG80" s="52"/>
      <c r="AH80" s="52"/>
      <c r="AI80" s="52"/>
      <c r="AJ80" s="52"/>
    </row>
    <row r="81" spans="1:36" x14ac:dyDescent="0.25">
      <c r="A81" s="119">
        <v>102</v>
      </c>
      <c r="B81" s="120">
        <v>300400</v>
      </c>
      <c r="C81" s="121" t="s">
        <v>132</v>
      </c>
      <c r="D81" s="118"/>
      <c r="E81" s="118"/>
      <c r="AG81" s="52"/>
      <c r="AH81" s="52"/>
      <c r="AI81" s="52"/>
      <c r="AJ81" s="52"/>
    </row>
    <row r="82" spans="1:36" x14ac:dyDescent="0.25">
      <c r="A82" s="119">
        <v>102</v>
      </c>
      <c r="B82" s="120">
        <v>300500</v>
      </c>
      <c r="C82" s="121" t="s">
        <v>133</v>
      </c>
      <c r="D82" s="118"/>
      <c r="E82" s="118"/>
      <c r="AG82" s="52"/>
      <c r="AH82" s="52"/>
      <c r="AI82" s="52"/>
      <c r="AJ82" s="52"/>
    </row>
    <row r="83" spans="1:36" x14ac:dyDescent="0.25">
      <c r="A83" s="118"/>
      <c r="B83" s="118"/>
      <c r="C83" s="118"/>
      <c r="D83" s="118"/>
      <c r="E83" s="118"/>
    </row>
    <row r="84" spans="1:36" x14ac:dyDescent="0.25">
      <c r="A84" s="118"/>
      <c r="B84" s="118"/>
      <c r="C84" s="118"/>
      <c r="D84" s="118"/>
      <c r="E84" s="118"/>
    </row>
    <row r="85" spans="1:36" x14ac:dyDescent="0.25">
      <c r="A85" s="118"/>
      <c r="B85" s="118"/>
      <c r="C85" s="118"/>
      <c r="D85" s="118"/>
      <c r="E85" s="118"/>
    </row>
    <row r="86" spans="1:36" x14ac:dyDescent="0.25">
      <c r="A86" s="118"/>
      <c r="B86" s="118"/>
      <c r="C86" s="118"/>
      <c r="D86" s="118"/>
      <c r="E86" s="118"/>
    </row>
    <row r="87" spans="1:36" x14ac:dyDescent="0.25">
      <c r="A87" s="118"/>
      <c r="B87" s="118"/>
      <c r="C87" s="118"/>
      <c r="D87" s="118"/>
      <c r="E87" s="118"/>
    </row>
    <row r="88" spans="1:36" x14ac:dyDescent="0.25">
      <c r="A88" s="118"/>
      <c r="B88" s="118"/>
      <c r="C88" s="118"/>
      <c r="D88" s="118"/>
      <c r="E88" s="118"/>
    </row>
    <row r="89" spans="1:36" x14ac:dyDescent="0.25">
      <c r="A89" s="118"/>
      <c r="B89" s="118"/>
      <c r="C89" s="118"/>
      <c r="D89" s="118"/>
      <c r="E89" s="118"/>
    </row>
    <row r="90" spans="1:36" x14ac:dyDescent="0.25">
      <c r="A90" s="118"/>
      <c r="B90" s="118"/>
      <c r="C90" s="118"/>
      <c r="D90" s="118"/>
      <c r="E90" s="118"/>
    </row>
    <row r="91" spans="1:36" x14ac:dyDescent="0.25">
      <c r="A91" s="118"/>
      <c r="B91" s="118"/>
      <c r="C91" s="118"/>
      <c r="D91" s="118"/>
      <c r="E91" s="118"/>
    </row>
    <row r="92" spans="1:36" x14ac:dyDescent="0.25">
      <c r="A92" s="118"/>
      <c r="B92" s="118"/>
      <c r="C92" s="118"/>
      <c r="D92" s="118"/>
      <c r="E92" s="118"/>
    </row>
    <row r="93" spans="1:36" x14ac:dyDescent="0.25">
      <c r="A93" s="118"/>
      <c r="B93" s="118"/>
      <c r="C93" s="118"/>
      <c r="D93" s="118"/>
      <c r="E93" s="118"/>
    </row>
    <row r="94" spans="1:36" x14ac:dyDescent="0.25">
      <c r="A94" s="118"/>
      <c r="B94" s="118"/>
      <c r="C94" s="118"/>
      <c r="D94" s="118"/>
      <c r="E94" s="118"/>
    </row>
    <row r="95" spans="1:36" x14ac:dyDescent="0.25">
      <c r="A95" s="118"/>
      <c r="B95" s="118"/>
      <c r="C95" s="118"/>
      <c r="D95" s="118"/>
      <c r="E95" s="118"/>
    </row>
    <row r="96" spans="1:36" x14ac:dyDescent="0.25">
      <c r="A96" s="118"/>
      <c r="B96" s="118"/>
      <c r="C96" s="118"/>
      <c r="D96" s="118"/>
      <c r="E96" s="118"/>
    </row>
    <row r="97" spans="1:5" x14ac:dyDescent="0.25">
      <c r="A97" s="118"/>
      <c r="B97" s="118"/>
      <c r="C97" s="118"/>
      <c r="D97" s="118"/>
      <c r="E97" s="118"/>
    </row>
    <row r="98" spans="1:5" x14ac:dyDescent="0.25">
      <c r="A98" s="118"/>
      <c r="B98" s="118"/>
      <c r="C98" s="118"/>
      <c r="D98" s="118"/>
      <c r="E98" s="118"/>
    </row>
    <row r="99" spans="1:5" x14ac:dyDescent="0.25">
      <c r="A99" s="118"/>
      <c r="B99" s="118"/>
      <c r="C99" s="118"/>
      <c r="D99" s="118"/>
      <c r="E99" s="118"/>
    </row>
    <row r="100" spans="1:5" x14ac:dyDescent="0.25">
      <c r="A100" s="118"/>
      <c r="B100" s="118"/>
      <c r="C100" s="118"/>
      <c r="D100" s="118"/>
      <c r="E100" s="118"/>
    </row>
    <row r="101" spans="1:5" x14ac:dyDescent="0.25">
      <c r="A101" s="118"/>
      <c r="B101" s="118"/>
      <c r="C101" s="118"/>
      <c r="D101" s="118"/>
      <c r="E101" s="118"/>
    </row>
    <row r="102" spans="1:5" x14ac:dyDescent="0.25">
      <c r="A102" s="118"/>
      <c r="B102" s="118"/>
      <c r="C102" s="118"/>
      <c r="D102" s="118"/>
      <c r="E102" s="118"/>
    </row>
    <row r="103" spans="1:5" x14ac:dyDescent="0.25">
      <c r="A103" s="118"/>
      <c r="B103" s="118"/>
      <c r="C103" s="118"/>
      <c r="D103" s="118"/>
      <c r="E103" s="118"/>
    </row>
    <row r="104" spans="1:5" x14ac:dyDescent="0.25">
      <c r="A104" s="118"/>
      <c r="B104" s="118"/>
      <c r="C104" s="118"/>
      <c r="D104" s="118"/>
      <c r="E104" s="118"/>
    </row>
    <row r="105" spans="1:5" x14ac:dyDescent="0.25">
      <c r="A105" s="118"/>
      <c r="B105" s="118"/>
      <c r="C105" s="118"/>
      <c r="D105" s="118"/>
      <c r="E105" s="118"/>
    </row>
    <row r="106" spans="1:5" x14ac:dyDescent="0.25">
      <c r="A106" s="118"/>
      <c r="B106" s="118"/>
      <c r="C106" s="118"/>
      <c r="D106" s="118"/>
      <c r="E106" s="118"/>
    </row>
    <row r="107" spans="1:5" x14ac:dyDescent="0.25">
      <c r="A107" s="118"/>
      <c r="B107" s="118"/>
      <c r="C107" s="118"/>
      <c r="D107" s="118"/>
      <c r="E107" s="118"/>
    </row>
    <row r="108" spans="1:5" x14ac:dyDescent="0.25">
      <c r="A108" s="118"/>
      <c r="B108" s="118"/>
      <c r="C108" s="118"/>
      <c r="D108" s="118"/>
      <c r="E108" s="118"/>
    </row>
    <row r="109" spans="1:5" x14ac:dyDescent="0.25">
      <c r="A109" s="118"/>
      <c r="B109" s="118"/>
      <c r="C109" s="118"/>
      <c r="D109" s="118"/>
      <c r="E109" s="118"/>
    </row>
    <row r="110" spans="1:5" x14ac:dyDescent="0.25">
      <c r="A110" s="118"/>
      <c r="B110" s="118"/>
      <c r="C110" s="118"/>
      <c r="D110" s="118"/>
      <c r="E110" s="118"/>
    </row>
    <row r="111" spans="1:5" x14ac:dyDescent="0.25">
      <c r="A111" s="118"/>
      <c r="B111" s="118"/>
      <c r="C111" s="118"/>
      <c r="D111" s="118"/>
      <c r="E111" s="118"/>
    </row>
    <row r="112" spans="1:5" x14ac:dyDescent="0.25">
      <c r="A112" s="118"/>
      <c r="B112" s="118"/>
      <c r="C112" s="118"/>
      <c r="D112" s="118"/>
      <c r="E112" s="118"/>
    </row>
    <row r="113" spans="1:5" x14ac:dyDescent="0.25">
      <c r="A113" s="118"/>
      <c r="B113" s="118"/>
      <c r="C113" s="118"/>
      <c r="D113" s="118"/>
      <c r="E113" s="118"/>
    </row>
    <row r="114" spans="1:5" x14ac:dyDescent="0.25">
      <c r="A114" s="118"/>
      <c r="B114" s="118"/>
      <c r="C114" s="118"/>
      <c r="D114" s="118"/>
      <c r="E114" s="118"/>
    </row>
    <row r="115" spans="1:5" x14ac:dyDescent="0.25">
      <c r="A115" s="118"/>
      <c r="B115" s="118"/>
      <c r="C115" s="118"/>
      <c r="D115" s="118"/>
      <c r="E115" s="118"/>
    </row>
    <row r="116" spans="1:5" x14ac:dyDescent="0.25">
      <c r="A116" s="118"/>
      <c r="B116" s="118"/>
      <c r="C116" s="118"/>
      <c r="D116" s="118"/>
      <c r="E116" s="118"/>
    </row>
    <row r="117" spans="1:5" x14ac:dyDescent="0.25">
      <c r="A117" s="118"/>
      <c r="B117" s="118"/>
      <c r="C117" s="118"/>
      <c r="D117" s="118"/>
      <c r="E117" s="118"/>
    </row>
    <row r="118" spans="1:5" x14ac:dyDescent="0.25">
      <c r="A118" s="118"/>
      <c r="B118" s="118"/>
      <c r="C118" s="118"/>
      <c r="D118" s="118"/>
      <c r="E118" s="118"/>
    </row>
    <row r="119" spans="1:5" x14ac:dyDescent="0.25">
      <c r="A119" s="118"/>
      <c r="B119" s="118"/>
      <c r="C119" s="118"/>
      <c r="D119" s="118"/>
      <c r="E119" s="118"/>
    </row>
    <row r="120" spans="1:5" x14ac:dyDescent="0.25">
      <c r="A120" s="118"/>
      <c r="B120" s="118"/>
      <c r="C120" s="118"/>
      <c r="D120" s="118"/>
      <c r="E120" s="118"/>
    </row>
    <row r="121" spans="1:5" x14ac:dyDescent="0.25">
      <c r="A121" s="118"/>
      <c r="B121" s="118"/>
      <c r="C121" s="118"/>
      <c r="D121" s="118"/>
      <c r="E121" s="118"/>
    </row>
    <row r="122" spans="1:5" x14ac:dyDescent="0.25">
      <c r="A122" s="118"/>
      <c r="B122" s="118"/>
      <c r="C122" s="118"/>
      <c r="D122" s="118"/>
      <c r="E122" s="118"/>
    </row>
    <row r="123" spans="1:5" x14ac:dyDescent="0.25">
      <c r="A123" s="118"/>
      <c r="B123" s="118"/>
      <c r="C123" s="118"/>
      <c r="D123" s="118"/>
      <c r="E123" s="118"/>
    </row>
    <row r="124" spans="1:5" x14ac:dyDescent="0.25">
      <c r="A124" s="118"/>
      <c r="B124" s="118"/>
      <c r="C124" s="118"/>
      <c r="D124" s="118"/>
      <c r="E124" s="118"/>
    </row>
    <row r="125" spans="1:5" x14ac:dyDescent="0.25">
      <c r="A125" s="118"/>
      <c r="B125" s="118"/>
      <c r="C125" s="118"/>
      <c r="D125" s="118"/>
      <c r="E125" s="118"/>
    </row>
    <row r="126" spans="1:5" x14ac:dyDescent="0.25">
      <c r="A126" s="118"/>
      <c r="B126" s="118"/>
      <c r="C126" s="118"/>
      <c r="D126" s="118"/>
      <c r="E126" s="118"/>
    </row>
    <row r="127" spans="1:5" x14ac:dyDescent="0.25">
      <c r="A127" s="118"/>
      <c r="B127" s="118"/>
      <c r="C127" s="118"/>
      <c r="D127" s="118"/>
      <c r="E127" s="118"/>
    </row>
    <row r="128" spans="1:5" x14ac:dyDescent="0.25">
      <c r="A128" s="118"/>
      <c r="B128" s="118"/>
      <c r="C128" s="118"/>
      <c r="D128" s="118"/>
      <c r="E128" s="118"/>
    </row>
    <row r="129" spans="1:5" x14ac:dyDescent="0.25">
      <c r="A129" s="118"/>
      <c r="B129" s="118"/>
      <c r="C129" s="118"/>
      <c r="D129" s="118"/>
      <c r="E129" s="118"/>
    </row>
    <row r="130" spans="1:5" x14ac:dyDescent="0.25">
      <c r="A130" s="118"/>
      <c r="B130" s="118"/>
      <c r="C130" s="118"/>
      <c r="D130" s="118"/>
      <c r="E130" s="118"/>
    </row>
    <row r="131" spans="1:5" x14ac:dyDescent="0.25">
      <c r="A131" s="118"/>
      <c r="B131" s="118"/>
      <c r="C131" s="118"/>
      <c r="D131" s="118"/>
      <c r="E131" s="118"/>
    </row>
    <row r="132" spans="1:5" x14ac:dyDescent="0.25">
      <c r="A132" s="118"/>
      <c r="B132" s="118"/>
      <c r="C132" s="118"/>
      <c r="D132" s="118"/>
      <c r="E132" s="118"/>
    </row>
    <row r="133" spans="1:5" x14ac:dyDescent="0.25">
      <c r="A133" s="118"/>
      <c r="B133" s="118"/>
      <c r="C133" s="118"/>
      <c r="D133" s="118"/>
      <c r="E133" s="118"/>
    </row>
    <row r="134" spans="1:5" x14ac:dyDescent="0.25">
      <c r="A134" s="118"/>
      <c r="B134" s="118"/>
      <c r="C134" s="118"/>
      <c r="D134" s="118"/>
      <c r="E134" s="118"/>
    </row>
    <row r="135" spans="1:5" x14ac:dyDescent="0.25">
      <c r="A135" s="118"/>
      <c r="B135" s="118"/>
      <c r="C135" s="118"/>
      <c r="D135" s="118"/>
      <c r="E135" s="118"/>
    </row>
    <row r="136" spans="1:5" x14ac:dyDescent="0.25">
      <c r="A136" s="118"/>
      <c r="B136" s="118"/>
      <c r="C136" s="118"/>
      <c r="D136" s="118"/>
      <c r="E136" s="118"/>
    </row>
    <row r="137" spans="1:5" x14ac:dyDescent="0.25">
      <c r="A137" s="118"/>
      <c r="B137" s="118"/>
      <c r="C137" s="118"/>
      <c r="D137" s="118"/>
      <c r="E137" s="118"/>
    </row>
    <row r="138" spans="1:5" x14ac:dyDescent="0.25">
      <c r="A138" s="118"/>
      <c r="B138" s="118"/>
      <c r="C138" s="118"/>
      <c r="D138" s="118"/>
      <c r="E138" s="118"/>
    </row>
    <row r="139" spans="1:5" x14ac:dyDescent="0.25">
      <c r="A139" s="118"/>
      <c r="B139" s="118"/>
      <c r="C139" s="118"/>
      <c r="D139" s="118"/>
      <c r="E139" s="118"/>
    </row>
    <row r="140" spans="1:5" x14ac:dyDescent="0.25">
      <c r="A140" s="118"/>
      <c r="B140" s="118"/>
      <c r="C140" s="118"/>
      <c r="D140" s="118"/>
      <c r="E140" s="118"/>
    </row>
    <row r="141" spans="1:5" x14ac:dyDescent="0.25">
      <c r="A141" s="118"/>
      <c r="B141" s="118"/>
      <c r="C141" s="118"/>
      <c r="D141" s="118"/>
      <c r="E141" s="118"/>
    </row>
    <row r="142" spans="1:5" x14ac:dyDescent="0.25">
      <c r="A142" s="118"/>
      <c r="B142" s="118"/>
      <c r="C142" s="118"/>
      <c r="D142" s="118"/>
      <c r="E142" s="118"/>
    </row>
    <row r="143" spans="1:5" x14ac:dyDescent="0.25">
      <c r="A143" s="118"/>
      <c r="B143" s="118"/>
      <c r="C143" s="118"/>
      <c r="D143" s="118"/>
      <c r="E143" s="118"/>
    </row>
    <row r="144" spans="1:5" x14ac:dyDescent="0.25">
      <c r="A144" s="118"/>
      <c r="B144" s="118"/>
      <c r="C144" s="118"/>
      <c r="D144" s="118"/>
      <c r="E144" s="118"/>
    </row>
    <row r="145" spans="1:5" x14ac:dyDescent="0.25">
      <c r="A145" s="118"/>
      <c r="B145" s="118"/>
      <c r="C145" s="118"/>
      <c r="D145" s="118"/>
      <c r="E145" s="118"/>
    </row>
    <row r="146" spans="1:5" x14ac:dyDescent="0.25">
      <c r="A146" s="118"/>
      <c r="B146" s="118"/>
      <c r="C146" s="118"/>
      <c r="D146" s="118"/>
      <c r="E146" s="118"/>
    </row>
    <row r="147" spans="1:5" x14ac:dyDescent="0.25">
      <c r="A147" s="118"/>
      <c r="B147" s="118"/>
      <c r="C147" s="118"/>
      <c r="D147" s="118"/>
      <c r="E147" s="118"/>
    </row>
    <row r="148" spans="1:5" x14ac:dyDescent="0.25">
      <c r="A148" s="118"/>
      <c r="B148" s="118"/>
      <c r="C148" s="118"/>
      <c r="D148" s="118"/>
      <c r="E148" s="118"/>
    </row>
    <row r="149" spans="1:5" x14ac:dyDescent="0.25">
      <c r="A149" s="118"/>
      <c r="B149" s="118"/>
      <c r="C149" s="118"/>
      <c r="D149" s="118"/>
      <c r="E149" s="118"/>
    </row>
    <row r="150" spans="1:5" x14ac:dyDescent="0.25">
      <c r="A150" s="118"/>
      <c r="B150" s="118"/>
      <c r="C150" s="118"/>
      <c r="D150" s="118"/>
      <c r="E150" s="118"/>
    </row>
    <row r="151" spans="1:5" x14ac:dyDescent="0.25">
      <c r="A151" s="118"/>
      <c r="B151" s="118"/>
      <c r="C151" s="118"/>
      <c r="D151" s="118"/>
      <c r="E151" s="118"/>
    </row>
    <row r="152" spans="1:5" x14ac:dyDescent="0.25">
      <c r="A152" s="118"/>
      <c r="B152" s="118"/>
      <c r="C152" s="118"/>
      <c r="D152" s="118"/>
      <c r="E152" s="118"/>
    </row>
    <row r="153" spans="1:5" x14ac:dyDescent="0.25">
      <c r="A153" s="118"/>
      <c r="B153" s="118"/>
      <c r="C153" s="118"/>
      <c r="D153" s="118"/>
      <c r="E153" s="118"/>
    </row>
    <row r="154" spans="1:5" x14ac:dyDescent="0.25">
      <c r="A154" s="118"/>
      <c r="B154" s="118"/>
      <c r="C154" s="118"/>
      <c r="D154" s="118"/>
      <c r="E154" s="118"/>
    </row>
    <row r="155" spans="1:5" x14ac:dyDescent="0.25">
      <c r="A155" s="118"/>
      <c r="B155" s="118"/>
      <c r="C155" s="118"/>
      <c r="D155" s="118"/>
      <c r="E155" s="118"/>
    </row>
    <row r="156" spans="1:5" x14ac:dyDescent="0.25">
      <c r="A156" s="118"/>
      <c r="B156" s="118"/>
      <c r="C156" s="118"/>
      <c r="D156" s="118"/>
      <c r="E156" s="118"/>
    </row>
    <row r="157" spans="1:5" x14ac:dyDescent="0.25">
      <c r="A157" s="118"/>
      <c r="B157" s="118"/>
      <c r="C157" s="118"/>
      <c r="D157" s="118"/>
      <c r="E157" s="118"/>
    </row>
    <row r="158" spans="1:5" x14ac:dyDescent="0.25">
      <c r="A158" s="118"/>
      <c r="B158" s="118"/>
      <c r="C158" s="118"/>
      <c r="D158" s="118"/>
      <c r="E158" s="118"/>
    </row>
    <row r="159" spans="1:5" x14ac:dyDescent="0.25">
      <c r="A159" s="118"/>
      <c r="B159" s="118"/>
      <c r="C159" s="118"/>
      <c r="D159" s="118"/>
      <c r="E159" s="118"/>
    </row>
    <row r="160" spans="1:5" x14ac:dyDescent="0.25">
      <c r="A160" s="118"/>
      <c r="B160" s="118"/>
      <c r="C160" s="118"/>
      <c r="D160" s="118"/>
      <c r="E160" s="118"/>
    </row>
    <row r="161" spans="1:5" x14ac:dyDescent="0.25">
      <c r="A161" s="118"/>
      <c r="B161" s="118"/>
      <c r="C161" s="118"/>
      <c r="D161" s="118"/>
      <c r="E161" s="118"/>
    </row>
    <row r="162" spans="1:5" x14ac:dyDescent="0.25">
      <c r="A162" s="118"/>
      <c r="B162" s="118"/>
      <c r="C162" s="118"/>
      <c r="D162" s="118"/>
      <c r="E162" s="118"/>
    </row>
    <row r="163" spans="1:5" x14ac:dyDescent="0.25">
      <c r="A163" s="118"/>
      <c r="B163" s="118"/>
      <c r="C163" s="118"/>
      <c r="D163" s="118"/>
      <c r="E163" s="118"/>
    </row>
    <row r="164" spans="1:5" x14ac:dyDescent="0.25">
      <c r="A164" s="118"/>
      <c r="B164" s="118"/>
      <c r="C164" s="118"/>
      <c r="D164" s="118"/>
      <c r="E164" s="118"/>
    </row>
    <row r="165" spans="1:5" x14ac:dyDescent="0.25">
      <c r="A165" s="118"/>
      <c r="B165" s="118"/>
      <c r="C165" s="118"/>
      <c r="D165" s="118"/>
      <c r="E165" s="118"/>
    </row>
    <row r="166" spans="1:5" x14ac:dyDescent="0.25">
      <c r="A166" s="118"/>
      <c r="B166" s="118"/>
      <c r="C166" s="118"/>
      <c r="D166" s="118"/>
      <c r="E166" s="118"/>
    </row>
    <row r="167" spans="1:5" x14ac:dyDescent="0.25">
      <c r="A167" s="118"/>
      <c r="B167" s="118"/>
      <c r="C167" s="118"/>
      <c r="D167" s="118"/>
      <c r="E167" s="118"/>
    </row>
    <row r="168" spans="1:5" x14ac:dyDescent="0.25">
      <c r="A168" s="118"/>
      <c r="B168" s="118"/>
      <c r="C168" s="118"/>
      <c r="D168" s="118"/>
      <c r="E168" s="118"/>
    </row>
    <row r="169" spans="1:5" x14ac:dyDescent="0.25">
      <c r="A169" s="118"/>
      <c r="B169" s="118"/>
      <c r="C169" s="118"/>
      <c r="D169" s="118"/>
      <c r="E169" s="118"/>
    </row>
    <row r="170" spans="1:5" x14ac:dyDescent="0.25">
      <c r="A170" s="118"/>
      <c r="B170" s="118"/>
      <c r="C170" s="118"/>
      <c r="D170" s="118"/>
      <c r="E170" s="118"/>
    </row>
    <row r="171" spans="1:5" x14ac:dyDescent="0.25">
      <c r="A171" s="118"/>
      <c r="B171" s="118"/>
      <c r="C171" s="118"/>
      <c r="D171" s="118"/>
      <c r="E171" s="118"/>
    </row>
    <row r="172" spans="1:5" x14ac:dyDescent="0.25">
      <c r="A172" s="118"/>
      <c r="B172" s="118"/>
      <c r="C172" s="118"/>
      <c r="D172" s="118"/>
      <c r="E172" s="118"/>
    </row>
    <row r="173" spans="1:5" x14ac:dyDescent="0.25">
      <c r="A173" s="118"/>
      <c r="B173" s="118"/>
      <c r="C173" s="118"/>
      <c r="D173" s="118"/>
      <c r="E173" s="118"/>
    </row>
    <row r="174" spans="1:5" x14ac:dyDescent="0.25">
      <c r="A174" s="118"/>
      <c r="B174" s="118"/>
      <c r="C174" s="118"/>
      <c r="D174" s="118"/>
      <c r="E174" s="118"/>
    </row>
    <row r="175" spans="1:5" x14ac:dyDescent="0.25">
      <c r="A175" s="118"/>
      <c r="B175" s="118"/>
      <c r="C175" s="118"/>
      <c r="D175" s="118"/>
      <c r="E175" s="118"/>
    </row>
    <row r="411" spans="3:3" x14ac:dyDescent="0.25">
      <c r="C411" s="139"/>
    </row>
    <row r="483" customFormat="1" ht="13.5" x14ac:dyDescent="0.25"/>
    <row r="484" customFormat="1" ht="13.5" x14ac:dyDescent="0.25"/>
    <row r="1644" spans="2:2" x14ac:dyDescent="0.25">
      <c r="B1644" s="141"/>
    </row>
    <row r="1780" spans="5:5" x14ac:dyDescent="0.25">
      <c r="E1780" s="139"/>
    </row>
    <row r="1861" spans="1:5" x14ac:dyDescent="0.25">
      <c r="A1861" s="118"/>
      <c r="B1861" s="118"/>
      <c r="C1861" s="118"/>
      <c r="D1861" s="118"/>
      <c r="E1861" s="118"/>
    </row>
    <row r="1862" spans="1:5" x14ac:dyDescent="0.25">
      <c r="A1862" s="118"/>
      <c r="B1862" s="118"/>
      <c r="C1862" s="118"/>
      <c r="D1862" s="118"/>
      <c r="E1862" s="118"/>
    </row>
    <row r="1863" spans="1:5" x14ac:dyDescent="0.25">
      <c r="A1863" s="118"/>
      <c r="B1863" s="118"/>
      <c r="C1863" s="118"/>
      <c r="D1863" s="118"/>
      <c r="E1863" s="118"/>
    </row>
    <row r="1864" spans="1:5" x14ac:dyDescent="0.25">
      <c r="A1864" s="118"/>
      <c r="B1864" s="118"/>
      <c r="C1864" s="118"/>
      <c r="D1864" s="118"/>
      <c r="E1864" s="118"/>
    </row>
    <row r="1865" spans="1:5" x14ac:dyDescent="0.25">
      <c r="A1865" s="118"/>
      <c r="B1865" s="118"/>
      <c r="C1865" s="118"/>
      <c r="D1865" s="118"/>
      <c r="E1865" s="118"/>
    </row>
    <row r="1866" spans="1:5" x14ac:dyDescent="0.25">
      <c r="A1866" s="118"/>
      <c r="B1866" s="118"/>
      <c r="C1866" s="118"/>
      <c r="D1866" s="118"/>
      <c r="E1866" s="118"/>
    </row>
    <row r="1867" spans="1:5" x14ac:dyDescent="0.25">
      <c r="A1867" s="118"/>
      <c r="B1867" s="118"/>
      <c r="C1867" s="118"/>
      <c r="D1867" s="118"/>
      <c r="E1867" s="118"/>
    </row>
    <row r="1868" spans="1:5" x14ac:dyDescent="0.25">
      <c r="A1868" s="118"/>
      <c r="B1868" s="118"/>
      <c r="C1868" s="118"/>
      <c r="D1868" s="118"/>
      <c r="E1868" s="118"/>
    </row>
    <row r="1869" spans="1:5" x14ac:dyDescent="0.25">
      <c r="A1869" s="118"/>
      <c r="B1869" s="118"/>
      <c r="C1869" s="118"/>
      <c r="D1869" s="118"/>
      <c r="E1869" s="118"/>
    </row>
    <row r="1870" spans="1:5" x14ac:dyDescent="0.25">
      <c r="A1870" s="118"/>
      <c r="B1870" s="118"/>
      <c r="C1870" s="118"/>
      <c r="D1870" s="118"/>
      <c r="E1870" s="118"/>
    </row>
    <row r="1871" spans="1:5" x14ac:dyDescent="0.25">
      <c r="A1871" s="118"/>
      <c r="B1871" s="118"/>
      <c r="C1871" s="118"/>
      <c r="D1871" s="118"/>
      <c r="E1871" s="118"/>
    </row>
    <row r="1872" spans="1:5" x14ac:dyDescent="0.25">
      <c r="A1872" s="118"/>
      <c r="B1872" s="118"/>
      <c r="C1872" s="118"/>
      <c r="D1872" s="118"/>
      <c r="E1872" s="118"/>
    </row>
    <row r="1873" spans="1:5" x14ac:dyDescent="0.25">
      <c r="A1873" s="118"/>
      <c r="B1873" s="118"/>
      <c r="C1873" s="118"/>
      <c r="D1873" s="118"/>
      <c r="E1873" s="118"/>
    </row>
    <row r="1874" spans="1:5" x14ac:dyDescent="0.25">
      <c r="A1874" s="118"/>
      <c r="B1874" s="118"/>
      <c r="C1874" s="118"/>
      <c r="D1874" s="118"/>
      <c r="E1874" s="118"/>
    </row>
    <row r="1875" spans="1:5" x14ac:dyDescent="0.25">
      <c r="A1875" s="118"/>
      <c r="B1875" s="118"/>
      <c r="C1875" s="118"/>
      <c r="D1875" s="118"/>
      <c r="E1875" s="118"/>
    </row>
    <row r="1876" spans="1:5" x14ac:dyDescent="0.25">
      <c r="A1876" s="118"/>
      <c r="B1876" s="118"/>
      <c r="C1876" s="118"/>
      <c r="D1876" s="118"/>
      <c r="E1876" s="118"/>
    </row>
    <row r="1877" spans="1:5" x14ac:dyDescent="0.25">
      <c r="A1877" s="118"/>
      <c r="B1877" s="118"/>
      <c r="C1877" s="118"/>
      <c r="D1877" s="118"/>
      <c r="E1877" s="118"/>
    </row>
    <row r="1878" spans="1:5" x14ac:dyDescent="0.25">
      <c r="A1878" s="118"/>
      <c r="B1878" s="118"/>
      <c r="C1878" s="118"/>
      <c r="D1878" s="118"/>
      <c r="E1878" s="118"/>
    </row>
    <row r="1879" spans="1:5" x14ac:dyDescent="0.25">
      <c r="A1879" s="118"/>
      <c r="B1879" s="118"/>
      <c r="C1879" s="118"/>
      <c r="D1879" s="118"/>
      <c r="E1879" s="118"/>
    </row>
    <row r="1880" spans="1:5" x14ac:dyDescent="0.25">
      <c r="A1880" s="118"/>
      <c r="B1880" s="118"/>
      <c r="C1880" s="118"/>
      <c r="D1880" s="118"/>
      <c r="E1880" s="118"/>
    </row>
    <row r="1881" spans="1:5" x14ac:dyDescent="0.25">
      <c r="A1881" s="118"/>
      <c r="B1881" s="118"/>
      <c r="C1881" s="118"/>
      <c r="D1881" s="118"/>
      <c r="E1881" s="118"/>
    </row>
    <row r="1882" spans="1:5" x14ac:dyDescent="0.25">
      <c r="A1882" s="118"/>
      <c r="B1882" s="118"/>
      <c r="C1882" s="118"/>
      <c r="D1882" s="118"/>
      <c r="E1882" s="118"/>
    </row>
    <row r="1883" spans="1:5" x14ac:dyDescent="0.25">
      <c r="A1883" s="118"/>
      <c r="B1883" s="118"/>
      <c r="C1883" s="118"/>
      <c r="D1883" s="118"/>
      <c r="E1883" s="118"/>
    </row>
    <row r="1884" spans="1:5" x14ac:dyDescent="0.25">
      <c r="A1884" s="118"/>
      <c r="B1884" s="118"/>
      <c r="C1884" s="118"/>
      <c r="D1884" s="118"/>
      <c r="E1884" s="118"/>
    </row>
    <row r="1885" spans="1:5" x14ac:dyDescent="0.25">
      <c r="A1885" s="118"/>
      <c r="B1885" s="118"/>
      <c r="C1885" s="118"/>
      <c r="D1885" s="118"/>
      <c r="E1885" s="118"/>
    </row>
    <row r="1886" spans="1:5" x14ac:dyDescent="0.25">
      <c r="A1886" s="118"/>
      <c r="B1886" s="118"/>
      <c r="C1886" s="118"/>
      <c r="D1886" s="118"/>
      <c r="E1886" s="118"/>
    </row>
    <row r="1887" spans="1:5" x14ac:dyDescent="0.25">
      <c r="A1887" s="118"/>
      <c r="B1887" s="118"/>
      <c r="C1887" s="118"/>
      <c r="D1887" s="118"/>
      <c r="E1887" s="118"/>
    </row>
    <row r="1888" spans="1:5" x14ac:dyDescent="0.25">
      <c r="A1888" s="118"/>
      <c r="B1888" s="118"/>
      <c r="C1888" s="118"/>
      <c r="D1888" s="118"/>
      <c r="E1888" s="118"/>
    </row>
    <row r="1889" spans="1:5" x14ac:dyDescent="0.25">
      <c r="A1889" s="118"/>
      <c r="B1889" s="118"/>
      <c r="C1889" s="118"/>
      <c r="D1889" s="118"/>
      <c r="E1889" s="118"/>
    </row>
    <row r="1890" spans="1:5" x14ac:dyDescent="0.25">
      <c r="A1890" s="118"/>
      <c r="B1890" s="118"/>
      <c r="C1890" s="118"/>
      <c r="D1890" s="118"/>
      <c r="E1890" s="118"/>
    </row>
    <row r="1891" spans="1:5" x14ac:dyDescent="0.25">
      <c r="A1891" s="118"/>
      <c r="B1891" s="118"/>
      <c r="C1891" s="118"/>
      <c r="D1891" s="118"/>
      <c r="E1891" s="118"/>
    </row>
    <row r="1892" spans="1:5" x14ac:dyDescent="0.25">
      <c r="A1892" s="118"/>
      <c r="B1892" s="118"/>
      <c r="C1892" s="118"/>
      <c r="D1892" s="118"/>
      <c r="E1892" s="118"/>
    </row>
    <row r="1893" spans="1:5" x14ac:dyDescent="0.25">
      <c r="A1893" s="118"/>
      <c r="B1893" s="118"/>
      <c r="C1893" s="118"/>
      <c r="D1893" s="118"/>
      <c r="E1893" s="118"/>
    </row>
    <row r="1894" spans="1:5" x14ac:dyDescent="0.25">
      <c r="A1894" s="118"/>
      <c r="B1894" s="118"/>
      <c r="C1894" s="118"/>
      <c r="D1894" s="118"/>
      <c r="E1894" s="118"/>
    </row>
    <row r="1895" spans="1:5" x14ac:dyDescent="0.25">
      <c r="A1895" s="118"/>
      <c r="B1895" s="118"/>
      <c r="C1895" s="118"/>
      <c r="D1895" s="118"/>
      <c r="E1895" s="118"/>
    </row>
    <row r="1896" spans="1:5" x14ac:dyDescent="0.25">
      <c r="A1896" s="118"/>
      <c r="B1896" s="118"/>
      <c r="C1896" s="118"/>
      <c r="D1896" s="118"/>
      <c r="E1896" s="118"/>
    </row>
    <row r="1897" spans="1:5" x14ac:dyDescent="0.25">
      <c r="A1897" s="118"/>
      <c r="B1897" s="118"/>
      <c r="C1897" s="118"/>
      <c r="D1897" s="118"/>
      <c r="E1897" s="118"/>
    </row>
    <row r="1898" spans="1:5" x14ac:dyDescent="0.25">
      <c r="A1898" s="118"/>
      <c r="B1898" s="118"/>
      <c r="C1898" s="118"/>
      <c r="D1898" s="118"/>
      <c r="E1898" s="118"/>
    </row>
    <row r="1899" spans="1:5" x14ac:dyDescent="0.25">
      <c r="A1899" s="118"/>
      <c r="B1899" s="118"/>
      <c r="C1899" s="118"/>
      <c r="D1899" s="118"/>
      <c r="E1899" s="118"/>
    </row>
    <row r="1900" spans="1:5" x14ac:dyDescent="0.25">
      <c r="A1900" s="118"/>
      <c r="B1900" s="118"/>
      <c r="C1900" s="118"/>
      <c r="D1900" s="118"/>
      <c r="E1900" s="118"/>
    </row>
    <row r="1901" spans="1:5" x14ac:dyDescent="0.25">
      <c r="A1901" s="118"/>
      <c r="B1901" s="118"/>
      <c r="C1901" s="118"/>
      <c r="D1901" s="118"/>
      <c r="E1901" s="118"/>
    </row>
    <row r="1902" spans="1:5" x14ac:dyDescent="0.25">
      <c r="A1902" s="118"/>
      <c r="B1902" s="118"/>
      <c r="C1902" s="118"/>
      <c r="D1902" s="118"/>
      <c r="E1902" s="118"/>
    </row>
    <row r="1903" spans="1:5" x14ac:dyDescent="0.25">
      <c r="A1903" s="118"/>
      <c r="B1903" s="118"/>
      <c r="C1903" s="118"/>
      <c r="D1903" s="118"/>
      <c r="E1903" s="118"/>
    </row>
    <row r="1904" spans="1:5" x14ac:dyDescent="0.25">
      <c r="A1904" s="118"/>
      <c r="B1904" s="118"/>
      <c r="C1904" s="118"/>
      <c r="D1904" s="118"/>
      <c r="E1904" s="118"/>
    </row>
    <row r="1905" spans="1:5" x14ac:dyDescent="0.25">
      <c r="A1905" s="118"/>
      <c r="B1905" s="118"/>
      <c r="C1905" s="118"/>
      <c r="D1905" s="118"/>
      <c r="E1905" s="118"/>
    </row>
    <row r="1906" spans="1:5" x14ac:dyDescent="0.25">
      <c r="A1906" s="118"/>
      <c r="B1906" s="118"/>
      <c r="C1906" s="118"/>
      <c r="D1906" s="118"/>
      <c r="E1906" s="118"/>
    </row>
    <row r="1907" spans="1:5" x14ac:dyDescent="0.25">
      <c r="A1907" s="118"/>
      <c r="B1907" s="118"/>
      <c r="C1907" s="118"/>
      <c r="D1907" s="118"/>
      <c r="E1907" s="118"/>
    </row>
    <row r="1908" spans="1:5" x14ac:dyDescent="0.25">
      <c r="A1908" s="118"/>
      <c r="B1908" s="118"/>
      <c r="C1908" s="118"/>
      <c r="D1908" s="118"/>
      <c r="E1908" s="118"/>
    </row>
    <row r="1909" spans="1:5" x14ac:dyDescent="0.25">
      <c r="A1909" s="118"/>
      <c r="B1909" s="118"/>
      <c r="C1909" s="118"/>
      <c r="D1909" s="118"/>
      <c r="E1909" s="118"/>
    </row>
    <row r="1910" spans="1:5" x14ac:dyDescent="0.25">
      <c r="A1910" s="118"/>
      <c r="B1910" s="118"/>
      <c r="C1910" s="118"/>
      <c r="D1910" s="118"/>
      <c r="E1910" s="118"/>
    </row>
    <row r="1911" spans="1:5" x14ac:dyDescent="0.25">
      <c r="A1911" s="118"/>
      <c r="B1911" s="118"/>
      <c r="C1911" s="118"/>
      <c r="D1911" s="118"/>
      <c r="E1911" s="118"/>
    </row>
    <row r="1912" spans="1:5" x14ac:dyDescent="0.25">
      <c r="A1912" s="118"/>
      <c r="B1912" s="118"/>
      <c r="C1912" s="118"/>
      <c r="D1912" s="118"/>
      <c r="E1912" s="118"/>
    </row>
    <row r="1913" spans="1:5" x14ac:dyDescent="0.25">
      <c r="A1913" s="118"/>
      <c r="B1913" s="118"/>
      <c r="C1913" s="118"/>
      <c r="D1913" s="118"/>
      <c r="E1913" s="118"/>
    </row>
    <row r="1914" spans="1:5" x14ac:dyDescent="0.25">
      <c r="A1914" s="118"/>
      <c r="B1914" s="118"/>
      <c r="C1914" s="118"/>
      <c r="D1914" s="118"/>
      <c r="E1914" s="118"/>
    </row>
    <row r="1915" spans="1:5" x14ac:dyDescent="0.25">
      <c r="A1915" s="118"/>
      <c r="B1915" s="118"/>
      <c r="C1915" s="118"/>
      <c r="D1915" s="118"/>
      <c r="E1915" s="118"/>
    </row>
    <row r="1916" spans="1:5" x14ac:dyDescent="0.25">
      <c r="A1916" s="118"/>
      <c r="B1916" s="118"/>
      <c r="C1916" s="118"/>
      <c r="D1916" s="118"/>
      <c r="E1916" s="118"/>
    </row>
    <row r="1917" spans="1:5" x14ac:dyDescent="0.25">
      <c r="A1917" s="118"/>
      <c r="B1917" s="118"/>
      <c r="C1917" s="118"/>
      <c r="D1917" s="118"/>
      <c r="E1917" s="118"/>
    </row>
    <row r="1918" spans="1:5" x14ac:dyDescent="0.25">
      <c r="A1918" s="118"/>
      <c r="B1918" s="118"/>
      <c r="C1918" s="118"/>
      <c r="D1918" s="118"/>
      <c r="E1918" s="118"/>
    </row>
    <row r="1919" spans="1:5" x14ac:dyDescent="0.25">
      <c r="A1919" s="118"/>
      <c r="B1919" s="118"/>
      <c r="C1919" s="118"/>
      <c r="D1919" s="118"/>
      <c r="E1919" s="118"/>
    </row>
    <row r="1920" spans="1:5" x14ac:dyDescent="0.25">
      <c r="A1920" s="118"/>
      <c r="B1920" s="118"/>
      <c r="C1920" s="118"/>
      <c r="D1920" s="118"/>
      <c r="E1920" s="118"/>
    </row>
    <row r="1921" spans="1:5" x14ac:dyDescent="0.25">
      <c r="A1921" s="118"/>
      <c r="B1921" s="118"/>
      <c r="C1921" s="118"/>
      <c r="D1921" s="118"/>
      <c r="E1921" s="118"/>
    </row>
    <row r="1922" spans="1:5" x14ac:dyDescent="0.25">
      <c r="A1922" s="118"/>
      <c r="B1922" s="118"/>
      <c r="C1922" s="118"/>
      <c r="D1922" s="118"/>
      <c r="E1922" s="118"/>
    </row>
    <row r="1923" spans="1:5" x14ac:dyDescent="0.25">
      <c r="A1923" s="118"/>
      <c r="B1923" s="118"/>
      <c r="C1923" s="118"/>
      <c r="D1923" s="118"/>
      <c r="E1923" s="118"/>
    </row>
    <row r="1924" spans="1:5" x14ac:dyDescent="0.25">
      <c r="A1924" s="118"/>
      <c r="B1924" s="118"/>
      <c r="C1924" s="118"/>
      <c r="D1924" s="118"/>
      <c r="E1924" s="118"/>
    </row>
    <row r="1925" spans="1:5" x14ac:dyDescent="0.25">
      <c r="A1925" s="118"/>
      <c r="B1925" s="118"/>
      <c r="C1925" s="118"/>
      <c r="D1925" s="118"/>
      <c r="E1925" s="118"/>
    </row>
    <row r="1926" spans="1:5" x14ac:dyDescent="0.25">
      <c r="A1926" s="118"/>
      <c r="B1926" s="118"/>
      <c r="C1926" s="118"/>
      <c r="D1926" s="118"/>
      <c r="E1926" s="118"/>
    </row>
    <row r="1927" spans="1:5" x14ac:dyDescent="0.25">
      <c r="A1927" s="118"/>
      <c r="B1927" s="118"/>
      <c r="C1927" s="118"/>
      <c r="D1927" s="118"/>
      <c r="E1927" s="118"/>
    </row>
    <row r="1928" spans="1:5" x14ac:dyDescent="0.25">
      <c r="A1928" s="118"/>
      <c r="B1928" s="118"/>
      <c r="C1928" s="118"/>
      <c r="D1928" s="118"/>
      <c r="E1928" s="118"/>
    </row>
    <row r="1929" spans="1:5" x14ac:dyDescent="0.25">
      <c r="A1929" s="118"/>
      <c r="B1929" s="118"/>
      <c r="C1929" s="118"/>
      <c r="D1929" s="118"/>
      <c r="E1929" s="118"/>
    </row>
    <row r="1930" spans="1:5" x14ac:dyDescent="0.25">
      <c r="A1930" s="118"/>
      <c r="B1930" s="118"/>
      <c r="C1930" s="118"/>
      <c r="D1930" s="118"/>
      <c r="E1930" s="118"/>
    </row>
    <row r="1931" spans="1:5" x14ac:dyDescent="0.25">
      <c r="A1931" s="118"/>
      <c r="B1931" s="118"/>
      <c r="C1931" s="118"/>
      <c r="D1931" s="118"/>
      <c r="E1931" s="118"/>
    </row>
    <row r="1932" spans="1:5" x14ac:dyDescent="0.25">
      <c r="A1932" s="118"/>
      <c r="B1932" s="118"/>
      <c r="C1932" s="118"/>
      <c r="D1932" s="118"/>
      <c r="E1932" s="118"/>
    </row>
    <row r="1933" spans="1:5" x14ac:dyDescent="0.25">
      <c r="A1933" s="118"/>
      <c r="B1933" s="118"/>
      <c r="C1933" s="118"/>
      <c r="D1933" s="118"/>
      <c r="E1933" s="118"/>
    </row>
    <row r="1934" spans="1:5" x14ac:dyDescent="0.25">
      <c r="A1934" s="118"/>
      <c r="B1934" s="118"/>
      <c r="C1934" s="118"/>
      <c r="D1934" s="118"/>
      <c r="E1934" s="118"/>
    </row>
    <row r="1935" spans="1:5" x14ac:dyDescent="0.25">
      <c r="A1935" s="118"/>
      <c r="B1935" s="118"/>
      <c r="C1935" s="118"/>
      <c r="D1935" s="118"/>
      <c r="E1935" s="118"/>
    </row>
    <row r="1936" spans="1:5" x14ac:dyDescent="0.25">
      <c r="A1936" s="118"/>
      <c r="B1936" s="118"/>
      <c r="C1936" s="118"/>
      <c r="D1936" s="118"/>
      <c r="E1936" s="118"/>
    </row>
    <row r="1937" spans="1:5" x14ac:dyDescent="0.25">
      <c r="A1937" s="118"/>
      <c r="B1937" s="118"/>
      <c r="C1937" s="118"/>
      <c r="D1937" s="118"/>
      <c r="E1937" s="118"/>
    </row>
    <row r="1938" spans="1:5" x14ac:dyDescent="0.25">
      <c r="A1938" s="118"/>
      <c r="B1938" s="118"/>
      <c r="C1938" s="118"/>
      <c r="D1938" s="118"/>
      <c r="E1938" s="118"/>
    </row>
    <row r="1939" spans="1:5" x14ac:dyDescent="0.25">
      <c r="A1939" s="118"/>
      <c r="B1939" s="118"/>
      <c r="C1939" s="118"/>
      <c r="D1939" s="118"/>
      <c r="E1939" s="118"/>
    </row>
    <row r="1940" spans="1:5" x14ac:dyDescent="0.25">
      <c r="A1940" s="118"/>
      <c r="B1940" s="118"/>
      <c r="C1940" s="118"/>
      <c r="D1940" s="118"/>
      <c r="E1940" s="118"/>
    </row>
    <row r="1941" spans="1:5" x14ac:dyDescent="0.25">
      <c r="A1941" s="118"/>
      <c r="B1941" s="118"/>
      <c r="C1941" s="118"/>
      <c r="D1941" s="118"/>
      <c r="E1941" s="118"/>
    </row>
    <row r="1942" spans="1:5" x14ac:dyDescent="0.25">
      <c r="A1942" s="118"/>
      <c r="B1942" s="118"/>
      <c r="C1942" s="118"/>
      <c r="D1942" s="118"/>
      <c r="E1942" s="118"/>
    </row>
    <row r="1943" spans="1:5" x14ac:dyDescent="0.25">
      <c r="A1943" s="118"/>
      <c r="B1943" s="118"/>
      <c r="C1943" s="118"/>
      <c r="D1943" s="118"/>
      <c r="E1943" s="118"/>
    </row>
    <row r="1944" spans="1:5" x14ac:dyDescent="0.25">
      <c r="A1944" s="118"/>
      <c r="B1944" s="118"/>
      <c r="C1944" s="118"/>
      <c r="D1944" s="118"/>
      <c r="E1944" s="118"/>
    </row>
    <row r="1945" spans="1:5" x14ac:dyDescent="0.25">
      <c r="A1945" s="118"/>
      <c r="B1945" s="118"/>
      <c r="C1945" s="118"/>
      <c r="D1945" s="118"/>
      <c r="E1945" s="118"/>
    </row>
    <row r="1946" spans="1:5" x14ac:dyDescent="0.25">
      <c r="A1946" s="118"/>
      <c r="B1946" s="118"/>
      <c r="C1946" s="118"/>
      <c r="D1946" s="118"/>
      <c r="E1946" s="118"/>
    </row>
    <row r="1947" spans="1:5" x14ac:dyDescent="0.25">
      <c r="A1947" s="118"/>
      <c r="B1947" s="118"/>
      <c r="C1947" s="118"/>
      <c r="D1947" s="118"/>
      <c r="E1947" s="118"/>
    </row>
    <row r="1948" spans="1:5" x14ac:dyDescent="0.25">
      <c r="A1948" s="118"/>
      <c r="B1948" s="118"/>
      <c r="C1948" s="118"/>
      <c r="D1948" s="118"/>
      <c r="E1948" s="118"/>
    </row>
    <row r="1949" spans="1:5" x14ac:dyDescent="0.25">
      <c r="A1949" s="118"/>
      <c r="B1949" s="118"/>
      <c r="C1949" s="118"/>
      <c r="D1949" s="118"/>
      <c r="E1949" s="118"/>
    </row>
    <row r="1950" spans="1:5" x14ac:dyDescent="0.25">
      <c r="A1950" s="118"/>
      <c r="B1950" s="118"/>
      <c r="C1950" s="118"/>
      <c r="D1950" s="118"/>
      <c r="E1950" s="118"/>
    </row>
    <row r="1951" spans="1:5" x14ac:dyDescent="0.25">
      <c r="A1951" s="118"/>
      <c r="B1951" s="118"/>
      <c r="C1951" s="118"/>
      <c r="D1951" s="118"/>
      <c r="E1951" s="118"/>
    </row>
    <row r="1952" spans="1:5" x14ac:dyDescent="0.25">
      <c r="A1952" s="118"/>
      <c r="B1952" s="118"/>
      <c r="C1952" s="118"/>
      <c r="D1952" s="118"/>
      <c r="E1952" s="118"/>
    </row>
    <row r="1953" spans="1:5" x14ac:dyDescent="0.25">
      <c r="A1953" s="118"/>
      <c r="B1953" s="118"/>
      <c r="C1953" s="118"/>
      <c r="D1953" s="118"/>
      <c r="E1953" s="118"/>
    </row>
    <row r="1954" spans="1:5" x14ac:dyDescent="0.25">
      <c r="A1954" s="118"/>
      <c r="B1954" s="118"/>
      <c r="C1954" s="118"/>
      <c r="D1954" s="118"/>
      <c r="E1954" s="118"/>
    </row>
    <row r="1955" spans="1:5" x14ac:dyDescent="0.25">
      <c r="A1955" s="118"/>
      <c r="B1955" s="118"/>
      <c r="C1955" s="118"/>
      <c r="D1955" s="118"/>
      <c r="E1955" s="118"/>
    </row>
    <row r="1956" spans="1:5" x14ac:dyDescent="0.25">
      <c r="A1956" s="118"/>
      <c r="B1956" s="118"/>
      <c r="C1956" s="118"/>
      <c r="D1956" s="118"/>
      <c r="E1956" s="118"/>
    </row>
    <row r="1957" spans="1:5" x14ac:dyDescent="0.25">
      <c r="A1957" s="118"/>
      <c r="B1957" s="118"/>
      <c r="C1957" s="118"/>
      <c r="D1957" s="118"/>
      <c r="E1957" s="118"/>
    </row>
    <row r="1958" spans="1:5" x14ac:dyDescent="0.25">
      <c r="A1958" s="118"/>
      <c r="B1958" s="118"/>
      <c r="C1958" s="118"/>
      <c r="D1958" s="118"/>
      <c r="E1958" s="118"/>
    </row>
    <row r="1959" spans="1:5" x14ac:dyDescent="0.25">
      <c r="A1959" s="118"/>
      <c r="B1959" s="118"/>
      <c r="C1959" s="118"/>
      <c r="D1959" s="118"/>
      <c r="E1959" s="118"/>
    </row>
    <row r="1960" spans="1:5" x14ac:dyDescent="0.25">
      <c r="A1960" s="118"/>
      <c r="B1960" s="118"/>
      <c r="C1960" s="118"/>
      <c r="D1960" s="118"/>
      <c r="E1960" s="118"/>
    </row>
    <row r="1961" spans="1:5" x14ac:dyDescent="0.25">
      <c r="A1961" s="118"/>
      <c r="B1961" s="118"/>
      <c r="C1961" s="118"/>
      <c r="D1961" s="118"/>
      <c r="E1961" s="118"/>
    </row>
    <row r="1962" spans="1:5" x14ac:dyDescent="0.25">
      <c r="A1962" s="118"/>
      <c r="B1962" s="118"/>
      <c r="C1962" s="118"/>
      <c r="D1962" s="118"/>
      <c r="E1962" s="118"/>
    </row>
    <row r="1963" spans="1:5" x14ac:dyDescent="0.25">
      <c r="A1963" s="118"/>
      <c r="B1963" s="118"/>
      <c r="C1963" s="118"/>
      <c r="D1963" s="118"/>
      <c r="E1963" s="118"/>
    </row>
    <row r="1964" spans="1:5" x14ac:dyDescent="0.25">
      <c r="A1964" s="118"/>
      <c r="B1964" s="118"/>
      <c r="C1964" s="118"/>
      <c r="D1964" s="118"/>
      <c r="E1964" s="118"/>
    </row>
    <row r="1965" spans="1:5" x14ac:dyDescent="0.25">
      <c r="A1965" s="118"/>
      <c r="B1965" s="118"/>
      <c r="C1965" s="118"/>
      <c r="D1965" s="118"/>
      <c r="E1965" s="118"/>
    </row>
    <row r="1966" spans="1:5" x14ac:dyDescent="0.25">
      <c r="A1966" s="118"/>
      <c r="B1966" s="118"/>
      <c r="C1966" s="118"/>
      <c r="D1966" s="118"/>
      <c r="E1966" s="118"/>
    </row>
    <row r="1967" spans="1:5" x14ac:dyDescent="0.25">
      <c r="A1967" s="118"/>
      <c r="B1967" s="118"/>
      <c r="C1967" s="118"/>
      <c r="D1967" s="118"/>
      <c r="E1967" s="118"/>
    </row>
    <row r="1968" spans="1:5" x14ac:dyDescent="0.25">
      <c r="A1968" s="118"/>
      <c r="B1968" s="118"/>
      <c r="C1968" s="118"/>
      <c r="D1968" s="118"/>
      <c r="E1968" s="118"/>
    </row>
    <row r="1969" spans="1:5" x14ac:dyDescent="0.25">
      <c r="A1969" s="118"/>
      <c r="B1969" s="118"/>
      <c r="C1969" s="118"/>
      <c r="D1969" s="118"/>
      <c r="E1969" s="118"/>
    </row>
    <row r="1970" spans="1:5" x14ac:dyDescent="0.25">
      <c r="A1970" s="118"/>
      <c r="B1970" s="118"/>
      <c r="C1970" s="118"/>
      <c r="D1970" s="118"/>
      <c r="E1970" s="118"/>
    </row>
    <row r="1971" spans="1:5" x14ac:dyDescent="0.25">
      <c r="A1971" s="118"/>
      <c r="B1971" s="118"/>
      <c r="C1971" s="118"/>
      <c r="D1971" s="118"/>
      <c r="E1971" s="118"/>
    </row>
    <row r="1972" spans="1:5" x14ac:dyDescent="0.25">
      <c r="A1972" s="118"/>
      <c r="B1972" s="118"/>
      <c r="C1972" s="118"/>
      <c r="D1972" s="118"/>
      <c r="E1972" s="118"/>
    </row>
    <row r="1973" spans="1:5" x14ac:dyDescent="0.25">
      <c r="A1973" s="118"/>
      <c r="B1973" s="118"/>
      <c r="C1973" s="118"/>
      <c r="D1973" s="118"/>
      <c r="E1973" s="118"/>
    </row>
    <row r="1974" spans="1:5" x14ac:dyDescent="0.25">
      <c r="A1974" s="118"/>
      <c r="B1974" s="118"/>
      <c r="C1974" s="118"/>
      <c r="D1974" s="118"/>
      <c r="E1974" s="118"/>
    </row>
    <row r="1975" spans="1:5" x14ac:dyDescent="0.25">
      <c r="A1975" s="118"/>
      <c r="B1975" s="118"/>
      <c r="C1975" s="118"/>
      <c r="D1975" s="118"/>
      <c r="E1975" s="118"/>
    </row>
    <row r="1976" spans="1:5" x14ac:dyDescent="0.25">
      <c r="A1976" s="118"/>
      <c r="B1976" s="118"/>
      <c r="C1976" s="118"/>
      <c r="D1976" s="118"/>
      <c r="E1976" s="118"/>
    </row>
    <row r="1977" spans="1:5" x14ac:dyDescent="0.25">
      <c r="A1977" s="118"/>
      <c r="B1977" s="118"/>
      <c r="C1977" s="118"/>
      <c r="D1977" s="118"/>
      <c r="E1977" s="118"/>
    </row>
    <row r="1978" spans="1:5" x14ac:dyDescent="0.25">
      <c r="A1978" s="118"/>
      <c r="B1978" s="118"/>
      <c r="C1978" s="118"/>
      <c r="D1978" s="118"/>
      <c r="E1978" s="118"/>
    </row>
    <row r="1979" spans="1:5" x14ac:dyDescent="0.25">
      <c r="A1979" s="118"/>
      <c r="B1979" s="118"/>
      <c r="C1979" s="118"/>
      <c r="D1979" s="118"/>
      <c r="E1979" s="118"/>
    </row>
    <row r="1980" spans="1:5" x14ac:dyDescent="0.25">
      <c r="A1980" s="118"/>
      <c r="B1980" s="118"/>
      <c r="C1980" s="118"/>
      <c r="D1980" s="118"/>
      <c r="E1980" s="118"/>
    </row>
    <row r="1981" spans="1:5" x14ac:dyDescent="0.25">
      <c r="A1981" s="118"/>
      <c r="B1981" s="118"/>
      <c r="C1981" s="118"/>
      <c r="D1981" s="118"/>
      <c r="E1981" s="118"/>
    </row>
    <row r="1982" spans="1:5" x14ac:dyDescent="0.25">
      <c r="A1982" s="118"/>
      <c r="B1982" s="118"/>
      <c r="C1982" s="118"/>
      <c r="D1982" s="118"/>
      <c r="E1982" s="118"/>
    </row>
    <row r="1983" spans="1:5" x14ac:dyDescent="0.25">
      <c r="A1983" s="118"/>
      <c r="B1983" s="118"/>
      <c r="C1983" s="118"/>
      <c r="D1983" s="118"/>
      <c r="E1983" s="118"/>
    </row>
    <row r="1984" spans="1:5" x14ac:dyDescent="0.25">
      <c r="A1984" s="118"/>
      <c r="B1984" s="118"/>
      <c r="C1984" s="118"/>
      <c r="D1984" s="118"/>
      <c r="E1984" s="118"/>
    </row>
    <row r="1985" spans="1:5" x14ac:dyDescent="0.25">
      <c r="A1985" s="118"/>
      <c r="B1985" s="118"/>
      <c r="C1985" s="118"/>
      <c r="D1985" s="118"/>
      <c r="E1985" s="118"/>
    </row>
    <row r="1986" spans="1:5" x14ac:dyDescent="0.25">
      <c r="A1986" s="118"/>
      <c r="B1986" s="118"/>
      <c r="C1986" s="118"/>
      <c r="D1986" s="118"/>
      <c r="E1986" s="118"/>
    </row>
    <row r="1987" spans="1:5" x14ac:dyDescent="0.25">
      <c r="A1987" s="118"/>
      <c r="B1987" s="118"/>
      <c r="C1987" s="118"/>
      <c r="D1987" s="118"/>
      <c r="E1987" s="118"/>
    </row>
    <row r="1988" spans="1:5" x14ac:dyDescent="0.25">
      <c r="A1988" s="118"/>
      <c r="B1988" s="118"/>
      <c r="C1988" s="118"/>
      <c r="D1988" s="118"/>
      <c r="E1988" s="118"/>
    </row>
    <row r="1989" spans="1:5" x14ac:dyDescent="0.25">
      <c r="A1989" s="118"/>
      <c r="B1989" s="118"/>
      <c r="C1989" s="118"/>
      <c r="D1989" s="118"/>
      <c r="E1989" s="118"/>
    </row>
    <row r="1990" spans="1:5" x14ac:dyDescent="0.25">
      <c r="A1990" s="118"/>
      <c r="B1990" s="118"/>
      <c r="C1990" s="118"/>
      <c r="D1990" s="118"/>
      <c r="E1990" s="118"/>
    </row>
    <row r="1991" spans="1:5" x14ac:dyDescent="0.25">
      <c r="A1991" s="118"/>
      <c r="B1991" s="118"/>
      <c r="C1991" s="118"/>
      <c r="D1991" s="118"/>
      <c r="E1991" s="118"/>
    </row>
    <row r="1992" spans="1:5" x14ac:dyDescent="0.25">
      <c r="A1992" s="118"/>
      <c r="B1992" s="118"/>
      <c r="C1992" s="118"/>
      <c r="D1992" s="118"/>
      <c r="E1992" s="118"/>
    </row>
    <row r="1993" spans="1:5" x14ac:dyDescent="0.25">
      <c r="A1993" s="118"/>
      <c r="B1993" s="118"/>
      <c r="C1993" s="118"/>
      <c r="D1993" s="118"/>
      <c r="E1993" s="118"/>
    </row>
    <row r="1994" spans="1:5" x14ac:dyDescent="0.25">
      <c r="A1994" s="118"/>
      <c r="B1994" s="118"/>
      <c r="C1994" s="118"/>
      <c r="D1994" s="118"/>
      <c r="E1994" s="118"/>
    </row>
    <row r="1995" spans="1:5" x14ac:dyDescent="0.25">
      <c r="A1995" s="118"/>
      <c r="B1995" s="118"/>
      <c r="C1995" s="118"/>
      <c r="D1995" s="118"/>
      <c r="E1995" s="118"/>
    </row>
    <row r="1996" spans="1:5" x14ac:dyDescent="0.25">
      <c r="A1996" s="118"/>
      <c r="B1996" s="118"/>
      <c r="C1996" s="118"/>
      <c r="D1996" s="118"/>
      <c r="E1996" s="118"/>
    </row>
    <row r="1997" spans="1:5" x14ac:dyDescent="0.25">
      <c r="A1997" s="118"/>
      <c r="B1997" s="118"/>
      <c r="C1997" s="118"/>
      <c r="D1997" s="118"/>
      <c r="E1997" s="118"/>
    </row>
    <row r="1998" spans="1:5" x14ac:dyDescent="0.25">
      <c r="A1998" s="118"/>
      <c r="B1998" s="118"/>
      <c r="C1998" s="118"/>
      <c r="D1998" s="118"/>
      <c r="E1998" s="118"/>
    </row>
    <row r="1999" spans="1:5" x14ac:dyDescent="0.25">
      <c r="A1999" s="118"/>
      <c r="B1999" s="118"/>
      <c r="C1999" s="118"/>
      <c r="D1999" s="118"/>
      <c r="E1999" s="118"/>
    </row>
    <row r="2000" spans="1:5" x14ac:dyDescent="0.25">
      <c r="A2000" s="118"/>
      <c r="B2000" s="118"/>
      <c r="C2000" s="118"/>
      <c r="D2000" s="118"/>
      <c r="E2000" s="118"/>
    </row>
    <row r="2001" spans="1:5" x14ac:dyDescent="0.25">
      <c r="A2001" s="118"/>
      <c r="B2001" s="118"/>
      <c r="C2001" s="118"/>
      <c r="D2001" s="118"/>
      <c r="E2001" s="118"/>
    </row>
    <row r="2002" spans="1:5" x14ac:dyDescent="0.25">
      <c r="A2002" s="118"/>
      <c r="B2002" s="118"/>
      <c r="C2002" s="118"/>
      <c r="D2002" s="118"/>
      <c r="E2002" s="118"/>
    </row>
    <row r="2003" spans="1:5" x14ac:dyDescent="0.25">
      <c r="A2003" s="118"/>
      <c r="B2003" s="118"/>
      <c r="C2003" s="118"/>
      <c r="D2003" s="118"/>
      <c r="E2003" s="118"/>
    </row>
    <row r="2004" spans="1:5" x14ac:dyDescent="0.25">
      <c r="A2004" s="118"/>
      <c r="B2004" s="118"/>
      <c r="C2004" s="118"/>
      <c r="D2004" s="118"/>
      <c r="E2004" s="118"/>
    </row>
    <row r="2005" spans="1:5" x14ac:dyDescent="0.25">
      <c r="A2005" s="118"/>
      <c r="B2005" s="118"/>
      <c r="C2005" s="118"/>
      <c r="D2005" s="118"/>
      <c r="E2005" s="118"/>
    </row>
    <row r="2006" spans="1:5" x14ac:dyDescent="0.25">
      <c r="A2006" s="118"/>
      <c r="B2006" s="118"/>
      <c r="C2006" s="118"/>
      <c r="D2006" s="118"/>
      <c r="E2006" s="118"/>
    </row>
    <row r="2007" spans="1:5" x14ac:dyDescent="0.25">
      <c r="A2007" s="118"/>
      <c r="B2007" s="118"/>
      <c r="C2007" s="118"/>
      <c r="D2007" s="118"/>
      <c r="E2007" s="118"/>
    </row>
    <row r="2008" spans="1:5" x14ac:dyDescent="0.25">
      <c r="A2008" s="118"/>
      <c r="B2008" s="118"/>
      <c r="C2008" s="118"/>
      <c r="D2008" s="118"/>
      <c r="E2008" s="118"/>
    </row>
    <row r="2009" spans="1:5" x14ac:dyDescent="0.25">
      <c r="A2009" s="118"/>
      <c r="B2009" s="118"/>
      <c r="C2009" s="118"/>
      <c r="D2009" s="118"/>
      <c r="E2009" s="118"/>
    </row>
    <row r="2010" spans="1:5" x14ac:dyDescent="0.25">
      <c r="A2010" s="118"/>
      <c r="B2010" s="118"/>
      <c r="C2010" s="118"/>
      <c r="D2010" s="118"/>
      <c r="E2010" s="118"/>
    </row>
    <row r="2011" spans="1:5" x14ac:dyDescent="0.25">
      <c r="A2011" s="118"/>
      <c r="B2011" s="118"/>
      <c r="C2011" s="118"/>
      <c r="D2011" s="118"/>
      <c r="E2011" s="118"/>
    </row>
    <row r="2012" spans="1:5" x14ac:dyDescent="0.25">
      <c r="A2012" s="118"/>
      <c r="B2012" s="118"/>
      <c r="C2012" s="118"/>
      <c r="D2012" s="118"/>
      <c r="E2012" s="118"/>
    </row>
    <row r="2013" spans="1:5" x14ac:dyDescent="0.25">
      <c r="A2013" s="118"/>
      <c r="B2013" s="118"/>
      <c r="C2013" s="118"/>
      <c r="D2013" s="118"/>
      <c r="E2013" s="118"/>
    </row>
    <row r="2014" spans="1:5" x14ac:dyDescent="0.25">
      <c r="A2014" s="118"/>
      <c r="B2014" s="118"/>
      <c r="C2014" s="118"/>
      <c r="D2014" s="118"/>
      <c r="E2014" s="118"/>
    </row>
    <row r="2015" spans="1:5" x14ac:dyDescent="0.25">
      <c r="A2015" s="118"/>
      <c r="B2015" s="118"/>
      <c r="C2015" s="118"/>
      <c r="D2015" s="118"/>
      <c r="E2015" s="118"/>
    </row>
    <row r="2016" spans="1:5" x14ac:dyDescent="0.25">
      <c r="A2016" s="118"/>
      <c r="B2016" s="118"/>
      <c r="C2016" s="118"/>
      <c r="D2016" s="118"/>
      <c r="E2016" s="118"/>
    </row>
    <row r="2017" spans="1:5" x14ac:dyDescent="0.25">
      <c r="A2017" s="118"/>
      <c r="B2017" s="118"/>
      <c r="C2017" s="118"/>
      <c r="D2017" s="118"/>
      <c r="E2017" s="118"/>
    </row>
    <row r="2018" spans="1:5" x14ac:dyDescent="0.25">
      <c r="A2018" s="118"/>
      <c r="B2018" s="118"/>
      <c r="C2018" s="118"/>
      <c r="D2018" s="118"/>
      <c r="E2018" s="118"/>
    </row>
    <row r="2019" spans="1:5" x14ac:dyDescent="0.25">
      <c r="A2019" s="118"/>
      <c r="B2019" s="118"/>
      <c r="C2019" s="118"/>
      <c r="D2019" s="118"/>
      <c r="E2019" s="118"/>
    </row>
    <row r="2020" spans="1:5" x14ac:dyDescent="0.25">
      <c r="A2020" s="118"/>
      <c r="B2020" s="118"/>
      <c r="C2020" s="118"/>
      <c r="D2020" s="118"/>
      <c r="E2020" s="118"/>
    </row>
    <row r="2021" spans="1:5" x14ac:dyDescent="0.25">
      <c r="A2021" s="118"/>
      <c r="B2021" s="118"/>
      <c r="C2021" s="118"/>
      <c r="D2021" s="118"/>
      <c r="E2021" s="118"/>
    </row>
    <row r="2022" spans="1:5" x14ac:dyDescent="0.25">
      <c r="A2022" s="118"/>
      <c r="B2022" s="118"/>
      <c r="C2022" s="118"/>
      <c r="D2022" s="118"/>
      <c r="E2022" s="118"/>
    </row>
    <row r="2023" spans="1:5" x14ac:dyDescent="0.25">
      <c r="A2023" s="118"/>
      <c r="B2023" s="118"/>
      <c r="C2023" s="118"/>
      <c r="D2023" s="118"/>
      <c r="E2023" s="118"/>
    </row>
    <row r="2024" spans="1:5" x14ac:dyDescent="0.25">
      <c r="A2024" s="118"/>
      <c r="B2024" s="118"/>
      <c r="C2024" s="118"/>
      <c r="D2024" s="118"/>
      <c r="E2024" s="118"/>
    </row>
    <row r="2025" spans="1:5" x14ac:dyDescent="0.25">
      <c r="A2025" s="118"/>
      <c r="B2025" s="118"/>
      <c r="C2025" s="118"/>
      <c r="D2025" s="118"/>
      <c r="E2025" s="118"/>
    </row>
    <row r="2026" spans="1:5" x14ac:dyDescent="0.25">
      <c r="A2026" s="118"/>
      <c r="B2026" s="118"/>
      <c r="C2026" s="118"/>
      <c r="D2026" s="118"/>
      <c r="E2026" s="118"/>
    </row>
    <row r="2027" spans="1:5" x14ac:dyDescent="0.25">
      <c r="A2027" s="118"/>
      <c r="B2027" s="118"/>
      <c r="C2027" s="118"/>
      <c r="D2027" s="118"/>
      <c r="E2027" s="118"/>
    </row>
    <row r="2028" spans="1:5" x14ac:dyDescent="0.25">
      <c r="A2028" s="118"/>
      <c r="B2028" s="118"/>
      <c r="C2028" s="118"/>
      <c r="D2028" s="118"/>
      <c r="E2028" s="118"/>
    </row>
    <row r="2029" spans="1:5" x14ac:dyDescent="0.25">
      <c r="A2029" s="118"/>
      <c r="B2029" s="118"/>
      <c r="C2029" s="118"/>
      <c r="D2029" s="118"/>
      <c r="E2029" s="118"/>
    </row>
    <row r="2030" spans="1:5" x14ac:dyDescent="0.25">
      <c r="A2030" s="118"/>
      <c r="B2030" s="118"/>
      <c r="C2030" s="118"/>
      <c r="D2030" s="118"/>
      <c r="E2030" s="118"/>
    </row>
    <row r="2031" spans="1:5" x14ac:dyDescent="0.25">
      <c r="A2031" s="118"/>
      <c r="B2031" s="118"/>
      <c r="C2031" s="118"/>
      <c r="D2031" s="118"/>
      <c r="E2031" s="118"/>
    </row>
    <row r="2032" spans="1:5" x14ac:dyDescent="0.25">
      <c r="A2032" s="118"/>
      <c r="B2032" s="118"/>
      <c r="C2032" s="118"/>
      <c r="D2032" s="118"/>
      <c r="E2032" s="118"/>
    </row>
    <row r="2033" spans="1:5" x14ac:dyDescent="0.25">
      <c r="A2033" s="118"/>
      <c r="B2033" s="118"/>
      <c r="C2033" s="118"/>
      <c r="D2033" s="118"/>
      <c r="E2033" s="118"/>
    </row>
    <row r="2034" spans="1:5" x14ac:dyDescent="0.25">
      <c r="A2034" s="118"/>
      <c r="B2034" s="118"/>
      <c r="C2034" s="118"/>
      <c r="D2034" s="118"/>
      <c r="E2034" s="118"/>
    </row>
    <row r="2035" spans="1:5" x14ac:dyDescent="0.25">
      <c r="A2035" s="118"/>
      <c r="B2035" s="118"/>
      <c r="C2035" s="118"/>
      <c r="D2035" s="118"/>
      <c r="E2035" s="118"/>
    </row>
    <row r="2036" spans="1:5" x14ac:dyDescent="0.25">
      <c r="A2036" s="118"/>
      <c r="B2036" s="118"/>
      <c r="C2036" s="118"/>
      <c r="D2036" s="118"/>
      <c r="E2036" s="118"/>
    </row>
    <row r="2037" spans="1:5" x14ac:dyDescent="0.25">
      <c r="A2037" s="118"/>
      <c r="B2037" s="118"/>
      <c r="C2037" s="118"/>
      <c r="D2037" s="118"/>
      <c r="E2037" s="118"/>
    </row>
    <row r="2038" spans="1:5" x14ac:dyDescent="0.25">
      <c r="A2038" s="118"/>
      <c r="B2038" s="118"/>
      <c r="C2038" s="118"/>
      <c r="D2038" s="118"/>
      <c r="E2038" s="118"/>
    </row>
    <row r="2039" spans="1:5" x14ac:dyDescent="0.25">
      <c r="A2039" s="118"/>
      <c r="B2039" s="118"/>
      <c r="C2039" s="118"/>
      <c r="D2039" s="118"/>
      <c r="E2039" s="118"/>
    </row>
    <row r="2040" spans="1:5" x14ac:dyDescent="0.25">
      <c r="A2040" s="118"/>
      <c r="B2040" s="118"/>
      <c r="C2040" s="118"/>
      <c r="D2040" s="118"/>
      <c r="E2040" s="118"/>
    </row>
    <row r="2041" spans="1:5" x14ac:dyDescent="0.25">
      <c r="A2041" s="118"/>
      <c r="B2041" s="118"/>
      <c r="C2041" s="118"/>
      <c r="D2041" s="118"/>
      <c r="E2041" s="118"/>
    </row>
    <row r="2042" spans="1:5" x14ac:dyDescent="0.25">
      <c r="A2042" s="118"/>
      <c r="B2042" s="118"/>
      <c r="C2042" s="118"/>
      <c r="D2042" s="118"/>
      <c r="E2042" s="118"/>
    </row>
    <row r="2043" spans="1:5" x14ac:dyDescent="0.25">
      <c r="A2043" s="118"/>
      <c r="B2043" s="118"/>
      <c r="C2043" s="118"/>
      <c r="D2043" s="118"/>
      <c r="E2043" s="118"/>
    </row>
    <row r="2044" spans="1:5" x14ac:dyDescent="0.25">
      <c r="A2044" s="118"/>
      <c r="B2044" s="118"/>
      <c r="C2044" s="118"/>
      <c r="D2044" s="118"/>
      <c r="E2044" s="118"/>
    </row>
    <row r="2045" spans="1:5" x14ac:dyDescent="0.25">
      <c r="A2045" s="118"/>
      <c r="B2045" s="118"/>
      <c r="C2045" s="118"/>
      <c r="D2045" s="118"/>
      <c r="E2045" s="118"/>
    </row>
    <row r="2046" spans="1:5" x14ac:dyDescent="0.25">
      <c r="A2046" s="118"/>
      <c r="B2046" s="118"/>
      <c r="C2046" s="118"/>
      <c r="D2046" s="118"/>
      <c r="E2046" s="118"/>
    </row>
    <row r="2047" spans="1:5" x14ac:dyDescent="0.25">
      <c r="A2047" s="118"/>
      <c r="B2047" s="118"/>
      <c r="C2047" s="118"/>
      <c r="D2047" s="118"/>
      <c r="E2047" s="118"/>
    </row>
    <row r="2048" spans="1:5" x14ac:dyDescent="0.25">
      <c r="A2048" s="118"/>
      <c r="B2048" s="118"/>
      <c r="C2048" s="118"/>
      <c r="D2048" s="118"/>
      <c r="E2048" s="118"/>
    </row>
    <row r="2049" spans="1:5" x14ac:dyDescent="0.25">
      <c r="A2049" s="118"/>
      <c r="B2049" s="118"/>
      <c r="C2049" s="118"/>
      <c r="D2049" s="118"/>
      <c r="E2049" s="118"/>
    </row>
    <row r="2050" spans="1:5" x14ac:dyDescent="0.25">
      <c r="A2050" s="118"/>
      <c r="B2050" s="118"/>
      <c r="C2050" s="118"/>
      <c r="D2050" s="118"/>
      <c r="E2050" s="118"/>
    </row>
    <row r="2051" spans="1:5" x14ac:dyDescent="0.25">
      <c r="A2051" s="118"/>
      <c r="B2051" s="118"/>
      <c r="C2051" s="118"/>
      <c r="D2051" s="118"/>
      <c r="E2051" s="118"/>
    </row>
    <row r="2052" spans="1:5" x14ac:dyDescent="0.25">
      <c r="A2052" s="118"/>
      <c r="B2052" s="118"/>
      <c r="C2052" s="118"/>
      <c r="D2052" s="118"/>
      <c r="E2052" s="118"/>
    </row>
    <row r="2053" spans="1:5" x14ac:dyDescent="0.25">
      <c r="A2053" s="118"/>
      <c r="B2053" s="118"/>
      <c r="C2053" s="118"/>
      <c r="D2053" s="118"/>
      <c r="E2053" s="118"/>
    </row>
    <row r="2054" spans="1:5" x14ac:dyDescent="0.25">
      <c r="A2054" s="118"/>
      <c r="B2054" s="118"/>
      <c r="C2054" s="118"/>
      <c r="D2054" s="118"/>
      <c r="E2054" s="118"/>
    </row>
    <row r="2055" spans="1:5" x14ac:dyDescent="0.25">
      <c r="A2055" s="118"/>
      <c r="B2055" s="118"/>
      <c r="C2055" s="118"/>
      <c r="D2055" s="118"/>
      <c r="E2055" s="118"/>
    </row>
    <row r="2056" spans="1:5" x14ac:dyDescent="0.25">
      <c r="A2056" s="118"/>
      <c r="B2056" s="118"/>
      <c r="C2056" s="118"/>
      <c r="D2056" s="118"/>
      <c r="E2056" s="118"/>
    </row>
    <row r="2057" spans="1:5" x14ac:dyDescent="0.25">
      <c r="A2057" s="118"/>
      <c r="B2057" s="118"/>
      <c r="C2057" s="118"/>
      <c r="D2057" s="118"/>
      <c r="E2057" s="118"/>
    </row>
    <row r="2058" spans="1:5" x14ac:dyDescent="0.25">
      <c r="A2058" s="118"/>
      <c r="B2058" s="118"/>
      <c r="C2058" s="118"/>
      <c r="D2058" s="118"/>
      <c r="E2058" s="118"/>
    </row>
    <row r="2059" spans="1:5" x14ac:dyDescent="0.25">
      <c r="A2059" s="118"/>
      <c r="B2059" s="118"/>
      <c r="C2059" s="118"/>
      <c r="D2059" s="118"/>
      <c r="E2059" s="118"/>
    </row>
    <row r="2060" spans="1:5" x14ac:dyDescent="0.25">
      <c r="A2060" s="118"/>
      <c r="B2060" s="118"/>
      <c r="C2060" s="118"/>
      <c r="D2060" s="118"/>
      <c r="E2060" s="118"/>
    </row>
    <row r="2061" spans="1:5" x14ac:dyDescent="0.25">
      <c r="A2061" s="118"/>
      <c r="B2061" s="118"/>
      <c r="C2061" s="118"/>
      <c r="D2061" s="118"/>
      <c r="E2061" s="118"/>
    </row>
    <row r="2062" spans="1:5" x14ac:dyDescent="0.25">
      <c r="A2062" s="118"/>
      <c r="B2062" s="118"/>
      <c r="C2062" s="118"/>
      <c r="D2062" s="118"/>
      <c r="E2062" s="118"/>
    </row>
    <row r="2063" spans="1:5" x14ac:dyDescent="0.25">
      <c r="A2063" s="118"/>
      <c r="B2063" s="118"/>
      <c r="C2063" s="118"/>
      <c r="D2063" s="118"/>
      <c r="E2063" s="118"/>
    </row>
    <row r="2064" spans="1:5" x14ac:dyDescent="0.25">
      <c r="A2064" s="118"/>
      <c r="B2064" s="118"/>
      <c r="C2064" s="118"/>
      <c r="D2064" s="118"/>
      <c r="E2064" s="118"/>
    </row>
    <row r="2065" spans="1:5" x14ac:dyDescent="0.25">
      <c r="A2065" s="118"/>
      <c r="B2065" s="118"/>
      <c r="C2065" s="118"/>
      <c r="D2065" s="118"/>
      <c r="E2065" s="118"/>
    </row>
    <row r="2066" spans="1:5" x14ac:dyDescent="0.25">
      <c r="A2066" s="118"/>
      <c r="B2066" s="118"/>
      <c r="C2066" s="118"/>
      <c r="D2066" s="118"/>
      <c r="E2066" s="118"/>
    </row>
    <row r="2067" spans="1:5" x14ac:dyDescent="0.25">
      <c r="A2067" s="118"/>
      <c r="B2067" s="118"/>
      <c r="C2067" s="118"/>
      <c r="D2067" s="118"/>
      <c r="E2067" s="118"/>
    </row>
    <row r="2068" spans="1:5" x14ac:dyDescent="0.25">
      <c r="A2068" s="118"/>
      <c r="B2068" s="118"/>
      <c r="C2068" s="118"/>
      <c r="D2068" s="118"/>
      <c r="E2068" s="118"/>
    </row>
    <row r="2069" spans="1:5" x14ac:dyDescent="0.25">
      <c r="A2069" s="118"/>
      <c r="B2069" s="118"/>
      <c r="C2069" s="118"/>
      <c r="D2069" s="118"/>
      <c r="E2069" s="118"/>
    </row>
    <row r="2070" spans="1:5" x14ac:dyDescent="0.25">
      <c r="A2070" s="118"/>
      <c r="B2070" s="118"/>
      <c r="C2070" s="118"/>
      <c r="D2070" s="118"/>
      <c r="E2070" s="118"/>
    </row>
    <row r="2071" spans="1:5" x14ac:dyDescent="0.25">
      <c r="A2071" s="118"/>
      <c r="B2071" s="118"/>
      <c r="C2071" s="118"/>
      <c r="D2071" s="118"/>
      <c r="E2071" s="118"/>
    </row>
    <row r="2072" spans="1:5" x14ac:dyDescent="0.25">
      <c r="A2072" s="118"/>
      <c r="B2072" s="118"/>
      <c r="C2072" s="118"/>
      <c r="D2072" s="118"/>
      <c r="E2072" s="118"/>
    </row>
    <row r="2073" spans="1:5" x14ac:dyDescent="0.25">
      <c r="A2073" s="118"/>
      <c r="B2073" s="118"/>
      <c r="C2073" s="118"/>
      <c r="D2073" s="118"/>
      <c r="E2073" s="118"/>
    </row>
    <row r="2074" spans="1:5" x14ac:dyDescent="0.25">
      <c r="A2074" s="118"/>
      <c r="B2074" s="118"/>
      <c r="C2074" s="118"/>
      <c r="D2074" s="118"/>
      <c r="E2074" s="118"/>
    </row>
    <row r="2075" spans="1:5" x14ac:dyDescent="0.25">
      <c r="A2075" s="118"/>
      <c r="B2075" s="118"/>
      <c r="C2075" s="118"/>
      <c r="D2075" s="118"/>
      <c r="E2075" s="118"/>
    </row>
    <row r="2076" spans="1:5" x14ac:dyDescent="0.25">
      <c r="A2076" s="118"/>
      <c r="B2076" s="118"/>
      <c r="C2076" s="118"/>
      <c r="D2076" s="118"/>
      <c r="E2076" s="118"/>
    </row>
    <row r="2077" spans="1:5" x14ac:dyDescent="0.25">
      <c r="A2077" s="118"/>
      <c r="B2077" s="118"/>
      <c r="C2077" s="118"/>
      <c r="D2077" s="118"/>
      <c r="E2077" s="118"/>
    </row>
    <row r="2078" spans="1:5" x14ac:dyDescent="0.25">
      <c r="A2078" s="118"/>
      <c r="B2078" s="118"/>
      <c r="C2078" s="118"/>
      <c r="D2078" s="118"/>
      <c r="E2078" s="118"/>
    </row>
    <row r="2079" spans="1:5" x14ac:dyDescent="0.25">
      <c r="A2079" s="118"/>
      <c r="B2079" s="118"/>
      <c r="C2079" s="118"/>
      <c r="D2079" s="118"/>
      <c r="E2079" s="118"/>
    </row>
    <row r="2080" spans="1:5" x14ac:dyDescent="0.25">
      <c r="A2080" s="118"/>
      <c r="B2080" s="118"/>
      <c r="C2080" s="118"/>
      <c r="D2080" s="118"/>
      <c r="E2080" s="118"/>
    </row>
    <row r="2081" spans="1:5" x14ac:dyDescent="0.25">
      <c r="A2081" s="118"/>
      <c r="B2081" s="118"/>
      <c r="C2081" s="118"/>
      <c r="D2081" s="118"/>
      <c r="E2081" s="118"/>
    </row>
    <row r="2082" spans="1:5" x14ac:dyDescent="0.25">
      <c r="A2082" s="118"/>
      <c r="B2082" s="118"/>
      <c r="C2082" s="118"/>
      <c r="D2082" s="118"/>
      <c r="E2082" s="118"/>
    </row>
    <row r="2083" spans="1:5" x14ac:dyDescent="0.25">
      <c r="A2083" s="118"/>
      <c r="B2083" s="118"/>
      <c r="C2083" s="118"/>
      <c r="D2083" s="118"/>
      <c r="E2083" s="118"/>
    </row>
    <row r="2084" spans="1:5" x14ac:dyDescent="0.25">
      <c r="A2084" s="118"/>
      <c r="B2084" s="118"/>
      <c r="C2084" s="118"/>
      <c r="D2084" s="118"/>
      <c r="E2084" s="118"/>
    </row>
    <row r="2085" spans="1:5" x14ac:dyDescent="0.25">
      <c r="A2085" s="118"/>
      <c r="B2085" s="118"/>
      <c r="C2085" s="118"/>
      <c r="D2085" s="118"/>
      <c r="E2085" s="118"/>
    </row>
    <row r="2086" spans="1:5" x14ac:dyDescent="0.25">
      <c r="A2086" s="118"/>
      <c r="B2086" s="118"/>
      <c r="C2086" s="118"/>
      <c r="D2086" s="118"/>
      <c r="E2086" s="118"/>
    </row>
    <row r="2087" spans="1:5" x14ac:dyDescent="0.25">
      <c r="A2087" s="118"/>
      <c r="B2087" s="118"/>
      <c r="C2087" s="118"/>
      <c r="D2087" s="118"/>
      <c r="E2087" s="118"/>
    </row>
    <row r="2088" spans="1:5" x14ac:dyDescent="0.25">
      <c r="A2088" s="118"/>
      <c r="B2088" s="118"/>
      <c r="C2088" s="118"/>
      <c r="D2088" s="118"/>
      <c r="E2088" s="118"/>
    </row>
    <row r="2089" spans="1:5" x14ac:dyDescent="0.25">
      <c r="A2089" s="118"/>
      <c r="B2089" s="118"/>
      <c r="C2089" s="118"/>
      <c r="D2089" s="118"/>
      <c r="E2089" s="140"/>
    </row>
    <row r="2090" spans="1:5" x14ac:dyDescent="0.25">
      <c r="A2090" s="118"/>
      <c r="B2090" s="118"/>
      <c r="C2090" s="118"/>
      <c r="D2090" s="118"/>
      <c r="E2090" s="118"/>
    </row>
    <row r="2091" spans="1:5" x14ac:dyDescent="0.25">
      <c r="A2091" s="118"/>
      <c r="B2091" s="118"/>
      <c r="C2091" s="118"/>
      <c r="D2091" s="118"/>
      <c r="E2091" s="118"/>
    </row>
    <row r="2092" spans="1:5" x14ac:dyDescent="0.25">
      <c r="A2092" s="118"/>
      <c r="B2092" s="118"/>
      <c r="C2092" s="118"/>
      <c r="D2092" s="118"/>
      <c r="E2092" s="118"/>
    </row>
    <row r="2093" spans="1:5" x14ac:dyDescent="0.25">
      <c r="A2093" s="118"/>
      <c r="B2093" s="118"/>
      <c r="C2093" s="118"/>
      <c r="D2093" s="118"/>
      <c r="E2093" s="118"/>
    </row>
    <row r="2094" spans="1:5" x14ac:dyDescent="0.25">
      <c r="A2094" s="118"/>
      <c r="B2094" s="118"/>
      <c r="C2094" s="118"/>
      <c r="D2094" s="118"/>
      <c r="E2094" s="118"/>
    </row>
    <row r="2095" spans="1:5" x14ac:dyDescent="0.25">
      <c r="A2095" s="118"/>
      <c r="B2095" s="118"/>
      <c r="C2095" s="118"/>
      <c r="D2095" s="118"/>
      <c r="E2095" s="118"/>
    </row>
    <row r="2096" spans="1:5" x14ac:dyDescent="0.25">
      <c r="A2096" s="118"/>
      <c r="B2096" s="118"/>
      <c r="C2096" s="118"/>
      <c r="D2096" s="118"/>
      <c r="E2096" s="118"/>
    </row>
    <row r="2097" spans="1:5" x14ac:dyDescent="0.25">
      <c r="A2097" s="118"/>
      <c r="B2097" s="118"/>
      <c r="C2097" s="118"/>
      <c r="D2097" s="118"/>
      <c r="E2097" s="118"/>
    </row>
    <row r="2098" spans="1:5" x14ac:dyDescent="0.25">
      <c r="A2098" s="118"/>
      <c r="B2098" s="118"/>
      <c r="C2098" s="118"/>
      <c r="D2098" s="118"/>
      <c r="E2098" s="118"/>
    </row>
    <row r="2099" spans="1:5" x14ac:dyDescent="0.25">
      <c r="A2099" s="118"/>
      <c r="B2099" s="118"/>
      <c r="C2099" s="118"/>
      <c r="D2099" s="118"/>
      <c r="E2099" s="118"/>
    </row>
    <row r="2100" spans="1:5" x14ac:dyDescent="0.25">
      <c r="A2100" s="118"/>
      <c r="B2100" s="118"/>
      <c r="C2100" s="118"/>
      <c r="D2100" s="118"/>
      <c r="E2100" s="118"/>
    </row>
    <row r="2101" spans="1:5" x14ac:dyDescent="0.25">
      <c r="A2101" s="118"/>
      <c r="B2101" s="118"/>
      <c r="C2101" s="118"/>
      <c r="D2101" s="118"/>
      <c r="E2101" s="118"/>
    </row>
    <row r="2102" spans="1:5" x14ac:dyDescent="0.25">
      <c r="A2102" s="118"/>
      <c r="B2102" s="118"/>
      <c r="C2102" s="118"/>
      <c r="D2102" s="118"/>
      <c r="E2102" s="118"/>
    </row>
    <row r="2103" spans="1:5" x14ac:dyDescent="0.25">
      <c r="A2103" s="118"/>
      <c r="B2103" s="118"/>
      <c r="C2103" s="118"/>
      <c r="D2103" s="118"/>
      <c r="E2103" s="118"/>
    </row>
    <row r="2104" spans="1:5" x14ac:dyDescent="0.25">
      <c r="A2104" s="118"/>
      <c r="B2104" s="118"/>
      <c r="C2104" s="118"/>
      <c r="D2104" s="118"/>
      <c r="E2104" s="118"/>
    </row>
    <row r="2105" spans="1:5" x14ac:dyDescent="0.25">
      <c r="A2105" s="118"/>
      <c r="B2105" s="118"/>
      <c r="C2105" s="118"/>
      <c r="D2105" s="118"/>
      <c r="E2105" s="118"/>
    </row>
    <row r="2106" spans="1:5" x14ac:dyDescent="0.25">
      <c r="A2106" s="118"/>
      <c r="B2106" s="118"/>
      <c r="C2106" s="118"/>
      <c r="D2106" s="118"/>
      <c r="E2106" s="118"/>
    </row>
    <row r="2107" spans="1:5" x14ac:dyDescent="0.25">
      <c r="A2107" s="118"/>
      <c r="B2107" s="118"/>
      <c r="C2107" s="118"/>
      <c r="D2107" s="118"/>
      <c r="E2107" s="118"/>
    </row>
    <row r="2108" spans="1:5" x14ac:dyDescent="0.25">
      <c r="A2108" s="118"/>
      <c r="B2108" s="118"/>
      <c r="C2108" s="118"/>
      <c r="D2108" s="118"/>
      <c r="E2108" s="118"/>
    </row>
    <row r="2109" spans="1:5" x14ac:dyDescent="0.25">
      <c r="A2109" s="118"/>
      <c r="B2109" s="118"/>
      <c r="C2109" s="118"/>
      <c r="D2109" s="118"/>
      <c r="E2109" s="118"/>
    </row>
    <row r="2110" spans="1:5" x14ac:dyDescent="0.25">
      <c r="A2110" s="118"/>
      <c r="B2110" s="118"/>
      <c r="C2110" s="118"/>
      <c r="D2110" s="118"/>
      <c r="E2110" s="118"/>
    </row>
    <row r="2111" spans="1:5" x14ac:dyDescent="0.25">
      <c r="A2111" s="118"/>
      <c r="B2111" s="118"/>
      <c r="C2111" s="118"/>
      <c r="D2111" s="118"/>
      <c r="E2111" s="118"/>
    </row>
    <row r="2112" spans="1:5" x14ac:dyDescent="0.25">
      <c r="A2112" s="118"/>
      <c r="B2112" s="118"/>
      <c r="C2112" s="118"/>
      <c r="D2112" s="118"/>
      <c r="E2112" s="118"/>
    </row>
    <row r="2113" spans="1:5" x14ac:dyDescent="0.25">
      <c r="A2113" s="118"/>
      <c r="B2113" s="118"/>
      <c r="C2113" s="118"/>
      <c r="D2113" s="118"/>
      <c r="E2113" s="118"/>
    </row>
    <row r="2114" spans="1:5" x14ac:dyDescent="0.25">
      <c r="A2114" s="118"/>
      <c r="B2114" s="118"/>
      <c r="C2114" s="118"/>
      <c r="D2114" s="118"/>
      <c r="E2114" s="118"/>
    </row>
    <row r="2115" spans="1:5" x14ac:dyDescent="0.25">
      <c r="A2115" s="118"/>
      <c r="B2115" s="118"/>
      <c r="C2115" s="118"/>
      <c r="D2115" s="118"/>
      <c r="E2115" s="118"/>
    </row>
    <row r="2116" spans="1:5" x14ac:dyDescent="0.25">
      <c r="A2116" s="118"/>
      <c r="B2116" s="118"/>
      <c r="C2116" s="118"/>
      <c r="D2116" s="118"/>
      <c r="E2116" s="118"/>
    </row>
    <row r="2117" spans="1:5" x14ac:dyDescent="0.25">
      <c r="A2117" s="118"/>
      <c r="B2117" s="118"/>
      <c r="C2117" s="118"/>
      <c r="D2117" s="118"/>
      <c r="E2117" s="118"/>
    </row>
    <row r="2118" spans="1:5" x14ac:dyDescent="0.25">
      <c r="A2118" s="118"/>
      <c r="B2118" s="118"/>
      <c r="C2118" s="118"/>
      <c r="D2118" s="118"/>
      <c r="E2118" s="118"/>
    </row>
    <row r="2119" spans="1:5" x14ac:dyDescent="0.25">
      <c r="A2119" s="118"/>
      <c r="B2119" s="118"/>
      <c r="C2119" s="118"/>
      <c r="D2119" s="118"/>
      <c r="E2119" s="118"/>
    </row>
    <row r="2120" spans="1:5" x14ac:dyDescent="0.25">
      <c r="A2120" s="118"/>
      <c r="B2120" s="118"/>
      <c r="C2120" s="118"/>
      <c r="D2120" s="118"/>
      <c r="E2120" s="118"/>
    </row>
    <row r="2121" spans="1:5" x14ac:dyDescent="0.25">
      <c r="A2121" s="118"/>
      <c r="B2121" s="118"/>
      <c r="C2121" s="118"/>
      <c r="D2121" s="118"/>
      <c r="E2121" s="118"/>
    </row>
    <row r="2122" spans="1:5" x14ac:dyDescent="0.25">
      <c r="A2122" s="118"/>
      <c r="B2122" s="118"/>
      <c r="C2122" s="118"/>
      <c r="D2122" s="118"/>
      <c r="E2122" s="118"/>
    </row>
    <row r="2123" spans="1:5" x14ac:dyDescent="0.25">
      <c r="A2123" s="118"/>
      <c r="B2123" s="118"/>
      <c r="C2123" s="118"/>
      <c r="D2123" s="118"/>
      <c r="E2123" s="118"/>
    </row>
    <row r="2124" spans="1:5" x14ac:dyDescent="0.25">
      <c r="A2124" s="118"/>
      <c r="B2124" s="118"/>
      <c r="C2124" s="118"/>
      <c r="D2124" s="118"/>
      <c r="E2124" s="118"/>
    </row>
    <row r="2125" spans="1:5" x14ac:dyDescent="0.25">
      <c r="A2125" s="118"/>
      <c r="B2125" s="118"/>
      <c r="C2125" s="118"/>
      <c r="D2125" s="118"/>
      <c r="E2125" s="118"/>
    </row>
    <row r="2126" spans="1:5" x14ac:dyDescent="0.25">
      <c r="A2126" s="118"/>
      <c r="B2126" s="118"/>
      <c r="C2126" s="118"/>
      <c r="D2126" s="118"/>
      <c r="E2126" s="118"/>
    </row>
    <row r="2127" spans="1:5" x14ac:dyDescent="0.25">
      <c r="A2127" s="118"/>
      <c r="B2127" s="118"/>
      <c r="C2127" s="118"/>
      <c r="D2127" s="118"/>
      <c r="E2127" s="118"/>
    </row>
    <row r="2128" spans="1:5" x14ac:dyDescent="0.25">
      <c r="A2128" s="118"/>
      <c r="B2128" s="118"/>
      <c r="C2128" s="118"/>
      <c r="D2128" s="118"/>
      <c r="E2128" s="118"/>
    </row>
    <row r="2129" spans="1:5" x14ac:dyDescent="0.25">
      <c r="A2129" s="118"/>
      <c r="B2129" s="118"/>
      <c r="C2129" s="118"/>
      <c r="D2129" s="118"/>
      <c r="E2129" s="118"/>
    </row>
    <row r="2130" spans="1:5" x14ac:dyDescent="0.25">
      <c r="A2130" s="118"/>
      <c r="B2130" s="118"/>
      <c r="C2130" s="118"/>
      <c r="D2130" s="118"/>
      <c r="E2130" s="118"/>
    </row>
    <row r="2131" spans="1:5" x14ac:dyDescent="0.25">
      <c r="A2131" s="118"/>
      <c r="B2131" s="118"/>
      <c r="C2131" s="118"/>
      <c r="D2131" s="118"/>
      <c r="E2131" s="118"/>
    </row>
    <row r="2132" spans="1:5" x14ac:dyDescent="0.25">
      <c r="A2132" s="118"/>
      <c r="B2132" s="118"/>
      <c r="C2132" s="118"/>
      <c r="D2132" s="118"/>
      <c r="E2132" s="118"/>
    </row>
    <row r="2133" spans="1:5" x14ac:dyDescent="0.25">
      <c r="A2133" s="118"/>
      <c r="B2133" s="118"/>
      <c r="C2133" s="118"/>
      <c r="D2133" s="118"/>
      <c r="E2133" s="118"/>
    </row>
    <row r="2134" spans="1:5" x14ac:dyDescent="0.25">
      <c r="A2134" s="118"/>
      <c r="B2134" s="118"/>
      <c r="C2134" s="118"/>
      <c r="D2134" s="118"/>
      <c r="E2134" s="118"/>
    </row>
    <row r="2135" spans="1:5" x14ac:dyDescent="0.25">
      <c r="A2135" s="118"/>
      <c r="B2135" s="118"/>
      <c r="C2135" s="118"/>
      <c r="D2135" s="118"/>
      <c r="E2135" s="118"/>
    </row>
    <row r="2136" spans="1:5" x14ac:dyDescent="0.25">
      <c r="A2136" s="118"/>
      <c r="B2136" s="118"/>
      <c r="C2136" s="118"/>
      <c r="D2136" s="118"/>
      <c r="E2136" s="118"/>
    </row>
    <row r="2137" spans="1:5" x14ac:dyDescent="0.25">
      <c r="A2137" s="118"/>
      <c r="B2137" s="118"/>
      <c r="C2137" s="118"/>
      <c r="D2137" s="118"/>
      <c r="E2137" s="118"/>
    </row>
    <row r="2138" spans="1:5" x14ac:dyDescent="0.25">
      <c r="A2138" s="118"/>
      <c r="B2138" s="118"/>
      <c r="C2138" s="118"/>
      <c r="D2138" s="118"/>
      <c r="E2138" s="118"/>
    </row>
    <row r="2139" spans="1:5" x14ac:dyDescent="0.25">
      <c r="A2139" s="118"/>
      <c r="B2139" s="118"/>
      <c r="C2139" s="118"/>
      <c r="D2139" s="118"/>
      <c r="E2139" s="118"/>
    </row>
    <row r="2140" spans="1:5" x14ac:dyDescent="0.25">
      <c r="A2140" s="118"/>
      <c r="B2140" s="118"/>
      <c r="C2140" s="118"/>
      <c r="D2140" s="118"/>
      <c r="E2140" s="118"/>
    </row>
    <row r="2141" spans="1:5" x14ac:dyDescent="0.25">
      <c r="A2141" s="118"/>
      <c r="B2141" s="118"/>
      <c r="C2141" s="118"/>
      <c r="D2141" s="118"/>
      <c r="E2141" s="118"/>
    </row>
    <row r="2142" spans="1:5" x14ac:dyDescent="0.25">
      <c r="A2142" s="118"/>
      <c r="B2142" s="118"/>
      <c r="C2142" s="118"/>
      <c r="D2142" s="118"/>
      <c r="E2142" s="118"/>
    </row>
    <row r="2143" spans="1:5" x14ac:dyDescent="0.25">
      <c r="A2143" s="118"/>
      <c r="B2143" s="118"/>
      <c r="C2143" s="118"/>
      <c r="D2143" s="118"/>
      <c r="E2143" s="118"/>
    </row>
    <row r="2144" spans="1:5" x14ac:dyDescent="0.25">
      <c r="A2144" s="118"/>
      <c r="B2144" s="118"/>
      <c r="C2144" s="118"/>
      <c r="D2144" s="118"/>
      <c r="E2144" s="118"/>
    </row>
    <row r="2145" spans="1:5" x14ac:dyDescent="0.25">
      <c r="A2145" s="118"/>
      <c r="B2145" s="118"/>
      <c r="C2145" s="118"/>
      <c r="D2145" s="118"/>
      <c r="E2145" s="118"/>
    </row>
    <row r="2146" spans="1:5" x14ac:dyDescent="0.25">
      <c r="A2146" s="118"/>
      <c r="B2146" s="118"/>
      <c r="C2146" s="118"/>
      <c r="D2146" s="118"/>
      <c r="E2146" s="118"/>
    </row>
    <row r="2147" spans="1:5" x14ac:dyDescent="0.25">
      <c r="A2147" s="118"/>
      <c r="B2147" s="118"/>
      <c r="C2147" s="118"/>
      <c r="D2147" s="118"/>
      <c r="E2147" s="118"/>
    </row>
    <row r="2148" spans="1:5" x14ac:dyDescent="0.25">
      <c r="A2148" s="118"/>
      <c r="B2148" s="118"/>
      <c r="C2148" s="118"/>
      <c r="D2148" s="118"/>
      <c r="E2148" s="118"/>
    </row>
    <row r="2149" spans="1:5" x14ac:dyDescent="0.25">
      <c r="A2149" s="118"/>
      <c r="B2149" s="118"/>
      <c r="C2149" s="118"/>
      <c r="D2149" s="118"/>
      <c r="E2149" s="118"/>
    </row>
    <row r="2150" spans="1:5" x14ac:dyDescent="0.25">
      <c r="A2150" s="118"/>
      <c r="B2150" s="118"/>
      <c r="C2150" s="118"/>
      <c r="D2150" s="118"/>
      <c r="E2150" s="118"/>
    </row>
    <row r="2151" spans="1:5" x14ac:dyDescent="0.25">
      <c r="A2151" s="118"/>
      <c r="B2151" s="118"/>
      <c r="C2151" s="118"/>
      <c r="D2151" s="118"/>
      <c r="E2151" s="118"/>
    </row>
    <row r="2152" spans="1:5" x14ac:dyDescent="0.25">
      <c r="A2152" s="118"/>
      <c r="B2152" s="118"/>
      <c r="C2152" s="118"/>
      <c r="D2152" s="118"/>
      <c r="E2152" s="118"/>
    </row>
    <row r="2153" spans="1:5" x14ac:dyDescent="0.25">
      <c r="A2153" s="118"/>
      <c r="B2153" s="118"/>
      <c r="C2153" s="118"/>
      <c r="D2153" s="118"/>
      <c r="E2153" s="118"/>
    </row>
    <row r="2154" spans="1:5" x14ac:dyDescent="0.25">
      <c r="A2154" s="118"/>
      <c r="B2154" s="118"/>
      <c r="C2154" s="118"/>
      <c r="D2154" s="118"/>
      <c r="E2154" s="118"/>
    </row>
    <row r="2155" spans="1:5" x14ac:dyDescent="0.25">
      <c r="A2155" s="118"/>
      <c r="B2155" s="118"/>
      <c r="C2155" s="118"/>
      <c r="D2155" s="118"/>
      <c r="E2155" s="118"/>
    </row>
    <row r="2156" spans="1:5" x14ac:dyDescent="0.25">
      <c r="A2156" s="118"/>
      <c r="B2156" s="118"/>
      <c r="C2156" s="118"/>
      <c r="D2156" s="118"/>
      <c r="E2156" s="118"/>
    </row>
    <row r="2157" spans="1:5" x14ac:dyDescent="0.25">
      <c r="A2157" s="118"/>
      <c r="B2157" s="118"/>
      <c r="C2157" s="118"/>
      <c r="D2157" s="118"/>
      <c r="E2157" s="118"/>
    </row>
    <row r="2158" spans="1:5" x14ac:dyDescent="0.25">
      <c r="A2158" s="118"/>
      <c r="B2158" s="118"/>
      <c r="C2158" s="118"/>
      <c r="D2158" s="118"/>
      <c r="E2158" s="118"/>
    </row>
    <row r="2159" spans="1:5" x14ac:dyDescent="0.25">
      <c r="A2159" s="118"/>
      <c r="B2159" s="118"/>
      <c r="C2159" s="118"/>
      <c r="D2159" s="118"/>
      <c r="E2159" s="118"/>
    </row>
    <row r="2160" spans="1:5" x14ac:dyDescent="0.25">
      <c r="A2160" s="118"/>
      <c r="B2160" s="118"/>
      <c r="C2160" s="118"/>
      <c r="D2160" s="118"/>
      <c r="E2160" s="118"/>
    </row>
    <row r="2161" spans="1:5" x14ac:dyDescent="0.25">
      <c r="A2161" s="118"/>
      <c r="B2161" s="118"/>
      <c r="C2161" s="118"/>
      <c r="D2161" s="118"/>
      <c r="E2161" s="118"/>
    </row>
    <row r="2162" spans="1:5" x14ac:dyDescent="0.25">
      <c r="A2162" s="118"/>
      <c r="B2162" s="118"/>
      <c r="C2162" s="118"/>
      <c r="D2162" s="118"/>
      <c r="E2162" s="118"/>
    </row>
    <row r="2163" spans="1:5" x14ac:dyDescent="0.25">
      <c r="A2163" s="118"/>
      <c r="B2163" s="118"/>
      <c r="C2163" s="118"/>
      <c r="D2163" s="118"/>
      <c r="E2163" s="118"/>
    </row>
    <row r="2164" spans="1:5" x14ac:dyDescent="0.25">
      <c r="A2164" s="118"/>
      <c r="B2164" s="118"/>
      <c r="C2164" s="118"/>
      <c r="D2164" s="118"/>
      <c r="E2164" s="118"/>
    </row>
    <row r="2165" spans="1:5" x14ac:dyDescent="0.25">
      <c r="A2165" s="118"/>
      <c r="B2165" s="118"/>
      <c r="C2165" s="118"/>
      <c r="D2165" s="118"/>
      <c r="E2165" s="118"/>
    </row>
    <row r="2166" spans="1:5" x14ac:dyDescent="0.25">
      <c r="A2166" s="118"/>
      <c r="B2166" s="118"/>
      <c r="C2166" s="118"/>
      <c r="D2166" s="118"/>
      <c r="E2166" s="118"/>
    </row>
    <row r="2167" spans="1:5" x14ac:dyDescent="0.25">
      <c r="A2167" s="118"/>
      <c r="B2167" s="118"/>
      <c r="C2167" s="118"/>
      <c r="D2167" s="118"/>
      <c r="E2167" s="118"/>
    </row>
    <row r="2168" spans="1:5" x14ac:dyDescent="0.25">
      <c r="A2168" s="118"/>
      <c r="B2168" s="118"/>
      <c r="C2168" s="118"/>
      <c r="D2168" s="118"/>
      <c r="E2168" s="118"/>
    </row>
    <row r="2169" spans="1:5" x14ac:dyDescent="0.25">
      <c r="A2169" s="118"/>
      <c r="B2169" s="118"/>
      <c r="C2169" s="118"/>
      <c r="D2169" s="118"/>
      <c r="E2169" s="118"/>
    </row>
    <row r="2170" spans="1:5" x14ac:dyDescent="0.25">
      <c r="A2170" s="118"/>
      <c r="B2170" s="118"/>
      <c r="C2170" s="118"/>
      <c r="D2170" s="118"/>
      <c r="E2170" s="118"/>
    </row>
    <row r="2171" spans="1:5" x14ac:dyDescent="0.25">
      <c r="A2171" s="118"/>
      <c r="B2171" s="118"/>
      <c r="C2171" s="118"/>
      <c r="D2171" s="118"/>
      <c r="E2171" s="118"/>
    </row>
    <row r="2172" spans="1:5" x14ac:dyDescent="0.25">
      <c r="A2172" s="118"/>
      <c r="B2172" s="118"/>
      <c r="C2172" s="118"/>
      <c r="D2172" s="118"/>
      <c r="E2172" s="118"/>
    </row>
    <row r="2173" spans="1:5" x14ac:dyDescent="0.25">
      <c r="A2173" s="118"/>
      <c r="B2173" s="118"/>
      <c r="C2173" s="118"/>
      <c r="D2173" s="118"/>
      <c r="E2173" s="118"/>
    </row>
    <row r="2174" spans="1:5" x14ac:dyDescent="0.25">
      <c r="A2174" s="118"/>
      <c r="B2174" s="118"/>
      <c r="C2174" s="118"/>
      <c r="D2174" s="118"/>
      <c r="E2174" s="118"/>
    </row>
    <row r="2175" spans="1:5" x14ac:dyDescent="0.25">
      <c r="A2175" s="118"/>
      <c r="B2175" s="118"/>
      <c r="C2175" s="118"/>
      <c r="D2175" s="118"/>
      <c r="E2175" s="118"/>
    </row>
    <row r="2176" spans="1:5" x14ac:dyDescent="0.25">
      <c r="A2176" s="118"/>
      <c r="B2176" s="118"/>
      <c r="C2176" s="118"/>
      <c r="D2176" s="118"/>
      <c r="E2176" s="118"/>
    </row>
    <row r="2177" spans="1:5" x14ac:dyDescent="0.25">
      <c r="A2177" s="118"/>
      <c r="B2177" s="118"/>
      <c r="C2177" s="118"/>
      <c r="D2177" s="118"/>
      <c r="E2177" s="118"/>
    </row>
    <row r="2178" spans="1:5" x14ac:dyDescent="0.25">
      <c r="A2178" s="118"/>
      <c r="B2178" s="118"/>
      <c r="C2178" s="118"/>
      <c r="D2178" s="118"/>
      <c r="E2178" s="118"/>
    </row>
    <row r="2179" spans="1:5" x14ac:dyDescent="0.25">
      <c r="A2179" s="118"/>
      <c r="B2179" s="118"/>
      <c r="C2179" s="118"/>
      <c r="D2179" s="118"/>
      <c r="E2179" s="118"/>
    </row>
    <row r="2180" spans="1:5" x14ac:dyDescent="0.25">
      <c r="A2180" s="118"/>
      <c r="B2180" s="118"/>
      <c r="C2180" s="118"/>
      <c r="D2180" s="118"/>
      <c r="E2180" s="118"/>
    </row>
    <row r="2181" spans="1:5" x14ac:dyDescent="0.25">
      <c r="A2181" s="118"/>
      <c r="B2181" s="118"/>
      <c r="C2181" s="118"/>
      <c r="D2181" s="118"/>
      <c r="E2181" s="118"/>
    </row>
    <row r="2182" spans="1:5" x14ac:dyDescent="0.25">
      <c r="A2182" s="118"/>
      <c r="B2182" s="118"/>
      <c r="C2182" s="118"/>
      <c r="D2182" s="118"/>
      <c r="E2182" s="118"/>
    </row>
    <row r="2183" spans="1:5" x14ac:dyDescent="0.25">
      <c r="A2183" s="118"/>
      <c r="B2183" s="118"/>
      <c r="C2183" s="118"/>
      <c r="D2183" s="118"/>
      <c r="E2183" s="118"/>
    </row>
    <row r="2184" spans="1:5" x14ac:dyDescent="0.25">
      <c r="A2184" s="118"/>
      <c r="B2184" s="118"/>
      <c r="C2184" s="118"/>
      <c r="D2184" s="118"/>
      <c r="E2184" s="118"/>
    </row>
    <row r="2185" spans="1:5" x14ac:dyDescent="0.25">
      <c r="A2185" s="118"/>
      <c r="B2185" s="118"/>
      <c r="C2185" s="118"/>
      <c r="D2185" s="118"/>
      <c r="E2185" s="118"/>
    </row>
    <row r="2186" spans="1:5" x14ac:dyDescent="0.25">
      <c r="A2186" s="118"/>
      <c r="B2186" s="118"/>
      <c r="C2186" s="118"/>
      <c r="D2186" s="118"/>
      <c r="E2186" s="118"/>
    </row>
    <row r="2187" spans="1:5" x14ac:dyDescent="0.25">
      <c r="A2187" s="118"/>
      <c r="B2187" s="118"/>
      <c r="C2187" s="118"/>
      <c r="D2187" s="118"/>
      <c r="E2187" s="118"/>
    </row>
    <row r="2188" spans="1:5" x14ac:dyDescent="0.25">
      <c r="A2188" s="118"/>
      <c r="B2188" s="118"/>
      <c r="C2188" s="118"/>
      <c r="D2188" s="118"/>
      <c r="E2188" s="118"/>
    </row>
    <row r="2189" spans="1:5" x14ac:dyDescent="0.25">
      <c r="A2189" s="118"/>
      <c r="B2189" s="118"/>
      <c r="C2189" s="118"/>
      <c r="D2189" s="118"/>
      <c r="E2189" s="118"/>
    </row>
    <row r="2190" spans="1:5" x14ac:dyDescent="0.25">
      <c r="A2190" s="118"/>
      <c r="B2190" s="118"/>
      <c r="C2190" s="118"/>
      <c r="D2190" s="118"/>
      <c r="E2190" s="118"/>
    </row>
    <row r="2191" spans="1:5" x14ac:dyDescent="0.25">
      <c r="A2191" s="118"/>
      <c r="B2191" s="118"/>
      <c r="C2191" s="118"/>
      <c r="D2191" s="118"/>
      <c r="E2191" s="118"/>
    </row>
    <row r="2192" spans="1:5" x14ac:dyDescent="0.25">
      <c r="A2192" s="118"/>
      <c r="B2192" s="118"/>
      <c r="C2192" s="118"/>
      <c r="D2192" s="118"/>
      <c r="E2192" s="118"/>
    </row>
    <row r="2193" spans="1:5" x14ac:dyDescent="0.25">
      <c r="A2193" s="118"/>
      <c r="B2193" s="118"/>
      <c r="C2193" s="118"/>
      <c r="D2193" s="118"/>
      <c r="E2193" s="118"/>
    </row>
    <row r="2194" spans="1:5" x14ac:dyDescent="0.25">
      <c r="A2194" s="118"/>
      <c r="B2194" s="118"/>
      <c r="C2194" s="118"/>
      <c r="D2194" s="118"/>
      <c r="E2194" s="118"/>
    </row>
    <row r="2195" spans="1:5" x14ac:dyDescent="0.25">
      <c r="A2195" s="118"/>
      <c r="B2195" s="118"/>
      <c r="C2195" s="118"/>
      <c r="D2195" s="118"/>
      <c r="E2195" s="118"/>
    </row>
    <row r="2196" spans="1:5" x14ac:dyDescent="0.25">
      <c r="A2196" s="118"/>
      <c r="B2196" s="118"/>
      <c r="C2196" s="118"/>
      <c r="D2196" s="118"/>
      <c r="E2196" s="118"/>
    </row>
    <row r="2197" spans="1:5" x14ac:dyDescent="0.25">
      <c r="A2197" s="118"/>
      <c r="B2197" s="118"/>
      <c r="C2197" s="118"/>
      <c r="D2197" s="118"/>
      <c r="E2197" s="118"/>
    </row>
    <row r="2198" spans="1:5" x14ac:dyDescent="0.25">
      <c r="A2198" s="118"/>
      <c r="B2198" s="118"/>
      <c r="C2198" s="118"/>
      <c r="D2198" s="118"/>
      <c r="E2198" s="118"/>
    </row>
    <row r="2199" spans="1:5" x14ac:dyDescent="0.25">
      <c r="A2199" s="118"/>
      <c r="B2199" s="118"/>
      <c r="C2199" s="118"/>
      <c r="D2199" s="118"/>
      <c r="E2199" s="118"/>
    </row>
    <row r="2200" spans="1:5" x14ac:dyDescent="0.25">
      <c r="A2200" s="118"/>
      <c r="B2200" s="118"/>
      <c r="C2200" s="118"/>
      <c r="D2200" s="118"/>
      <c r="E2200" s="118"/>
    </row>
    <row r="2201" spans="1:5" x14ac:dyDescent="0.25">
      <c r="A2201" s="118"/>
      <c r="B2201" s="118"/>
      <c r="C2201" s="118"/>
      <c r="D2201" s="118"/>
      <c r="E2201" s="118"/>
    </row>
    <row r="2202" spans="1:5" x14ac:dyDescent="0.25">
      <c r="A2202" s="118"/>
      <c r="B2202" s="118"/>
      <c r="C2202" s="118"/>
      <c r="D2202" s="118"/>
      <c r="E2202" s="118"/>
    </row>
    <row r="2203" spans="1:5" x14ac:dyDescent="0.25">
      <c r="A2203" s="118"/>
      <c r="B2203" s="118"/>
      <c r="C2203" s="118"/>
      <c r="D2203" s="118"/>
      <c r="E2203" s="118"/>
    </row>
    <row r="2204" spans="1:5" x14ac:dyDescent="0.25">
      <c r="A2204" s="118"/>
      <c r="B2204" s="118"/>
      <c r="C2204" s="118"/>
      <c r="D2204" s="118"/>
      <c r="E2204" s="118"/>
    </row>
    <row r="2205" spans="1:5" x14ac:dyDescent="0.25">
      <c r="A2205" s="118"/>
      <c r="B2205" s="118"/>
      <c r="C2205" s="118"/>
      <c r="D2205" s="118"/>
      <c r="E2205" s="118"/>
    </row>
    <row r="2206" spans="1:5" x14ac:dyDescent="0.25">
      <c r="A2206" s="118"/>
      <c r="B2206" s="118"/>
      <c r="C2206" s="118"/>
      <c r="D2206" s="118"/>
      <c r="E2206" s="118"/>
    </row>
    <row r="2207" spans="1:5" x14ac:dyDescent="0.25">
      <c r="A2207" s="118"/>
      <c r="B2207" s="118"/>
      <c r="C2207" s="118"/>
      <c r="D2207" s="118"/>
      <c r="E2207" s="118"/>
    </row>
    <row r="2208" spans="1:5" x14ac:dyDescent="0.25">
      <c r="A2208" s="118"/>
      <c r="B2208" s="118"/>
      <c r="C2208" s="118"/>
      <c r="D2208" s="118"/>
      <c r="E2208" s="118"/>
    </row>
    <row r="2209" spans="1:5" x14ac:dyDescent="0.25">
      <c r="A2209" s="118"/>
      <c r="B2209" s="118"/>
      <c r="C2209" s="118"/>
      <c r="D2209" s="118"/>
      <c r="E2209" s="118"/>
    </row>
    <row r="2210" spans="1:5" x14ac:dyDescent="0.25">
      <c r="A2210" s="118"/>
      <c r="B2210" s="118"/>
      <c r="C2210" s="118"/>
      <c r="D2210" s="118"/>
      <c r="E2210" s="118"/>
    </row>
    <row r="2211" spans="1:5" x14ac:dyDescent="0.25">
      <c r="A2211" s="118"/>
      <c r="B2211" s="118"/>
      <c r="C2211" s="118"/>
      <c r="D2211" s="118"/>
      <c r="E2211" s="118"/>
    </row>
    <row r="2212" spans="1:5" x14ac:dyDescent="0.25">
      <c r="A2212" s="118"/>
      <c r="B2212" s="118"/>
      <c r="C2212" s="118"/>
      <c r="D2212" s="118"/>
      <c r="E2212" s="118"/>
    </row>
    <row r="2213" spans="1:5" x14ac:dyDescent="0.25">
      <c r="A2213" s="118"/>
      <c r="B2213" s="118"/>
      <c r="C2213" s="118"/>
      <c r="D2213" s="118"/>
      <c r="E2213" s="118"/>
    </row>
    <row r="2214" spans="1:5" x14ac:dyDescent="0.25">
      <c r="A2214" s="118"/>
      <c r="B2214" s="118"/>
      <c r="C2214" s="118"/>
      <c r="D2214" s="118"/>
      <c r="E2214" s="118"/>
    </row>
    <row r="2215" spans="1:5" x14ac:dyDescent="0.25">
      <c r="A2215" s="118"/>
      <c r="B2215" s="118"/>
      <c r="C2215" s="118"/>
      <c r="D2215" s="118"/>
      <c r="E2215" s="118"/>
    </row>
    <row r="2216" spans="1:5" x14ac:dyDescent="0.25">
      <c r="A2216" s="118"/>
      <c r="B2216" s="118"/>
      <c r="C2216" s="118"/>
      <c r="D2216" s="118"/>
      <c r="E2216" s="118"/>
    </row>
    <row r="2217" spans="1:5" x14ac:dyDescent="0.25">
      <c r="A2217" s="118"/>
      <c r="B2217" s="118"/>
      <c r="C2217" s="118"/>
      <c r="D2217" s="118"/>
      <c r="E2217" s="118"/>
    </row>
    <row r="2218" spans="1:5" x14ac:dyDescent="0.25">
      <c r="A2218" s="118"/>
      <c r="B2218" s="118"/>
      <c r="C2218" s="118"/>
      <c r="D2218" s="118"/>
      <c r="E2218" s="118"/>
    </row>
    <row r="2219" spans="1:5" x14ac:dyDescent="0.25">
      <c r="A2219" s="118"/>
      <c r="B2219" s="118"/>
      <c r="C2219" s="118"/>
      <c r="D2219" s="118"/>
      <c r="E2219" s="118"/>
    </row>
    <row r="2220" spans="1:5" x14ac:dyDescent="0.25">
      <c r="A2220" s="118"/>
      <c r="B2220" s="118"/>
      <c r="C2220" s="118"/>
      <c r="D2220" s="118"/>
      <c r="E2220" s="118"/>
    </row>
    <row r="2221" spans="1:5" x14ac:dyDescent="0.25">
      <c r="A2221" s="118"/>
      <c r="B2221" s="118"/>
      <c r="C2221" s="118"/>
      <c r="D2221" s="118"/>
      <c r="E2221" s="118"/>
    </row>
    <row r="2222" spans="1:5" x14ac:dyDescent="0.25">
      <c r="A2222" s="118"/>
      <c r="B2222" s="118"/>
      <c r="C2222" s="118"/>
      <c r="D2222" s="118"/>
      <c r="E2222" s="118"/>
    </row>
    <row r="2223" spans="1:5" x14ac:dyDescent="0.25">
      <c r="A2223" s="118"/>
      <c r="B2223" s="118"/>
      <c r="C2223" s="118"/>
      <c r="D2223" s="118"/>
      <c r="E2223" s="118"/>
    </row>
    <row r="2224" spans="1:5" x14ac:dyDescent="0.25">
      <c r="A2224" s="118"/>
      <c r="B2224" s="118"/>
      <c r="C2224" s="118"/>
      <c r="D2224" s="118"/>
      <c r="E2224" s="118"/>
    </row>
    <row r="2225" spans="1:5" x14ac:dyDescent="0.25">
      <c r="A2225" s="118"/>
      <c r="B2225" s="118"/>
      <c r="C2225" s="118"/>
      <c r="D2225" s="118"/>
      <c r="E2225" s="118"/>
    </row>
    <row r="2226" spans="1:5" x14ac:dyDescent="0.25">
      <c r="A2226" s="118"/>
      <c r="B2226" s="118"/>
      <c r="C2226" s="118"/>
      <c r="D2226" s="118"/>
      <c r="E2226" s="118"/>
    </row>
    <row r="2227" spans="1:5" x14ac:dyDescent="0.25">
      <c r="A2227" s="118"/>
      <c r="B2227" s="118"/>
      <c r="C2227" s="118"/>
      <c r="D2227" s="118"/>
      <c r="E2227" s="118"/>
    </row>
    <row r="2228" spans="1:5" x14ac:dyDescent="0.25">
      <c r="A2228" s="118"/>
      <c r="B2228" s="118"/>
      <c r="C2228" s="118"/>
      <c r="D2228" s="118"/>
      <c r="E2228" s="118"/>
    </row>
    <row r="2229" spans="1:5" x14ac:dyDescent="0.25">
      <c r="A2229" s="118"/>
      <c r="B2229" s="118"/>
      <c r="C2229" s="118"/>
      <c r="D2229" s="118"/>
      <c r="E2229" s="118"/>
    </row>
    <row r="2230" spans="1:5" x14ac:dyDescent="0.25">
      <c r="A2230" s="118"/>
      <c r="B2230" s="118"/>
      <c r="C2230" s="118"/>
      <c r="D2230" s="118"/>
      <c r="E2230" s="118"/>
    </row>
    <row r="2231" spans="1:5" x14ac:dyDescent="0.25">
      <c r="A2231" s="118"/>
      <c r="B2231" s="118"/>
      <c r="C2231" s="118"/>
      <c r="D2231" s="118"/>
      <c r="E2231" s="118"/>
    </row>
    <row r="2232" spans="1:5" x14ac:dyDescent="0.25">
      <c r="A2232" s="118"/>
      <c r="B2232" s="118"/>
      <c r="C2232" s="118"/>
      <c r="D2232" s="118"/>
      <c r="E2232" s="118"/>
    </row>
    <row r="2233" spans="1:5" x14ac:dyDescent="0.25">
      <c r="A2233" s="118"/>
      <c r="B2233" s="118"/>
      <c r="C2233" s="118"/>
      <c r="D2233" s="118"/>
      <c r="E2233" s="118"/>
    </row>
    <row r="2234" spans="1:5" x14ac:dyDescent="0.25">
      <c r="A2234" s="118"/>
      <c r="B2234" s="118"/>
      <c r="C2234" s="118"/>
      <c r="D2234" s="118"/>
      <c r="E2234" s="118"/>
    </row>
    <row r="2235" spans="1:5" x14ac:dyDescent="0.25">
      <c r="A2235" s="118"/>
      <c r="B2235" s="118"/>
      <c r="C2235" s="118"/>
      <c r="D2235" s="118"/>
      <c r="E2235" s="118"/>
    </row>
    <row r="2236" spans="1:5" x14ac:dyDescent="0.25">
      <c r="A2236" s="118"/>
      <c r="B2236" s="118"/>
      <c r="C2236" s="118"/>
      <c r="D2236" s="118"/>
      <c r="E2236" s="118"/>
    </row>
    <row r="2237" spans="1:5" x14ac:dyDescent="0.25">
      <c r="A2237" s="118"/>
      <c r="B2237" s="118"/>
      <c r="C2237" s="118"/>
      <c r="D2237" s="118"/>
      <c r="E2237" s="118"/>
    </row>
    <row r="2238" spans="1:5" x14ac:dyDescent="0.25">
      <c r="A2238" s="118"/>
      <c r="B2238" s="118"/>
      <c r="C2238" s="118"/>
      <c r="D2238" s="118"/>
      <c r="E2238" s="118"/>
    </row>
    <row r="2239" spans="1:5" x14ac:dyDescent="0.25">
      <c r="A2239" s="118"/>
      <c r="B2239" s="118"/>
      <c r="C2239" s="118"/>
      <c r="D2239" s="118"/>
      <c r="E2239" s="118"/>
    </row>
    <row r="2240" spans="1:5" x14ac:dyDescent="0.25">
      <c r="A2240" s="118"/>
      <c r="B2240" s="118"/>
      <c r="C2240" s="118"/>
      <c r="D2240" s="118"/>
      <c r="E2240" s="118"/>
    </row>
    <row r="2241" spans="1:5" x14ac:dyDescent="0.25">
      <c r="A2241" s="118"/>
      <c r="B2241" s="118"/>
      <c r="C2241" s="118"/>
      <c r="D2241" s="118"/>
      <c r="E2241" s="118"/>
    </row>
    <row r="2242" spans="1:5" x14ac:dyDescent="0.25">
      <c r="A2242" s="118"/>
      <c r="B2242" s="118"/>
      <c r="C2242" s="118"/>
      <c r="D2242" s="118"/>
      <c r="E2242" s="118"/>
    </row>
    <row r="2243" spans="1:5" x14ac:dyDescent="0.25">
      <c r="A2243" s="118"/>
      <c r="B2243" s="118"/>
      <c r="C2243" s="118"/>
      <c r="D2243" s="118"/>
      <c r="E2243" s="118"/>
    </row>
    <row r="2244" spans="1:5" x14ac:dyDescent="0.25">
      <c r="A2244" s="118"/>
      <c r="B2244" s="118"/>
      <c r="C2244" s="118"/>
      <c r="D2244" s="118"/>
      <c r="E2244" s="118"/>
    </row>
    <row r="2245" spans="1:5" x14ac:dyDescent="0.25">
      <c r="A2245" s="118"/>
      <c r="B2245" s="118"/>
      <c r="C2245" s="118"/>
      <c r="D2245" s="118"/>
      <c r="E2245" s="118"/>
    </row>
    <row r="2246" spans="1:5" x14ac:dyDescent="0.25">
      <c r="A2246" s="118"/>
      <c r="B2246" s="118"/>
      <c r="C2246" s="118"/>
      <c r="D2246" s="118"/>
      <c r="E2246" s="118"/>
    </row>
    <row r="2247" spans="1:5" x14ac:dyDescent="0.25">
      <c r="A2247" s="118"/>
      <c r="B2247" s="118"/>
      <c r="C2247" s="118"/>
      <c r="D2247" s="118"/>
      <c r="E2247" s="118"/>
    </row>
    <row r="2248" spans="1:5" x14ac:dyDescent="0.25">
      <c r="A2248" s="118"/>
      <c r="B2248" s="118"/>
      <c r="C2248" s="118"/>
      <c r="D2248" s="118"/>
      <c r="E2248" s="118"/>
    </row>
    <row r="2249" spans="1:5" x14ac:dyDescent="0.25">
      <c r="A2249" s="118"/>
      <c r="B2249" s="118"/>
      <c r="C2249" s="118"/>
      <c r="D2249" s="118"/>
      <c r="E2249" s="118"/>
    </row>
    <row r="2250" spans="1:5" x14ac:dyDescent="0.25">
      <c r="A2250" s="118"/>
      <c r="B2250" s="118"/>
      <c r="C2250" s="118"/>
      <c r="D2250" s="118"/>
      <c r="E2250" s="118"/>
    </row>
    <row r="2251" spans="1:5" x14ac:dyDescent="0.25">
      <c r="A2251" s="118"/>
      <c r="B2251" s="118"/>
      <c r="C2251" s="118"/>
      <c r="D2251" s="118"/>
      <c r="E2251" s="118"/>
    </row>
    <row r="2252" spans="1:5" x14ac:dyDescent="0.25">
      <c r="A2252" s="118"/>
      <c r="B2252" s="118"/>
      <c r="C2252" s="118"/>
      <c r="D2252" s="118"/>
      <c r="E2252" s="118"/>
    </row>
    <row r="2253" spans="1:5" x14ac:dyDescent="0.25">
      <c r="A2253" s="118"/>
      <c r="B2253" s="118"/>
      <c r="C2253" s="118"/>
      <c r="D2253" s="118"/>
      <c r="E2253" s="118"/>
    </row>
    <row r="2254" spans="1:5" x14ac:dyDescent="0.25">
      <c r="A2254" s="118"/>
      <c r="B2254" s="118"/>
      <c r="C2254" s="118"/>
      <c r="D2254" s="118"/>
      <c r="E2254" s="118"/>
    </row>
    <row r="2255" spans="1:5" x14ac:dyDescent="0.25">
      <c r="A2255" s="118"/>
      <c r="B2255" s="118"/>
      <c r="C2255" s="118"/>
      <c r="D2255" s="118"/>
      <c r="E2255" s="118"/>
    </row>
    <row r="2256" spans="1:5" x14ac:dyDescent="0.25">
      <c r="A2256" s="118"/>
      <c r="B2256" s="118"/>
      <c r="C2256" s="118"/>
      <c r="D2256" s="118"/>
      <c r="E2256" s="118"/>
    </row>
    <row r="2257" spans="1:5" x14ac:dyDescent="0.25">
      <c r="A2257" s="118"/>
      <c r="B2257" s="118"/>
      <c r="C2257" s="118"/>
      <c r="D2257" s="118"/>
      <c r="E2257" s="118"/>
    </row>
    <row r="2258" spans="1:5" x14ac:dyDescent="0.25">
      <c r="A2258" s="118"/>
      <c r="B2258" s="118"/>
      <c r="C2258" s="118"/>
      <c r="D2258" s="118"/>
      <c r="E2258" s="118"/>
    </row>
    <row r="2259" spans="1:5" x14ac:dyDescent="0.25">
      <c r="A2259" s="118"/>
      <c r="B2259" s="118"/>
      <c r="C2259" s="118"/>
      <c r="D2259" s="118"/>
      <c r="E2259" s="118"/>
    </row>
    <row r="2260" spans="1:5" x14ac:dyDescent="0.25">
      <c r="A2260" s="118"/>
      <c r="B2260" s="118"/>
      <c r="C2260" s="118"/>
      <c r="D2260" s="118"/>
      <c r="E2260" s="118"/>
    </row>
    <row r="2261" spans="1:5" x14ac:dyDescent="0.25">
      <c r="A2261" s="118"/>
      <c r="B2261" s="118"/>
      <c r="C2261" s="118"/>
      <c r="D2261" s="118"/>
      <c r="E2261" s="118"/>
    </row>
    <row r="2262" spans="1:5" x14ac:dyDescent="0.25">
      <c r="A2262" s="118"/>
      <c r="B2262" s="118"/>
      <c r="C2262" s="118"/>
      <c r="D2262" s="118"/>
      <c r="E2262" s="118"/>
    </row>
    <row r="2263" spans="1:5" x14ac:dyDescent="0.25">
      <c r="A2263" s="118"/>
      <c r="B2263" s="118"/>
      <c r="C2263" s="118"/>
      <c r="D2263" s="118"/>
      <c r="E2263" s="118"/>
    </row>
    <row r="2264" spans="1:5" x14ac:dyDescent="0.25">
      <c r="A2264" s="118"/>
      <c r="B2264" s="118"/>
      <c r="C2264" s="118"/>
      <c r="D2264" s="118"/>
      <c r="E2264" s="118"/>
    </row>
    <row r="2265" spans="1:5" x14ac:dyDescent="0.25">
      <c r="A2265" s="118"/>
      <c r="B2265" s="118"/>
      <c r="C2265" s="118"/>
      <c r="D2265" s="118"/>
      <c r="E2265" s="118"/>
    </row>
    <row r="2266" spans="1:5" x14ac:dyDescent="0.25">
      <c r="A2266" s="118"/>
      <c r="B2266" s="118"/>
      <c r="C2266" s="118"/>
      <c r="D2266" s="118"/>
      <c r="E2266" s="118"/>
    </row>
    <row r="2267" spans="1:5" x14ac:dyDescent="0.25">
      <c r="A2267" s="118"/>
      <c r="B2267" s="118"/>
      <c r="C2267" s="118"/>
      <c r="D2267" s="118"/>
      <c r="E2267" s="118"/>
    </row>
    <row r="2268" spans="1:5" x14ac:dyDescent="0.25">
      <c r="A2268" s="118"/>
      <c r="B2268" s="118"/>
      <c r="C2268" s="118"/>
      <c r="D2268" s="118"/>
      <c r="E2268" s="118"/>
    </row>
    <row r="2269" spans="1:5" x14ac:dyDescent="0.25">
      <c r="A2269" s="118"/>
      <c r="B2269" s="118"/>
      <c r="C2269" s="118"/>
      <c r="D2269" s="118"/>
      <c r="E2269" s="118"/>
    </row>
    <row r="2270" spans="1:5" x14ac:dyDescent="0.25">
      <c r="A2270" s="118"/>
      <c r="B2270" s="118"/>
      <c r="C2270" s="118"/>
      <c r="D2270" s="118"/>
      <c r="E2270" s="118"/>
    </row>
    <row r="2271" spans="1:5" x14ac:dyDescent="0.25">
      <c r="A2271" s="118"/>
      <c r="B2271" s="118"/>
      <c r="C2271" s="118"/>
      <c r="D2271" s="118"/>
      <c r="E2271" s="118"/>
    </row>
    <row r="2272" spans="1:5" x14ac:dyDescent="0.25">
      <c r="A2272" s="118"/>
      <c r="B2272" s="118"/>
      <c r="C2272" s="118"/>
      <c r="D2272" s="118"/>
      <c r="E2272" s="118"/>
    </row>
    <row r="2273" spans="1:5" x14ac:dyDescent="0.25">
      <c r="A2273" s="118"/>
      <c r="B2273" s="118"/>
      <c r="C2273" s="118"/>
      <c r="D2273" s="118"/>
      <c r="E2273" s="118"/>
    </row>
    <row r="2274" spans="1:5" x14ac:dyDescent="0.25">
      <c r="A2274" s="118"/>
      <c r="B2274" s="118"/>
      <c r="C2274" s="118"/>
      <c r="D2274" s="118"/>
      <c r="E2274" s="118"/>
    </row>
    <row r="2275" spans="1:5" x14ac:dyDescent="0.25">
      <c r="A2275" s="118"/>
      <c r="B2275" s="118"/>
      <c r="C2275" s="118"/>
      <c r="D2275" s="118"/>
      <c r="E2275" s="118"/>
    </row>
    <row r="2276" spans="1:5" x14ac:dyDescent="0.25">
      <c r="A2276" s="118"/>
      <c r="B2276" s="118"/>
      <c r="C2276" s="118"/>
      <c r="D2276" s="118"/>
      <c r="E2276" s="118"/>
    </row>
    <row r="2277" spans="1:5" x14ac:dyDescent="0.25">
      <c r="A2277" s="118"/>
      <c r="B2277" s="118"/>
      <c r="C2277" s="118"/>
      <c r="D2277" s="118"/>
      <c r="E2277" s="118"/>
    </row>
    <row r="2278" spans="1:5" x14ac:dyDescent="0.25">
      <c r="A2278" s="118"/>
      <c r="B2278" s="118"/>
      <c r="C2278" s="118"/>
      <c r="D2278" s="118"/>
      <c r="E2278" s="118"/>
    </row>
    <row r="2279" spans="1:5" x14ac:dyDescent="0.25">
      <c r="A2279" s="118"/>
      <c r="B2279" s="118"/>
      <c r="C2279" s="118"/>
      <c r="D2279" s="118"/>
      <c r="E2279" s="118"/>
    </row>
    <row r="2280" spans="1:5" x14ac:dyDescent="0.25">
      <c r="A2280" s="118"/>
      <c r="B2280" s="118"/>
      <c r="C2280" s="118"/>
      <c r="D2280" s="118"/>
      <c r="E2280" s="118"/>
    </row>
    <row r="2281" spans="1:5" x14ac:dyDescent="0.25">
      <c r="A2281" s="118"/>
      <c r="B2281" s="118"/>
      <c r="C2281" s="118"/>
      <c r="D2281" s="118"/>
      <c r="E2281" s="118"/>
    </row>
    <row r="2282" spans="1:5" x14ac:dyDescent="0.25">
      <c r="A2282" s="118"/>
      <c r="B2282" s="118"/>
      <c r="C2282" s="118"/>
      <c r="D2282" s="118"/>
      <c r="E2282" s="118"/>
    </row>
    <row r="2283" spans="1:5" x14ac:dyDescent="0.25">
      <c r="A2283" s="118"/>
      <c r="B2283" s="118"/>
      <c r="C2283" s="118"/>
      <c r="D2283" s="118"/>
      <c r="E2283" s="118"/>
    </row>
    <row r="2284" spans="1:5" x14ac:dyDescent="0.25">
      <c r="A2284" s="118"/>
      <c r="B2284" s="118"/>
      <c r="C2284" s="118"/>
      <c r="D2284" s="118"/>
      <c r="E2284" s="118"/>
    </row>
    <row r="2285" spans="1:5" x14ac:dyDescent="0.25">
      <c r="A2285" s="118"/>
      <c r="B2285" s="118"/>
      <c r="C2285" s="118"/>
      <c r="D2285" s="118"/>
      <c r="E2285" s="118"/>
    </row>
    <row r="2286" spans="1:5" x14ac:dyDescent="0.25">
      <c r="A2286" s="118"/>
      <c r="B2286" s="118"/>
      <c r="C2286" s="118"/>
      <c r="D2286" s="118"/>
      <c r="E2286" s="118"/>
    </row>
    <row r="2287" spans="1:5" x14ac:dyDescent="0.25">
      <c r="A2287" s="118"/>
      <c r="B2287" s="118"/>
      <c r="C2287" s="118"/>
      <c r="D2287" s="118"/>
      <c r="E2287" s="118"/>
    </row>
    <row r="2288" spans="1:5" x14ac:dyDescent="0.25">
      <c r="A2288" s="118"/>
      <c r="B2288" s="118"/>
      <c r="C2288" s="118"/>
      <c r="D2288" s="118"/>
      <c r="E2288" s="118"/>
    </row>
    <row r="2289" spans="1:5" x14ac:dyDescent="0.25">
      <c r="A2289" s="118"/>
      <c r="B2289" s="118"/>
      <c r="C2289" s="118"/>
      <c r="D2289" s="118"/>
      <c r="E2289" s="118"/>
    </row>
    <row r="2290" spans="1:5" x14ac:dyDescent="0.25">
      <c r="A2290" s="118"/>
      <c r="B2290" s="118"/>
      <c r="C2290" s="118"/>
      <c r="D2290" s="118"/>
      <c r="E2290" s="118"/>
    </row>
    <row r="2291" spans="1:5" x14ac:dyDescent="0.25">
      <c r="A2291" s="118"/>
      <c r="B2291" s="118"/>
      <c r="C2291" s="118"/>
      <c r="D2291" s="118"/>
      <c r="E2291" s="118"/>
    </row>
    <row r="2292" spans="1:5" x14ac:dyDescent="0.25">
      <c r="A2292" s="118"/>
      <c r="B2292" s="118"/>
      <c r="C2292" s="118"/>
      <c r="D2292" s="118"/>
      <c r="E2292" s="118"/>
    </row>
    <row r="2293" spans="1:5" x14ac:dyDescent="0.25">
      <c r="A2293" s="118"/>
      <c r="B2293" s="118"/>
      <c r="C2293" s="118"/>
      <c r="D2293" s="118"/>
      <c r="E2293" s="118"/>
    </row>
    <row r="2294" spans="1:5" x14ac:dyDescent="0.25">
      <c r="A2294" s="118"/>
      <c r="B2294" s="118"/>
      <c r="C2294" s="118"/>
      <c r="D2294" s="118"/>
      <c r="E2294" s="118"/>
    </row>
    <row r="2295" spans="1:5" x14ac:dyDescent="0.25">
      <c r="A2295" s="118"/>
      <c r="B2295" s="118"/>
      <c r="C2295" s="118"/>
      <c r="D2295" s="118"/>
      <c r="E2295" s="118"/>
    </row>
    <row r="2296" spans="1:5" x14ac:dyDescent="0.25">
      <c r="A2296" s="118"/>
      <c r="B2296" s="118"/>
      <c r="C2296" s="118"/>
      <c r="D2296" s="118"/>
      <c r="E2296" s="118"/>
    </row>
    <row r="2297" spans="1:5" x14ac:dyDescent="0.25">
      <c r="A2297" s="118"/>
      <c r="B2297" s="118"/>
      <c r="C2297" s="118"/>
      <c r="D2297" s="118"/>
      <c r="E2297" s="118"/>
    </row>
    <row r="2298" spans="1:5" x14ac:dyDescent="0.25">
      <c r="A2298" s="118"/>
      <c r="B2298" s="118"/>
      <c r="C2298" s="118"/>
      <c r="D2298" s="118"/>
      <c r="E2298" s="118"/>
    </row>
    <row r="2299" spans="1:5" x14ac:dyDescent="0.25">
      <c r="A2299" s="118"/>
      <c r="B2299" s="118"/>
      <c r="C2299" s="118"/>
      <c r="D2299" s="118"/>
      <c r="E2299" s="118"/>
    </row>
    <row r="2300" spans="1:5" x14ac:dyDescent="0.25">
      <c r="A2300" s="118"/>
      <c r="B2300" s="118"/>
      <c r="C2300" s="118"/>
      <c r="D2300" s="118"/>
      <c r="E2300" s="118"/>
    </row>
    <row r="2301" spans="1:5" x14ac:dyDescent="0.25">
      <c r="A2301" s="118"/>
      <c r="B2301" s="118"/>
      <c r="C2301" s="118"/>
      <c r="D2301" s="118"/>
      <c r="E2301" s="118"/>
    </row>
    <row r="2302" spans="1:5" x14ac:dyDescent="0.25">
      <c r="A2302" s="118"/>
      <c r="B2302" s="118"/>
      <c r="C2302" s="118"/>
      <c r="D2302" s="118"/>
      <c r="E2302" s="118"/>
    </row>
    <row r="2303" spans="1:5" x14ac:dyDescent="0.25">
      <c r="A2303" s="118"/>
      <c r="B2303" s="118"/>
      <c r="C2303" s="118"/>
      <c r="D2303" s="118"/>
      <c r="E2303" s="118"/>
    </row>
    <row r="2304" spans="1:5" x14ac:dyDescent="0.25">
      <c r="A2304" s="118"/>
      <c r="B2304" s="118"/>
      <c r="C2304" s="118"/>
      <c r="D2304" s="118"/>
      <c r="E2304" s="118"/>
    </row>
    <row r="2305" spans="1:5" x14ac:dyDescent="0.25">
      <c r="A2305" s="118"/>
      <c r="B2305" s="118"/>
      <c r="C2305" s="118"/>
      <c r="D2305" s="118"/>
      <c r="E2305" s="118"/>
    </row>
    <row r="2306" spans="1:5" x14ac:dyDescent="0.25">
      <c r="A2306" s="118"/>
      <c r="B2306" s="118"/>
      <c r="C2306" s="118"/>
      <c r="D2306" s="118"/>
      <c r="E2306" s="118"/>
    </row>
    <row r="2307" spans="1:5" x14ac:dyDescent="0.25">
      <c r="A2307" s="118"/>
      <c r="B2307" s="118"/>
      <c r="C2307" s="118"/>
      <c r="D2307" s="118"/>
      <c r="E2307" s="118"/>
    </row>
    <row r="2308" spans="1:5" x14ac:dyDescent="0.25">
      <c r="A2308" s="118"/>
      <c r="B2308" s="118"/>
      <c r="C2308" s="118"/>
      <c r="D2308" s="118"/>
      <c r="E2308" s="118"/>
    </row>
    <row r="2309" spans="1:5" x14ac:dyDescent="0.25">
      <c r="A2309" s="118"/>
      <c r="B2309" s="118"/>
      <c r="C2309" s="118"/>
      <c r="D2309" s="118"/>
      <c r="E2309" s="118"/>
    </row>
    <row r="2310" spans="1:5" x14ac:dyDescent="0.25">
      <c r="A2310" s="118"/>
      <c r="B2310" s="118"/>
      <c r="C2310" s="118"/>
      <c r="D2310" s="118"/>
      <c r="E2310" s="118"/>
    </row>
    <row r="2311" spans="1:5" x14ac:dyDescent="0.25">
      <c r="A2311" s="118"/>
      <c r="B2311" s="118"/>
      <c r="C2311" s="118"/>
      <c r="D2311" s="118"/>
      <c r="E2311" s="118"/>
    </row>
    <row r="2312" spans="1:5" x14ac:dyDescent="0.25">
      <c r="A2312" s="118"/>
      <c r="B2312" s="118"/>
      <c r="C2312" s="118"/>
      <c r="D2312" s="118"/>
      <c r="E2312" s="118"/>
    </row>
    <row r="2313" spans="1:5" x14ac:dyDescent="0.25">
      <c r="A2313" s="118"/>
      <c r="B2313" s="118"/>
      <c r="C2313" s="118"/>
      <c r="D2313" s="118"/>
      <c r="E2313" s="118"/>
    </row>
    <row r="2314" spans="1:5" x14ac:dyDescent="0.25">
      <c r="A2314" s="118"/>
      <c r="B2314" s="118"/>
      <c r="C2314" s="118"/>
      <c r="D2314" s="118"/>
      <c r="E2314" s="118"/>
    </row>
    <row r="2315" spans="1:5" x14ac:dyDescent="0.25">
      <c r="A2315" s="118"/>
      <c r="B2315" s="118"/>
      <c r="C2315" s="118"/>
      <c r="D2315" s="118"/>
      <c r="E2315" s="118"/>
    </row>
    <row r="2316" spans="1:5" x14ac:dyDescent="0.25">
      <c r="A2316" s="118"/>
      <c r="B2316" s="118"/>
      <c r="C2316" s="118"/>
      <c r="D2316" s="118"/>
      <c r="E2316" s="118"/>
    </row>
    <row r="2317" spans="1:5" x14ac:dyDescent="0.25">
      <c r="A2317" s="118"/>
      <c r="B2317" s="118"/>
      <c r="C2317" s="118"/>
      <c r="D2317" s="118"/>
      <c r="E2317" s="118"/>
    </row>
    <row r="2318" spans="1:5" x14ac:dyDescent="0.25">
      <c r="A2318" s="118"/>
      <c r="B2318" s="118"/>
      <c r="C2318" s="118"/>
      <c r="D2318" s="118"/>
      <c r="E2318" s="118"/>
    </row>
    <row r="2319" spans="1:5" x14ac:dyDescent="0.25">
      <c r="A2319" s="118"/>
      <c r="B2319" s="118"/>
      <c r="C2319" s="118"/>
      <c r="D2319" s="118"/>
      <c r="E2319" s="118"/>
    </row>
    <row r="2320" spans="1:5" x14ac:dyDescent="0.25">
      <c r="A2320" s="118"/>
      <c r="B2320" s="118"/>
      <c r="C2320" s="118"/>
      <c r="D2320" s="118"/>
      <c r="E2320" s="118"/>
    </row>
    <row r="2321" spans="1:14" x14ac:dyDescent="0.25">
      <c r="A2321" s="118"/>
      <c r="B2321" s="118"/>
      <c r="C2321" s="118"/>
      <c r="D2321" s="118"/>
      <c r="E2321" s="118"/>
    </row>
    <row r="2322" spans="1:14" x14ac:dyDescent="0.25">
      <c r="A2322" s="118"/>
      <c r="B2322" s="118"/>
      <c r="C2322" s="118"/>
      <c r="D2322" s="118"/>
      <c r="E2322" s="118"/>
    </row>
    <row r="2323" spans="1:14" x14ac:dyDescent="0.25">
      <c r="A2323" s="118"/>
      <c r="B2323" s="118"/>
      <c r="C2323" s="118"/>
      <c r="D2323" s="118"/>
      <c r="E2323" s="118"/>
    </row>
    <row r="2324" spans="1:14" x14ac:dyDescent="0.25">
      <c r="A2324" s="118"/>
      <c r="B2324" s="118"/>
      <c r="C2324" s="118"/>
      <c r="D2324" s="118"/>
      <c r="E2324" s="118"/>
    </row>
    <row r="2325" spans="1:14" x14ac:dyDescent="0.25">
      <c r="A2325" s="118"/>
      <c r="B2325" s="118"/>
      <c r="C2325" s="118"/>
      <c r="D2325" s="118"/>
      <c r="E2325" s="118"/>
    </row>
    <row r="2326" spans="1:14" x14ac:dyDescent="0.25">
      <c r="A2326" s="118"/>
      <c r="B2326" s="118"/>
      <c r="C2326" s="118"/>
      <c r="D2326" s="118"/>
      <c r="E2326" s="118"/>
    </row>
    <row r="2327" spans="1:14" x14ac:dyDescent="0.25">
      <c r="A2327" s="118"/>
      <c r="B2327" s="118"/>
      <c r="C2327" s="118"/>
      <c r="D2327" s="118"/>
      <c r="E2327" s="118"/>
    </row>
    <row r="2328" spans="1:14" x14ac:dyDescent="0.25">
      <c r="A2328" s="118"/>
      <c r="B2328" s="118"/>
      <c r="C2328" s="118"/>
      <c r="D2328" s="118"/>
      <c r="E2328" s="118"/>
    </row>
    <row r="2329" spans="1:14" x14ac:dyDescent="0.25">
      <c r="A2329" s="118"/>
      <c r="B2329" s="118"/>
      <c r="C2329" s="118"/>
      <c r="D2329" s="118"/>
      <c r="E2329" s="118"/>
    </row>
    <row r="2330" spans="1:14" x14ac:dyDescent="0.25">
      <c r="A2330" s="118"/>
      <c r="B2330" s="118"/>
      <c r="C2330" s="118"/>
      <c r="D2330" s="118"/>
      <c r="E2330" s="118"/>
      <c r="I2330" s="139"/>
      <c r="N2330" s="139"/>
    </row>
    <row r="2331" spans="1:14" x14ac:dyDescent="0.25">
      <c r="A2331" s="118"/>
      <c r="B2331" s="118"/>
      <c r="C2331" s="118"/>
      <c r="D2331" s="118"/>
      <c r="E2331" s="118"/>
    </row>
    <row r="2332" spans="1:14" x14ac:dyDescent="0.25">
      <c r="A2332" s="118"/>
      <c r="B2332" s="118"/>
      <c r="C2332" s="118"/>
      <c r="D2332" s="118"/>
      <c r="E2332" s="118"/>
    </row>
    <row r="2333" spans="1:14" x14ac:dyDescent="0.25">
      <c r="A2333" s="118"/>
      <c r="B2333" s="118"/>
      <c r="C2333" s="118"/>
      <c r="D2333" s="118"/>
      <c r="E2333" s="118"/>
    </row>
    <row r="2334" spans="1:14" x14ac:dyDescent="0.25">
      <c r="A2334" s="118"/>
      <c r="B2334" s="118"/>
      <c r="C2334" s="118"/>
      <c r="D2334" s="118"/>
      <c r="E2334" s="118"/>
    </row>
    <row r="2335" spans="1:14" x14ac:dyDescent="0.25">
      <c r="A2335" s="118"/>
      <c r="B2335" s="118"/>
      <c r="C2335" s="118"/>
      <c r="D2335" s="118"/>
      <c r="E2335" s="118"/>
    </row>
    <row r="2336" spans="1:14" x14ac:dyDescent="0.25">
      <c r="A2336" s="118"/>
      <c r="B2336" s="118"/>
      <c r="C2336" s="118"/>
      <c r="D2336" s="118"/>
      <c r="E2336" s="118"/>
    </row>
    <row r="2337" spans="1:5" x14ac:dyDescent="0.25">
      <c r="A2337" s="118"/>
      <c r="B2337" s="118"/>
      <c r="C2337" s="118"/>
      <c r="D2337" s="118"/>
      <c r="E2337" s="118"/>
    </row>
    <row r="2338" spans="1:5" x14ac:dyDescent="0.25">
      <c r="A2338" s="118"/>
      <c r="B2338" s="118"/>
      <c r="C2338" s="118"/>
      <c r="D2338" s="118"/>
      <c r="E2338" s="118"/>
    </row>
    <row r="2339" spans="1:5" x14ac:dyDescent="0.25">
      <c r="A2339" s="118"/>
      <c r="B2339" s="118"/>
      <c r="C2339" s="118"/>
      <c r="D2339" s="118"/>
      <c r="E2339" s="118"/>
    </row>
    <row r="2340" spans="1:5" x14ac:dyDescent="0.25">
      <c r="A2340" s="118"/>
      <c r="B2340" s="118"/>
      <c r="C2340" s="118"/>
      <c r="D2340" s="118"/>
      <c r="E2340" s="118"/>
    </row>
    <row r="2341" spans="1:5" x14ac:dyDescent="0.25">
      <c r="A2341" s="118"/>
      <c r="B2341" s="118"/>
      <c r="C2341" s="118"/>
      <c r="D2341" s="118"/>
      <c r="E2341" s="118"/>
    </row>
    <row r="2342" spans="1:5" x14ac:dyDescent="0.25">
      <c r="A2342" s="118"/>
      <c r="B2342" s="118"/>
      <c r="C2342" s="118"/>
      <c r="D2342" s="118"/>
      <c r="E2342" s="118"/>
    </row>
    <row r="2343" spans="1:5" x14ac:dyDescent="0.25">
      <c r="A2343" s="118"/>
      <c r="B2343" s="118"/>
      <c r="C2343" s="118"/>
      <c r="D2343" s="118"/>
      <c r="E2343" s="118"/>
    </row>
    <row r="2344" spans="1:5" x14ac:dyDescent="0.25">
      <c r="A2344" s="118"/>
      <c r="B2344" s="118"/>
      <c r="C2344" s="118"/>
      <c r="D2344" s="118"/>
      <c r="E2344" s="118"/>
    </row>
    <row r="2345" spans="1:5" x14ac:dyDescent="0.25">
      <c r="A2345" s="118"/>
      <c r="B2345" s="118"/>
      <c r="C2345" s="118"/>
      <c r="D2345" s="118"/>
      <c r="E2345" s="118"/>
    </row>
    <row r="2346" spans="1:5" x14ac:dyDescent="0.25">
      <c r="A2346" s="118"/>
      <c r="B2346" s="118"/>
      <c r="C2346" s="118"/>
      <c r="D2346" s="118"/>
      <c r="E2346" s="118"/>
    </row>
    <row r="2347" spans="1:5" x14ac:dyDescent="0.25">
      <c r="A2347" s="118"/>
      <c r="B2347" s="118"/>
      <c r="C2347" s="118"/>
      <c r="D2347" s="118"/>
      <c r="E2347" s="118"/>
    </row>
    <row r="2348" spans="1:5" x14ac:dyDescent="0.25">
      <c r="A2348" s="118"/>
      <c r="B2348" s="118"/>
      <c r="C2348" s="118"/>
      <c r="D2348" s="118"/>
      <c r="E2348" s="118"/>
    </row>
    <row r="2349" spans="1:5" x14ac:dyDescent="0.25">
      <c r="A2349" s="118"/>
      <c r="B2349" s="118"/>
      <c r="C2349" s="118"/>
      <c r="D2349" s="118"/>
      <c r="E2349" s="118"/>
    </row>
    <row r="2350" spans="1:5" x14ac:dyDescent="0.25">
      <c r="A2350" s="118"/>
      <c r="B2350" s="118"/>
      <c r="C2350" s="118"/>
      <c r="D2350" s="118"/>
      <c r="E2350" s="118"/>
    </row>
    <row r="2351" spans="1:5" x14ac:dyDescent="0.25">
      <c r="A2351" s="118"/>
      <c r="B2351" s="118"/>
      <c r="C2351" s="118"/>
      <c r="D2351" s="118"/>
      <c r="E2351" s="118"/>
    </row>
    <row r="2352" spans="1:5" x14ac:dyDescent="0.25">
      <c r="A2352" s="118"/>
      <c r="B2352" s="118"/>
      <c r="C2352" s="118"/>
      <c r="D2352" s="118"/>
      <c r="E2352" s="118"/>
    </row>
    <row r="2353" spans="1:5" x14ac:dyDescent="0.25">
      <c r="A2353" s="118"/>
      <c r="B2353" s="118"/>
      <c r="C2353" s="118"/>
      <c r="D2353" s="118"/>
      <c r="E2353" s="118"/>
    </row>
    <row r="2354" spans="1:5" x14ac:dyDescent="0.25">
      <c r="A2354" s="118"/>
      <c r="B2354" s="118"/>
      <c r="C2354" s="118"/>
      <c r="D2354" s="118"/>
      <c r="E2354" s="118"/>
    </row>
    <row r="2355" spans="1:5" x14ac:dyDescent="0.25">
      <c r="A2355" s="118"/>
      <c r="B2355" s="118"/>
      <c r="C2355" s="118"/>
      <c r="D2355" s="118"/>
      <c r="E2355" s="118"/>
    </row>
    <row r="2356" spans="1:5" x14ac:dyDescent="0.25">
      <c r="A2356" s="118"/>
      <c r="B2356" s="118"/>
      <c r="C2356" s="118"/>
      <c r="D2356" s="118"/>
      <c r="E2356" s="118"/>
    </row>
    <row r="2357" spans="1:5" x14ac:dyDescent="0.25">
      <c r="A2357" s="118"/>
      <c r="B2357" s="118"/>
      <c r="C2357" s="118"/>
      <c r="D2357" s="118"/>
      <c r="E2357" s="118"/>
    </row>
    <row r="2358" spans="1:5" x14ac:dyDescent="0.25">
      <c r="A2358" s="118"/>
      <c r="B2358" s="118"/>
      <c r="C2358" s="118"/>
      <c r="D2358" s="118"/>
      <c r="E2358" s="118"/>
    </row>
    <row r="2359" spans="1:5" x14ac:dyDescent="0.25">
      <c r="A2359" s="118"/>
      <c r="B2359" s="118"/>
      <c r="C2359" s="118"/>
      <c r="D2359" s="118"/>
      <c r="E2359" s="118"/>
    </row>
    <row r="2360" spans="1:5" x14ac:dyDescent="0.25">
      <c r="A2360" s="118"/>
      <c r="B2360" s="118"/>
      <c r="C2360" s="118"/>
      <c r="D2360" s="118"/>
      <c r="E2360" s="118"/>
    </row>
    <row r="2361" spans="1:5" x14ac:dyDescent="0.25">
      <c r="A2361" s="118"/>
      <c r="B2361" s="118"/>
      <c r="C2361" s="118"/>
      <c r="D2361" s="118"/>
      <c r="E2361" s="118"/>
    </row>
    <row r="2362" spans="1:5" x14ac:dyDescent="0.25">
      <c r="A2362" s="118"/>
      <c r="B2362" s="118"/>
      <c r="C2362" s="118"/>
      <c r="D2362" s="118"/>
      <c r="E2362" s="118"/>
    </row>
    <row r="2363" spans="1:5" x14ac:dyDescent="0.25">
      <c r="A2363" s="118"/>
      <c r="B2363" s="118"/>
      <c r="C2363" s="118"/>
      <c r="D2363" s="118"/>
      <c r="E2363" s="118"/>
    </row>
    <row r="2364" spans="1:5" x14ac:dyDescent="0.25">
      <c r="A2364" s="118"/>
      <c r="B2364" s="118"/>
      <c r="C2364" s="118"/>
      <c r="D2364" s="118"/>
      <c r="E2364" s="118"/>
    </row>
    <row r="2365" spans="1:5" x14ac:dyDescent="0.25">
      <c r="A2365" s="118"/>
      <c r="B2365" s="118"/>
      <c r="C2365" s="118"/>
      <c r="D2365" s="118"/>
      <c r="E2365" s="118"/>
    </row>
    <row r="2366" spans="1:5" x14ac:dyDescent="0.25">
      <c r="A2366" s="118"/>
      <c r="B2366" s="118"/>
      <c r="C2366" s="118"/>
      <c r="D2366" s="118"/>
      <c r="E2366" s="118"/>
    </row>
    <row r="2367" spans="1:5" x14ac:dyDescent="0.25">
      <c r="A2367" s="118"/>
      <c r="B2367" s="118"/>
      <c r="C2367" s="118"/>
      <c r="D2367" s="118"/>
      <c r="E2367" s="118"/>
    </row>
    <row r="2368" spans="1:5" x14ac:dyDescent="0.25">
      <c r="A2368" s="118"/>
      <c r="B2368" s="118"/>
      <c r="C2368" s="118"/>
      <c r="D2368" s="118"/>
      <c r="E2368" s="118"/>
    </row>
    <row r="2369" spans="1:5" x14ac:dyDescent="0.25">
      <c r="A2369" s="118"/>
      <c r="B2369" s="118"/>
      <c r="C2369" s="118"/>
      <c r="D2369" s="118"/>
      <c r="E2369" s="118"/>
    </row>
    <row r="2370" spans="1:5" x14ac:dyDescent="0.25">
      <c r="A2370" s="118"/>
      <c r="B2370" s="118"/>
      <c r="C2370" s="118"/>
      <c r="D2370" s="118"/>
      <c r="E2370" s="118"/>
    </row>
    <row r="2371" spans="1:5" x14ac:dyDescent="0.25">
      <c r="A2371" s="118"/>
      <c r="B2371" s="118"/>
      <c r="C2371" s="118"/>
      <c r="D2371" s="118"/>
      <c r="E2371" s="118"/>
    </row>
    <row r="2372" spans="1:5" x14ac:dyDescent="0.25">
      <c r="A2372" s="118"/>
      <c r="B2372" s="118"/>
      <c r="C2372" s="118"/>
      <c r="D2372" s="118"/>
      <c r="E2372" s="118"/>
    </row>
    <row r="2373" spans="1:5" x14ac:dyDescent="0.25">
      <c r="A2373" s="118"/>
      <c r="B2373" s="118"/>
      <c r="C2373" s="118"/>
      <c r="D2373" s="118"/>
      <c r="E2373" s="118"/>
    </row>
    <row r="2374" spans="1:5" x14ac:dyDescent="0.25">
      <c r="A2374" s="118"/>
      <c r="B2374" s="118"/>
      <c r="C2374" s="118"/>
      <c r="D2374" s="118"/>
      <c r="E2374" s="118"/>
    </row>
    <row r="2375" spans="1:5" x14ac:dyDescent="0.25">
      <c r="A2375" s="118"/>
      <c r="B2375" s="118"/>
      <c r="C2375" s="118"/>
      <c r="D2375" s="118"/>
      <c r="E2375" s="118"/>
    </row>
    <row r="2376" spans="1:5" x14ac:dyDescent="0.25">
      <c r="A2376" s="118"/>
      <c r="B2376" s="118"/>
      <c r="C2376" s="118"/>
      <c r="D2376" s="118"/>
      <c r="E2376" s="118"/>
    </row>
    <row r="2377" spans="1:5" x14ac:dyDescent="0.25">
      <c r="A2377" s="118"/>
      <c r="B2377" s="118"/>
      <c r="C2377" s="118"/>
      <c r="D2377" s="118"/>
      <c r="E2377" s="118"/>
    </row>
    <row r="2378" spans="1:5" x14ac:dyDescent="0.25">
      <c r="A2378" s="118"/>
      <c r="B2378" s="118"/>
      <c r="C2378" s="118"/>
      <c r="D2378" s="118"/>
      <c r="E2378" s="118"/>
    </row>
    <row r="2379" spans="1:5" x14ac:dyDescent="0.25">
      <c r="A2379" s="118"/>
      <c r="B2379" s="118"/>
      <c r="C2379" s="118"/>
      <c r="D2379" s="118"/>
      <c r="E2379" s="118"/>
    </row>
    <row r="2380" spans="1:5" x14ac:dyDescent="0.25">
      <c r="A2380" s="118"/>
      <c r="B2380" s="118"/>
      <c r="C2380" s="118"/>
      <c r="D2380" s="118"/>
      <c r="E2380" s="118"/>
    </row>
    <row r="2381" spans="1:5" x14ac:dyDescent="0.25">
      <c r="A2381" s="118"/>
      <c r="B2381" s="118"/>
      <c r="C2381" s="118"/>
      <c r="D2381" s="118"/>
      <c r="E2381" s="118"/>
    </row>
    <row r="2382" spans="1:5" x14ac:dyDescent="0.25">
      <c r="A2382" s="118"/>
      <c r="B2382" s="118"/>
      <c r="C2382" s="118"/>
      <c r="D2382" s="118"/>
      <c r="E2382" s="118"/>
    </row>
    <row r="2383" spans="1:5" x14ac:dyDescent="0.25">
      <c r="A2383" s="118"/>
      <c r="B2383" s="118"/>
      <c r="C2383" s="118"/>
      <c r="D2383" s="118"/>
      <c r="E2383" s="118"/>
    </row>
    <row r="2384" spans="1:5" x14ac:dyDescent="0.25">
      <c r="A2384" s="118"/>
      <c r="B2384" s="118"/>
      <c r="C2384" s="118"/>
      <c r="D2384" s="118"/>
      <c r="E2384" s="118"/>
    </row>
    <row r="2385" spans="1:5" x14ac:dyDescent="0.25">
      <c r="A2385" s="118"/>
      <c r="B2385" s="118"/>
      <c r="C2385" s="118"/>
      <c r="D2385" s="118"/>
      <c r="E2385" s="118"/>
    </row>
    <row r="2386" spans="1:5" x14ac:dyDescent="0.25">
      <c r="A2386" s="118"/>
      <c r="B2386" s="118"/>
      <c r="C2386" s="118"/>
      <c r="D2386" s="118"/>
      <c r="E2386" s="118"/>
    </row>
    <row r="2387" spans="1:5" x14ac:dyDescent="0.25">
      <c r="A2387" s="118"/>
      <c r="B2387" s="118"/>
      <c r="C2387" s="118"/>
      <c r="D2387" s="118"/>
      <c r="E2387" s="118"/>
    </row>
    <row r="2388" spans="1:5" x14ac:dyDescent="0.25">
      <c r="A2388" s="118"/>
      <c r="B2388" s="118"/>
      <c r="C2388" s="118"/>
      <c r="D2388" s="118"/>
      <c r="E2388" s="118"/>
    </row>
    <row r="2389" spans="1:5" x14ac:dyDescent="0.25">
      <c r="A2389" s="118"/>
      <c r="B2389" s="118"/>
      <c r="C2389" s="118"/>
      <c r="D2389" s="118"/>
      <c r="E2389" s="118"/>
    </row>
    <row r="2390" spans="1:5" x14ac:dyDescent="0.25">
      <c r="A2390" s="118"/>
      <c r="B2390" s="118"/>
      <c r="C2390" s="118"/>
      <c r="D2390" s="118"/>
      <c r="E2390" s="118"/>
    </row>
    <row r="2391" spans="1:5" x14ac:dyDescent="0.25">
      <c r="A2391" s="118"/>
      <c r="B2391" s="118"/>
      <c r="C2391" s="118"/>
      <c r="D2391" s="118"/>
      <c r="E2391" s="118"/>
    </row>
    <row r="2392" spans="1:5" x14ac:dyDescent="0.25">
      <c r="A2392" s="118"/>
      <c r="B2392" s="118"/>
      <c r="C2392" s="118"/>
      <c r="D2392" s="118"/>
      <c r="E2392" s="118"/>
    </row>
    <row r="2393" spans="1:5" x14ac:dyDescent="0.25">
      <c r="A2393" s="118"/>
      <c r="B2393" s="118"/>
      <c r="C2393" s="118"/>
      <c r="D2393" s="118"/>
      <c r="E2393" s="118"/>
    </row>
    <row r="2394" spans="1:5" x14ac:dyDescent="0.25">
      <c r="A2394" s="118"/>
      <c r="B2394" s="118"/>
      <c r="C2394" s="118"/>
      <c r="D2394" s="118"/>
      <c r="E2394" s="118"/>
    </row>
    <row r="2395" spans="1:5" x14ac:dyDescent="0.25">
      <c r="A2395" s="118"/>
      <c r="B2395" s="118"/>
      <c r="C2395" s="118"/>
      <c r="D2395" s="118"/>
      <c r="E2395" s="118"/>
    </row>
    <row r="2396" spans="1:5" x14ac:dyDescent="0.25">
      <c r="A2396" s="118"/>
      <c r="B2396" s="118"/>
      <c r="C2396" s="118"/>
      <c r="D2396" s="118"/>
      <c r="E2396" s="118"/>
    </row>
    <row r="2397" spans="1:5" x14ac:dyDescent="0.25">
      <c r="A2397" s="118"/>
      <c r="B2397" s="118"/>
      <c r="C2397" s="118"/>
      <c r="D2397" s="118"/>
      <c r="E2397" s="118"/>
    </row>
    <row r="2398" spans="1:5" x14ac:dyDescent="0.25">
      <c r="A2398" s="118"/>
      <c r="B2398" s="118"/>
      <c r="C2398" s="118"/>
      <c r="D2398" s="118"/>
      <c r="E2398" s="118"/>
    </row>
    <row r="2399" spans="1:5" x14ac:dyDescent="0.25">
      <c r="A2399" s="118"/>
      <c r="B2399" s="118"/>
      <c r="C2399" s="118"/>
      <c r="D2399" s="118"/>
      <c r="E2399" s="118"/>
    </row>
    <row r="2400" spans="1:5" x14ac:dyDescent="0.25">
      <c r="A2400" s="118"/>
      <c r="B2400" s="118"/>
      <c r="C2400" s="118"/>
      <c r="D2400" s="118"/>
      <c r="E2400" s="118"/>
    </row>
    <row r="2401" spans="1:5" x14ac:dyDescent="0.25">
      <c r="A2401" s="118"/>
      <c r="B2401" s="118"/>
      <c r="C2401" s="118"/>
      <c r="D2401" s="118"/>
      <c r="E2401" s="118"/>
    </row>
    <row r="2402" spans="1:5" x14ac:dyDescent="0.25">
      <c r="A2402" s="118"/>
      <c r="B2402" s="118"/>
      <c r="C2402" s="118"/>
      <c r="D2402" s="118"/>
      <c r="E2402" s="118"/>
    </row>
    <row r="2403" spans="1:5" x14ac:dyDescent="0.25">
      <c r="A2403" s="118"/>
      <c r="B2403" s="118"/>
      <c r="C2403" s="118"/>
      <c r="D2403" s="118"/>
      <c r="E2403" s="118"/>
    </row>
    <row r="2404" spans="1:5" x14ac:dyDescent="0.25">
      <c r="A2404" s="118"/>
      <c r="B2404" s="118"/>
      <c r="C2404" s="118"/>
      <c r="D2404" s="118"/>
      <c r="E2404" s="118"/>
    </row>
    <row r="2405" spans="1:5" x14ac:dyDescent="0.25">
      <c r="A2405" s="118"/>
      <c r="B2405" s="118"/>
      <c r="C2405" s="118"/>
      <c r="D2405" s="118"/>
      <c r="E2405" s="118"/>
    </row>
    <row r="2406" spans="1:5" x14ac:dyDescent="0.25">
      <c r="A2406" s="118"/>
      <c r="B2406" s="118"/>
      <c r="C2406" s="118"/>
      <c r="D2406" s="118"/>
      <c r="E2406" s="118"/>
    </row>
    <row r="2407" spans="1:5" x14ac:dyDescent="0.25">
      <c r="A2407" s="118"/>
      <c r="B2407" s="118"/>
      <c r="C2407" s="118"/>
      <c r="D2407" s="118"/>
      <c r="E2407" s="118"/>
    </row>
    <row r="2408" spans="1:5" x14ac:dyDescent="0.25">
      <c r="A2408" s="118"/>
      <c r="B2408" s="118"/>
      <c r="C2408" s="118"/>
      <c r="D2408" s="118"/>
      <c r="E2408" s="118"/>
    </row>
    <row r="2409" spans="1:5" x14ac:dyDescent="0.25">
      <c r="A2409" s="118"/>
      <c r="B2409" s="118"/>
      <c r="C2409" s="118"/>
      <c r="D2409" s="118"/>
      <c r="E2409" s="118"/>
    </row>
    <row r="2410" spans="1:5" x14ac:dyDescent="0.25">
      <c r="A2410" s="118"/>
      <c r="B2410" s="118"/>
      <c r="C2410" s="118"/>
      <c r="D2410" s="118"/>
      <c r="E2410" s="118"/>
    </row>
    <row r="2411" spans="1:5" x14ac:dyDescent="0.25">
      <c r="A2411" s="118"/>
      <c r="B2411" s="118"/>
      <c r="C2411" s="118"/>
      <c r="D2411" s="118"/>
      <c r="E2411" s="118"/>
    </row>
    <row r="2412" spans="1:5" x14ac:dyDescent="0.25">
      <c r="A2412" s="118"/>
      <c r="B2412" s="118"/>
      <c r="C2412" s="118"/>
      <c r="D2412" s="118"/>
      <c r="E2412" s="118"/>
    </row>
    <row r="2413" spans="1:5" x14ac:dyDescent="0.25">
      <c r="A2413" s="118"/>
      <c r="B2413" s="118"/>
      <c r="C2413" s="118"/>
      <c r="D2413" s="118"/>
      <c r="E2413" s="118"/>
    </row>
    <row r="2414" spans="1:5" x14ac:dyDescent="0.25">
      <c r="A2414" s="118"/>
      <c r="B2414" s="118"/>
      <c r="C2414" s="118"/>
      <c r="D2414" s="118"/>
      <c r="E2414" s="118"/>
    </row>
    <row r="2415" spans="1:5" x14ac:dyDescent="0.25">
      <c r="A2415" s="118"/>
      <c r="B2415" s="118"/>
      <c r="C2415" s="118"/>
      <c r="D2415" s="118"/>
      <c r="E2415" s="118"/>
    </row>
    <row r="2416" spans="1:5" x14ac:dyDescent="0.25">
      <c r="A2416" s="118"/>
      <c r="B2416" s="118"/>
      <c r="C2416" s="118"/>
      <c r="D2416" s="118"/>
      <c r="E2416" s="118"/>
    </row>
    <row r="2417" spans="1:5" x14ac:dyDescent="0.25">
      <c r="A2417" s="118"/>
      <c r="B2417" s="118"/>
      <c r="C2417" s="118"/>
      <c r="D2417" s="118"/>
      <c r="E2417" s="118"/>
    </row>
    <row r="2418" spans="1:5" x14ac:dyDescent="0.25">
      <c r="A2418" s="118"/>
      <c r="B2418" s="118"/>
      <c r="C2418" s="118"/>
      <c r="D2418" s="118"/>
      <c r="E2418" s="118"/>
    </row>
    <row r="2419" spans="1:5" x14ac:dyDescent="0.25">
      <c r="A2419" s="118"/>
      <c r="B2419" s="118"/>
      <c r="C2419" s="118"/>
      <c r="D2419" s="118"/>
      <c r="E2419" s="118"/>
    </row>
    <row r="2420" spans="1:5" x14ac:dyDescent="0.25">
      <c r="A2420" s="118"/>
      <c r="B2420" s="118"/>
      <c r="C2420" s="118"/>
      <c r="D2420" s="118"/>
      <c r="E2420" s="118"/>
    </row>
    <row r="2421" spans="1:5" x14ac:dyDescent="0.25">
      <c r="A2421" s="118"/>
      <c r="B2421" s="118"/>
      <c r="C2421" s="118"/>
      <c r="D2421" s="118"/>
      <c r="E2421" s="118"/>
    </row>
    <row r="2422" spans="1:5" x14ac:dyDescent="0.25">
      <c r="A2422" s="118"/>
      <c r="B2422" s="118"/>
      <c r="C2422" s="118"/>
      <c r="D2422" s="118"/>
      <c r="E2422" s="118"/>
    </row>
    <row r="2423" spans="1:5" x14ac:dyDescent="0.25">
      <c r="A2423" s="118"/>
      <c r="B2423" s="118"/>
      <c r="C2423" s="118"/>
      <c r="D2423" s="118"/>
      <c r="E2423" s="118"/>
    </row>
    <row r="2424" spans="1:5" x14ac:dyDescent="0.25">
      <c r="A2424" s="118"/>
      <c r="B2424" s="118"/>
      <c r="C2424" s="118"/>
      <c r="D2424" s="118"/>
      <c r="E2424" s="118"/>
    </row>
    <row r="2425" spans="1:5" x14ac:dyDescent="0.25">
      <c r="A2425" s="118"/>
      <c r="B2425" s="118"/>
      <c r="C2425" s="118"/>
      <c r="D2425" s="118"/>
      <c r="E2425" s="118"/>
    </row>
    <row r="2426" spans="1:5" x14ac:dyDescent="0.25">
      <c r="A2426" s="118"/>
      <c r="B2426" s="118"/>
      <c r="C2426" s="118"/>
      <c r="D2426" s="118"/>
      <c r="E2426" s="118"/>
    </row>
    <row r="2427" spans="1:5" x14ac:dyDescent="0.25">
      <c r="A2427" s="118"/>
      <c r="B2427" s="118"/>
      <c r="C2427" s="118"/>
      <c r="D2427" s="118"/>
      <c r="E2427" s="118"/>
    </row>
    <row r="2428" spans="1:5" x14ac:dyDescent="0.25">
      <c r="A2428" s="118"/>
      <c r="B2428" s="118"/>
      <c r="C2428" s="118"/>
      <c r="D2428" s="118"/>
      <c r="E2428" s="118"/>
    </row>
    <row r="2429" spans="1:5" x14ac:dyDescent="0.25">
      <c r="A2429" s="118"/>
      <c r="B2429" s="118"/>
      <c r="C2429" s="118"/>
      <c r="D2429" s="118"/>
      <c r="E2429" s="118"/>
    </row>
    <row r="2430" spans="1:5" x14ac:dyDescent="0.25">
      <c r="A2430" s="118"/>
      <c r="B2430" s="118"/>
      <c r="C2430" s="118"/>
      <c r="D2430" s="118"/>
      <c r="E2430" s="118"/>
    </row>
    <row r="2431" spans="1:5" x14ac:dyDescent="0.25">
      <c r="A2431" s="118"/>
      <c r="B2431" s="118"/>
      <c r="C2431" s="118"/>
      <c r="D2431" s="118"/>
      <c r="E2431" s="118"/>
    </row>
    <row r="2432" spans="1:5" x14ac:dyDescent="0.25">
      <c r="A2432" s="118"/>
      <c r="B2432" s="118"/>
      <c r="C2432" s="118"/>
      <c r="D2432" s="118"/>
      <c r="E2432" s="118"/>
    </row>
    <row r="2433" spans="1:5" x14ac:dyDescent="0.25">
      <c r="A2433" s="118"/>
      <c r="B2433" s="118"/>
      <c r="C2433" s="118"/>
      <c r="D2433" s="118"/>
      <c r="E2433" s="118"/>
    </row>
    <row r="2434" spans="1:5" x14ac:dyDescent="0.25">
      <c r="A2434" s="118"/>
      <c r="B2434" s="118"/>
      <c r="C2434" s="118"/>
      <c r="D2434" s="118"/>
      <c r="E2434" s="118"/>
    </row>
    <row r="2435" spans="1:5" x14ac:dyDescent="0.25">
      <c r="A2435" s="118"/>
      <c r="B2435" s="118"/>
      <c r="C2435" s="118"/>
      <c r="D2435" s="118"/>
      <c r="E2435" s="118"/>
    </row>
    <row r="2436" spans="1:5" x14ac:dyDescent="0.25">
      <c r="A2436" s="118"/>
      <c r="B2436" s="118"/>
      <c r="C2436" s="118"/>
      <c r="D2436" s="118"/>
      <c r="E2436" s="118"/>
    </row>
    <row r="2437" spans="1:5" x14ac:dyDescent="0.25">
      <c r="A2437" s="118"/>
      <c r="B2437" s="118"/>
      <c r="C2437" s="118"/>
      <c r="D2437" s="118"/>
      <c r="E2437" s="118"/>
    </row>
    <row r="2438" spans="1:5" x14ac:dyDescent="0.25">
      <c r="A2438" s="118"/>
      <c r="B2438" s="118"/>
      <c r="C2438" s="118"/>
      <c r="D2438" s="118"/>
      <c r="E2438" s="118"/>
    </row>
    <row r="2439" spans="1:5" x14ac:dyDescent="0.25">
      <c r="A2439" s="118"/>
      <c r="B2439" s="118"/>
      <c r="C2439" s="118"/>
      <c r="D2439" s="118"/>
      <c r="E2439" s="118"/>
    </row>
    <row r="2440" spans="1:5" x14ac:dyDescent="0.25">
      <c r="A2440" s="118"/>
      <c r="B2440" s="118"/>
      <c r="C2440" s="118"/>
      <c r="D2440" s="118"/>
      <c r="E2440" s="118"/>
    </row>
    <row r="2441" spans="1:5" x14ac:dyDescent="0.25">
      <c r="A2441" s="118"/>
      <c r="B2441" s="118"/>
      <c r="C2441" s="118"/>
      <c r="D2441" s="118"/>
      <c r="E2441" s="118"/>
    </row>
    <row r="2442" spans="1:5" x14ac:dyDescent="0.25">
      <c r="A2442" s="118"/>
      <c r="B2442" s="118"/>
      <c r="C2442" s="118"/>
      <c r="D2442" s="118"/>
      <c r="E2442" s="118"/>
    </row>
    <row r="2443" spans="1:5" x14ac:dyDescent="0.25">
      <c r="A2443" s="118"/>
      <c r="B2443" s="118"/>
      <c r="C2443" s="118"/>
      <c r="D2443" s="118"/>
      <c r="E2443" s="118"/>
    </row>
    <row r="2444" spans="1:5" x14ac:dyDescent="0.25">
      <c r="A2444" s="118"/>
      <c r="B2444" s="118"/>
      <c r="C2444" s="118"/>
      <c r="D2444" s="118"/>
      <c r="E2444" s="118"/>
    </row>
    <row r="2445" spans="1:5" x14ac:dyDescent="0.25">
      <c r="A2445" s="118"/>
      <c r="B2445" s="118"/>
      <c r="C2445" s="118"/>
      <c r="D2445" s="118"/>
      <c r="E2445" s="118"/>
    </row>
    <row r="2446" spans="1:5" x14ac:dyDescent="0.25">
      <c r="A2446" s="118"/>
      <c r="B2446" s="118"/>
      <c r="C2446" s="118"/>
      <c r="D2446" s="118"/>
      <c r="E2446" s="118"/>
    </row>
    <row r="2447" spans="1:5" x14ac:dyDescent="0.25">
      <c r="A2447" s="118"/>
      <c r="B2447" s="118"/>
      <c r="C2447" s="118"/>
      <c r="D2447" s="118"/>
      <c r="E2447" s="118"/>
    </row>
    <row r="2448" spans="1:5" x14ac:dyDescent="0.25">
      <c r="A2448" s="118"/>
      <c r="B2448" s="118"/>
      <c r="C2448" s="118"/>
      <c r="D2448" s="118"/>
      <c r="E2448" s="118"/>
    </row>
    <row r="2449" spans="1:5" x14ac:dyDescent="0.25">
      <c r="A2449" s="118"/>
      <c r="B2449" s="118"/>
      <c r="C2449" s="118"/>
      <c r="D2449" s="118"/>
      <c r="E2449" s="118"/>
    </row>
    <row r="2450" spans="1:5" x14ac:dyDescent="0.25">
      <c r="A2450" s="118"/>
      <c r="B2450" s="118"/>
      <c r="C2450" s="118"/>
      <c r="D2450" s="118"/>
      <c r="E2450" s="118"/>
    </row>
    <row r="2451" spans="1:5" x14ac:dyDescent="0.25">
      <c r="A2451" s="118"/>
      <c r="B2451" s="118"/>
      <c r="C2451" s="118"/>
      <c r="D2451" s="118"/>
      <c r="E2451" s="118"/>
    </row>
    <row r="2452" spans="1:5" x14ac:dyDescent="0.25">
      <c r="A2452" s="118"/>
      <c r="B2452" s="118"/>
      <c r="C2452" s="118"/>
      <c r="D2452" s="118"/>
      <c r="E2452" s="118"/>
    </row>
    <row r="2453" spans="1:5" x14ac:dyDescent="0.25">
      <c r="A2453" s="118"/>
      <c r="B2453" s="118"/>
      <c r="C2453" s="118"/>
      <c r="D2453" s="118"/>
      <c r="E2453" s="118"/>
    </row>
    <row r="2454" spans="1:5" x14ac:dyDescent="0.25">
      <c r="A2454" s="118"/>
      <c r="B2454" s="118"/>
      <c r="C2454" s="118"/>
      <c r="D2454" s="118"/>
      <c r="E2454" s="118"/>
    </row>
    <row r="2455" spans="1:5" x14ac:dyDescent="0.25">
      <c r="A2455" s="118"/>
      <c r="B2455" s="118"/>
      <c r="C2455" s="118"/>
      <c r="D2455" s="118"/>
      <c r="E2455" s="118"/>
    </row>
    <row r="2456" spans="1:5" x14ac:dyDescent="0.25">
      <c r="A2456" s="118"/>
      <c r="B2456" s="118"/>
      <c r="C2456" s="118"/>
      <c r="D2456" s="118"/>
      <c r="E2456" s="118"/>
    </row>
    <row r="2457" spans="1:5" x14ac:dyDescent="0.25">
      <c r="A2457" s="118"/>
      <c r="B2457" s="118"/>
      <c r="C2457" s="118"/>
      <c r="D2457" s="118"/>
      <c r="E2457" s="118"/>
    </row>
    <row r="2458" spans="1:5" x14ac:dyDescent="0.25">
      <c r="A2458" s="118"/>
      <c r="B2458" s="118"/>
      <c r="C2458" s="118"/>
      <c r="D2458" s="118"/>
      <c r="E2458" s="118"/>
    </row>
    <row r="2459" spans="1:5" x14ac:dyDescent="0.25">
      <c r="A2459" s="118"/>
      <c r="B2459" s="118"/>
      <c r="C2459" s="118"/>
      <c r="D2459" s="118"/>
      <c r="E2459" s="118"/>
    </row>
    <row r="2460" spans="1:5" x14ac:dyDescent="0.25">
      <c r="A2460" s="118"/>
      <c r="B2460" s="118"/>
      <c r="C2460" s="118"/>
      <c r="D2460" s="118"/>
      <c r="E2460" s="118"/>
    </row>
    <row r="2461" spans="1:5" x14ac:dyDescent="0.25">
      <c r="A2461" s="118"/>
      <c r="B2461" s="118"/>
      <c r="C2461" s="118"/>
      <c r="D2461" s="118"/>
      <c r="E2461" s="118"/>
    </row>
    <row r="2462" spans="1:5" x14ac:dyDescent="0.25">
      <c r="A2462" s="118"/>
      <c r="B2462" s="118"/>
      <c r="C2462" s="118"/>
      <c r="D2462" s="118"/>
      <c r="E2462" s="118"/>
    </row>
    <row r="2463" spans="1:5" x14ac:dyDescent="0.25">
      <c r="A2463" s="118"/>
      <c r="B2463" s="118"/>
      <c r="C2463" s="118"/>
      <c r="D2463" s="118"/>
      <c r="E2463" s="118"/>
    </row>
    <row r="2464" spans="1:5" x14ac:dyDescent="0.25">
      <c r="A2464" s="118"/>
      <c r="B2464" s="118"/>
      <c r="C2464" s="118"/>
      <c r="D2464" s="118"/>
      <c r="E2464" s="118"/>
    </row>
    <row r="2465" spans="1:5" x14ac:dyDescent="0.25">
      <c r="A2465" s="118"/>
      <c r="B2465" s="118"/>
      <c r="C2465" s="118"/>
      <c r="D2465" s="118"/>
      <c r="E2465" s="118"/>
    </row>
    <row r="2466" spans="1:5" x14ac:dyDescent="0.25">
      <c r="A2466" s="118"/>
      <c r="B2466" s="118"/>
      <c r="C2466" s="118"/>
      <c r="D2466" s="118"/>
      <c r="E2466" s="118"/>
    </row>
    <row r="2467" spans="1:5" x14ac:dyDescent="0.25">
      <c r="A2467" s="118"/>
      <c r="B2467" s="118"/>
      <c r="C2467" s="118"/>
      <c r="D2467" s="118"/>
      <c r="E2467" s="118"/>
    </row>
    <row r="2468" spans="1:5" x14ac:dyDescent="0.25">
      <c r="A2468" s="118"/>
      <c r="B2468" s="118"/>
      <c r="C2468" s="118"/>
      <c r="D2468" s="118"/>
      <c r="E2468" s="118"/>
    </row>
    <row r="2469" spans="1:5" x14ac:dyDescent="0.25">
      <c r="A2469" s="118"/>
      <c r="B2469" s="118"/>
      <c r="C2469" s="118"/>
      <c r="D2469" s="118"/>
      <c r="E2469" s="118"/>
    </row>
    <row r="2470" spans="1:5" x14ac:dyDescent="0.25">
      <c r="A2470" s="118"/>
      <c r="B2470" s="118"/>
      <c r="C2470" s="118"/>
      <c r="D2470" s="118"/>
      <c r="E2470" s="118"/>
    </row>
    <row r="2471" spans="1:5" x14ac:dyDescent="0.25">
      <c r="A2471" s="118"/>
      <c r="B2471" s="118"/>
      <c r="C2471" s="118"/>
      <c r="D2471" s="118"/>
      <c r="E2471" s="118"/>
    </row>
    <row r="2472" spans="1:5" x14ac:dyDescent="0.25">
      <c r="A2472" s="118"/>
      <c r="B2472" s="118"/>
      <c r="C2472" s="118"/>
      <c r="D2472" s="118"/>
      <c r="E2472" s="118"/>
    </row>
    <row r="2473" spans="1:5" x14ac:dyDescent="0.25">
      <c r="A2473" s="118"/>
      <c r="B2473" s="118"/>
      <c r="C2473" s="118"/>
      <c r="D2473" s="118"/>
      <c r="E2473" s="118"/>
    </row>
    <row r="2474" spans="1:5" x14ac:dyDescent="0.25">
      <c r="A2474" s="118"/>
      <c r="B2474" s="118"/>
      <c r="C2474" s="118"/>
      <c r="D2474" s="118"/>
      <c r="E2474" s="118"/>
    </row>
    <row r="2475" spans="1:5" x14ac:dyDescent="0.25">
      <c r="A2475" s="118"/>
      <c r="B2475" s="118"/>
      <c r="C2475" s="118"/>
      <c r="D2475" s="118"/>
      <c r="E2475" s="118"/>
    </row>
    <row r="2476" spans="1:5" x14ac:dyDescent="0.25">
      <c r="A2476" s="118"/>
      <c r="B2476" s="118"/>
      <c r="C2476" s="118"/>
      <c r="D2476" s="118"/>
      <c r="E2476" s="118"/>
    </row>
    <row r="2477" spans="1:5" x14ac:dyDescent="0.25">
      <c r="A2477" s="118"/>
      <c r="B2477" s="118"/>
      <c r="C2477" s="118"/>
      <c r="D2477" s="118"/>
      <c r="E2477" s="118"/>
    </row>
    <row r="2478" spans="1:5" x14ac:dyDescent="0.25">
      <c r="A2478" s="118"/>
      <c r="B2478" s="118"/>
      <c r="C2478" s="118"/>
      <c r="D2478" s="118"/>
      <c r="E2478" s="118"/>
    </row>
    <row r="2479" spans="1:5" x14ac:dyDescent="0.25">
      <c r="A2479" s="118"/>
      <c r="B2479" s="118"/>
      <c r="C2479" s="118"/>
      <c r="D2479" s="118"/>
      <c r="E2479" s="118"/>
    </row>
    <row r="2480" spans="1:5" x14ac:dyDescent="0.25">
      <c r="A2480" s="118"/>
      <c r="B2480" s="118"/>
      <c r="C2480" s="118"/>
      <c r="D2480" s="118"/>
      <c r="E2480" s="118"/>
    </row>
    <row r="2481" spans="1:5" x14ac:dyDescent="0.25">
      <c r="A2481" s="118"/>
      <c r="B2481" s="118"/>
      <c r="C2481" s="118"/>
      <c r="D2481" s="118"/>
      <c r="E2481" s="118"/>
    </row>
    <row r="2482" spans="1:5" x14ac:dyDescent="0.25">
      <c r="A2482" s="118"/>
      <c r="B2482" s="118"/>
      <c r="C2482" s="118"/>
      <c r="D2482" s="118"/>
      <c r="E2482" s="118"/>
    </row>
    <row r="2483" spans="1:5" x14ac:dyDescent="0.25">
      <c r="A2483" s="118"/>
      <c r="B2483" s="118"/>
      <c r="C2483" s="118"/>
      <c r="D2483" s="118"/>
      <c r="E2483" s="118"/>
    </row>
    <row r="2484" spans="1:5" x14ac:dyDescent="0.25">
      <c r="A2484" s="118"/>
      <c r="B2484" s="118"/>
      <c r="C2484" s="118"/>
      <c r="D2484" s="118"/>
      <c r="E2484" s="118"/>
    </row>
    <row r="2485" spans="1:5" x14ac:dyDescent="0.25">
      <c r="A2485" s="118"/>
      <c r="B2485" s="118"/>
      <c r="C2485" s="118"/>
      <c r="D2485" s="118"/>
      <c r="E2485" s="118"/>
    </row>
    <row r="2486" spans="1:5" x14ac:dyDescent="0.25">
      <c r="A2486" s="118"/>
      <c r="B2486" s="118"/>
      <c r="C2486" s="118"/>
      <c r="D2486" s="118"/>
      <c r="E2486" s="118"/>
    </row>
    <row r="2487" spans="1:5" x14ac:dyDescent="0.25">
      <c r="A2487" s="118"/>
      <c r="B2487" s="118"/>
      <c r="C2487" s="118"/>
      <c r="D2487" s="118"/>
      <c r="E2487" s="118"/>
    </row>
    <row r="2488" spans="1:5" x14ac:dyDescent="0.25">
      <c r="A2488" s="118"/>
      <c r="B2488" s="118"/>
      <c r="C2488" s="118"/>
      <c r="D2488" s="118"/>
      <c r="E2488" s="118"/>
    </row>
    <row r="2489" spans="1:5" x14ac:dyDescent="0.25">
      <c r="A2489" s="118"/>
      <c r="B2489" s="118"/>
      <c r="C2489" s="118"/>
      <c r="D2489" s="118"/>
      <c r="E2489" s="118"/>
    </row>
    <row r="2490" spans="1:5" x14ac:dyDescent="0.25">
      <c r="A2490" s="118"/>
      <c r="B2490" s="118"/>
      <c r="C2490" s="118"/>
      <c r="D2490" s="118"/>
      <c r="E2490" s="118"/>
    </row>
    <row r="2491" spans="1:5" x14ac:dyDescent="0.25">
      <c r="A2491" s="118"/>
      <c r="B2491" s="118"/>
      <c r="C2491" s="118"/>
      <c r="D2491" s="118"/>
      <c r="E2491" s="118"/>
    </row>
    <row r="2492" spans="1:5" x14ac:dyDescent="0.25">
      <c r="A2492" s="118"/>
      <c r="B2492" s="118"/>
      <c r="C2492" s="118"/>
      <c r="D2492" s="118"/>
      <c r="E2492" s="118"/>
    </row>
    <row r="2493" spans="1:5" x14ac:dyDescent="0.25">
      <c r="A2493" s="118"/>
      <c r="B2493" s="118"/>
      <c r="C2493" s="118"/>
      <c r="D2493" s="118"/>
      <c r="E2493" s="118"/>
    </row>
    <row r="2494" spans="1:5" x14ac:dyDescent="0.25">
      <c r="A2494" s="118"/>
      <c r="B2494" s="118"/>
      <c r="C2494" s="118"/>
      <c r="D2494" s="118"/>
      <c r="E2494" s="118"/>
    </row>
    <row r="2495" spans="1:5" x14ac:dyDescent="0.25">
      <c r="A2495" s="118"/>
      <c r="B2495" s="118"/>
      <c r="C2495" s="118"/>
      <c r="D2495" s="118"/>
      <c r="E2495" s="118"/>
    </row>
    <row r="2496" spans="1:5" x14ac:dyDescent="0.25">
      <c r="A2496" s="118"/>
      <c r="B2496" s="118"/>
      <c r="C2496" s="118"/>
      <c r="D2496" s="118"/>
      <c r="E2496" s="118"/>
    </row>
    <row r="2497" spans="1:5" x14ac:dyDescent="0.25">
      <c r="A2497" s="118"/>
      <c r="B2497" s="118"/>
      <c r="C2497" s="118"/>
      <c r="D2497" s="118"/>
      <c r="E2497" s="118"/>
    </row>
    <row r="2498" spans="1:5" x14ac:dyDescent="0.25">
      <c r="A2498" s="118"/>
      <c r="B2498" s="118"/>
      <c r="C2498" s="118"/>
      <c r="D2498" s="118"/>
      <c r="E2498" s="118"/>
    </row>
    <row r="2499" spans="1:5" x14ac:dyDescent="0.25">
      <c r="A2499" s="118"/>
      <c r="B2499" s="118"/>
      <c r="C2499" s="118"/>
      <c r="D2499" s="118"/>
      <c r="E2499" s="118"/>
    </row>
    <row r="2500" spans="1:5" x14ac:dyDescent="0.25">
      <c r="A2500" s="118"/>
      <c r="B2500" s="118"/>
      <c r="C2500" s="118"/>
      <c r="D2500" s="118"/>
      <c r="E2500" s="118"/>
    </row>
    <row r="2501" spans="1:5" x14ac:dyDescent="0.25">
      <c r="A2501" s="118"/>
      <c r="B2501" s="118"/>
      <c r="C2501" s="118"/>
      <c r="D2501" s="118"/>
      <c r="E2501" s="118"/>
    </row>
    <row r="2502" spans="1:5" x14ac:dyDescent="0.25">
      <c r="A2502" s="118"/>
      <c r="B2502" s="118"/>
      <c r="C2502" s="118"/>
      <c r="D2502" s="118"/>
      <c r="E2502" s="118"/>
    </row>
    <row r="2503" spans="1:5" x14ac:dyDescent="0.25">
      <c r="A2503" s="118"/>
      <c r="B2503" s="118"/>
      <c r="C2503" s="118"/>
      <c r="D2503" s="118"/>
      <c r="E2503" s="118"/>
    </row>
    <row r="2504" spans="1:5" x14ac:dyDescent="0.25">
      <c r="A2504" s="118"/>
      <c r="B2504" s="118"/>
      <c r="C2504" s="118"/>
      <c r="D2504" s="118"/>
      <c r="E2504" s="118"/>
    </row>
    <row r="2505" spans="1:5" x14ac:dyDescent="0.25">
      <c r="A2505" s="118"/>
      <c r="B2505" s="118"/>
      <c r="C2505" s="118"/>
      <c r="D2505" s="118"/>
      <c r="E2505" s="118"/>
    </row>
    <row r="2506" spans="1:5" x14ac:dyDescent="0.25">
      <c r="A2506" s="118"/>
      <c r="B2506" s="118"/>
      <c r="C2506" s="118"/>
      <c r="D2506" s="118"/>
      <c r="E2506" s="118"/>
    </row>
    <row r="2507" spans="1:5" x14ac:dyDescent="0.25">
      <c r="A2507" s="118"/>
      <c r="B2507" s="118"/>
      <c r="C2507" s="118"/>
      <c r="D2507" s="118"/>
      <c r="E2507" s="118"/>
    </row>
    <row r="2508" spans="1:5" x14ac:dyDescent="0.25">
      <c r="A2508" s="118"/>
      <c r="B2508" s="118"/>
      <c r="C2508" s="118"/>
      <c r="D2508" s="118"/>
      <c r="E2508" s="118"/>
    </row>
    <row r="2509" spans="1:5" x14ac:dyDescent="0.25">
      <c r="A2509" s="118"/>
      <c r="B2509" s="118"/>
      <c r="C2509" s="118"/>
      <c r="D2509" s="118"/>
      <c r="E2509" s="118"/>
    </row>
    <row r="2510" spans="1:5" x14ac:dyDescent="0.25">
      <c r="A2510" s="118"/>
      <c r="B2510" s="118"/>
      <c r="C2510" s="118"/>
      <c r="D2510" s="118"/>
      <c r="E2510" s="118"/>
    </row>
    <row r="2511" spans="1:5" x14ac:dyDescent="0.25">
      <c r="A2511" s="118"/>
      <c r="B2511" s="118"/>
      <c r="C2511" s="118"/>
      <c r="D2511" s="118"/>
      <c r="E2511" s="118"/>
    </row>
    <row r="2512" spans="1:5" x14ac:dyDescent="0.25">
      <c r="A2512" s="118"/>
      <c r="B2512" s="118"/>
      <c r="C2512" s="118"/>
      <c r="D2512" s="118"/>
      <c r="E2512" s="118"/>
    </row>
    <row r="2513" spans="1:5" x14ac:dyDescent="0.25">
      <c r="A2513" s="118"/>
      <c r="B2513" s="118"/>
      <c r="C2513" s="118"/>
      <c r="D2513" s="118"/>
      <c r="E2513" s="118"/>
    </row>
    <row r="2514" spans="1:5" x14ac:dyDescent="0.25">
      <c r="A2514" s="118"/>
      <c r="B2514" s="118"/>
      <c r="C2514" s="118"/>
      <c r="D2514" s="118"/>
      <c r="E2514" s="118"/>
    </row>
    <row r="2515" spans="1:5" x14ac:dyDescent="0.25">
      <c r="A2515" s="118"/>
      <c r="B2515" s="118"/>
      <c r="C2515" s="118"/>
      <c r="D2515" s="118"/>
      <c r="E2515" s="118"/>
    </row>
    <row r="2516" spans="1:5" x14ac:dyDescent="0.25">
      <c r="A2516" s="118"/>
      <c r="B2516" s="118"/>
      <c r="C2516" s="118"/>
      <c r="D2516" s="118"/>
      <c r="E2516" s="118"/>
    </row>
    <row r="2517" spans="1:5" x14ac:dyDescent="0.25">
      <c r="A2517" s="118"/>
      <c r="B2517" s="118"/>
      <c r="C2517" s="118"/>
      <c r="D2517" s="118"/>
      <c r="E2517" s="118"/>
    </row>
    <row r="2518" spans="1:5" x14ac:dyDescent="0.25">
      <c r="A2518" s="118"/>
      <c r="B2518" s="118"/>
      <c r="C2518" s="118"/>
      <c r="D2518" s="118"/>
      <c r="E2518" s="118"/>
    </row>
    <row r="2519" spans="1:5" x14ac:dyDescent="0.25">
      <c r="A2519" s="118"/>
      <c r="B2519" s="118"/>
      <c r="C2519" s="118"/>
      <c r="D2519" s="118"/>
      <c r="E2519" s="118"/>
    </row>
    <row r="2520" spans="1:5" x14ac:dyDescent="0.25">
      <c r="A2520" s="118"/>
      <c r="B2520" s="118"/>
      <c r="C2520" s="118"/>
      <c r="D2520" s="118"/>
      <c r="E2520" s="118"/>
    </row>
    <row r="2521" spans="1:5" x14ac:dyDescent="0.25">
      <c r="A2521" s="118"/>
      <c r="B2521" s="118"/>
      <c r="C2521" s="118"/>
      <c r="D2521" s="118"/>
      <c r="E2521" s="118"/>
    </row>
    <row r="2522" spans="1:5" x14ac:dyDescent="0.25">
      <c r="A2522" s="118"/>
      <c r="B2522" s="118"/>
      <c r="C2522" s="118"/>
      <c r="D2522" s="118"/>
      <c r="E2522" s="118"/>
    </row>
    <row r="2523" spans="1:5" x14ac:dyDescent="0.25">
      <c r="A2523" s="118"/>
      <c r="B2523" s="118"/>
      <c r="C2523" s="118"/>
      <c r="D2523" s="118"/>
      <c r="E2523" s="118"/>
    </row>
    <row r="2524" spans="1:5" x14ac:dyDescent="0.25">
      <c r="A2524" s="118"/>
      <c r="B2524" s="118"/>
      <c r="C2524" s="118"/>
      <c r="D2524" s="118"/>
      <c r="E2524" s="118"/>
    </row>
    <row r="2525" spans="1:5" x14ac:dyDescent="0.25">
      <c r="A2525" s="118"/>
      <c r="B2525" s="118"/>
      <c r="C2525" s="118"/>
      <c r="D2525" s="118"/>
      <c r="E2525" s="118"/>
    </row>
    <row r="2526" spans="1:5" x14ac:dyDescent="0.25">
      <c r="A2526" s="118"/>
      <c r="B2526" s="118"/>
      <c r="C2526" s="118"/>
      <c r="D2526" s="118"/>
      <c r="E2526" s="118"/>
    </row>
    <row r="2527" spans="1:5" x14ac:dyDescent="0.25">
      <c r="A2527" s="118"/>
      <c r="B2527" s="118"/>
      <c r="C2527" s="118"/>
      <c r="D2527" s="118"/>
      <c r="E2527" s="118"/>
    </row>
    <row r="2528" spans="1:5" x14ac:dyDescent="0.25">
      <c r="A2528" s="118"/>
      <c r="B2528" s="118"/>
      <c r="C2528" s="118"/>
      <c r="D2528" s="118"/>
      <c r="E2528" s="118"/>
    </row>
    <row r="2529" spans="1:5" x14ac:dyDescent="0.25">
      <c r="A2529" s="118"/>
      <c r="B2529" s="118"/>
      <c r="C2529" s="118"/>
      <c r="D2529" s="118"/>
      <c r="E2529" s="118"/>
    </row>
    <row r="2530" spans="1:5" x14ac:dyDescent="0.25">
      <c r="A2530" s="118"/>
      <c r="B2530" s="118"/>
      <c r="C2530" s="118"/>
      <c r="D2530" s="118"/>
      <c r="E2530" s="118"/>
    </row>
    <row r="2531" spans="1:5" x14ac:dyDescent="0.25">
      <c r="A2531" s="118"/>
      <c r="B2531" s="118"/>
      <c r="C2531" s="118"/>
      <c r="D2531" s="118"/>
      <c r="E2531" s="118"/>
    </row>
    <row r="2532" spans="1:5" x14ac:dyDescent="0.25">
      <c r="A2532" s="118"/>
      <c r="B2532" s="118"/>
      <c r="C2532" s="118"/>
      <c r="D2532" s="118"/>
      <c r="E2532" s="118"/>
    </row>
    <row r="2533" spans="1:5" x14ac:dyDescent="0.25">
      <c r="A2533" s="118"/>
      <c r="B2533" s="118"/>
      <c r="C2533" s="118"/>
      <c r="D2533" s="118"/>
      <c r="E2533" s="118"/>
    </row>
    <row r="2534" spans="1:5" x14ac:dyDescent="0.25">
      <c r="A2534" s="118"/>
      <c r="B2534" s="118"/>
      <c r="C2534" s="118"/>
      <c r="D2534" s="118"/>
      <c r="E2534" s="118"/>
    </row>
    <row r="2535" spans="1:5" x14ac:dyDescent="0.25">
      <c r="A2535" s="118"/>
      <c r="B2535" s="118"/>
      <c r="C2535" s="118"/>
      <c r="D2535" s="118"/>
      <c r="E2535" s="118"/>
    </row>
    <row r="2536" spans="1:5" x14ac:dyDescent="0.25">
      <c r="A2536" s="118"/>
      <c r="B2536" s="118"/>
      <c r="C2536" s="118"/>
      <c r="D2536" s="118"/>
      <c r="E2536" s="118"/>
    </row>
    <row r="2537" spans="1:5" x14ac:dyDescent="0.25">
      <c r="A2537" s="118"/>
      <c r="B2537" s="118"/>
      <c r="C2537" s="118"/>
      <c r="D2537" s="118"/>
      <c r="E2537" s="118"/>
    </row>
    <row r="2538" spans="1:5" x14ac:dyDescent="0.25">
      <c r="A2538" s="118"/>
      <c r="B2538" s="118"/>
      <c r="C2538" s="118"/>
      <c r="D2538" s="118"/>
      <c r="E2538" s="118"/>
    </row>
    <row r="2539" spans="1:5" x14ac:dyDescent="0.25">
      <c r="A2539" s="118"/>
      <c r="B2539" s="118"/>
      <c r="C2539" s="118"/>
      <c r="D2539" s="118"/>
      <c r="E2539" s="118"/>
    </row>
    <row r="2540" spans="1:5" x14ac:dyDescent="0.25">
      <c r="A2540" s="118"/>
      <c r="B2540" s="118"/>
      <c r="C2540" s="118"/>
      <c r="D2540" s="118"/>
      <c r="E2540" s="118"/>
    </row>
    <row r="2541" spans="1:5" x14ac:dyDescent="0.25">
      <c r="A2541" s="118"/>
      <c r="B2541" s="118"/>
      <c r="C2541" s="118"/>
      <c r="D2541" s="118"/>
      <c r="E2541" s="118"/>
    </row>
    <row r="2542" spans="1:5" x14ac:dyDescent="0.25">
      <c r="A2542" s="118"/>
      <c r="B2542" s="118"/>
      <c r="C2542" s="118"/>
      <c r="D2542" s="118"/>
      <c r="E2542" s="118"/>
    </row>
    <row r="2543" spans="1:5" x14ac:dyDescent="0.25">
      <c r="A2543" s="118"/>
      <c r="B2543" s="118"/>
      <c r="C2543" s="118"/>
      <c r="D2543" s="118"/>
      <c r="E2543" s="118"/>
    </row>
    <row r="2544" spans="1:5" x14ac:dyDescent="0.25">
      <c r="A2544" s="118"/>
      <c r="B2544" s="118"/>
      <c r="C2544" s="118"/>
      <c r="D2544" s="118"/>
      <c r="E2544" s="118"/>
    </row>
    <row r="2545" spans="1:5" x14ac:dyDescent="0.25">
      <c r="A2545" s="118"/>
      <c r="B2545" s="118"/>
      <c r="C2545" s="118"/>
      <c r="D2545" s="118"/>
      <c r="E2545" s="118"/>
    </row>
    <row r="2546" spans="1:5" x14ac:dyDescent="0.25">
      <c r="A2546" s="118"/>
      <c r="B2546" s="118"/>
      <c r="C2546" s="118"/>
      <c r="D2546" s="118"/>
      <c r="E2546" s="118"/>
    </row>
    <row r="2547" spans="1:5" x14ac:dyDescent="0.25">
      <c r="A2547" s="118"/>
      <c r="B2547" s="118"/>
      <c r="C2547" s="118"/>
      <c r="D2547" s="118"/>
      <c r="E2547" s="118"/>
    </row>
    <row r="2548" spans="1:5" x14ac:dyDescent="0.25">
      <c r="A2548" s="118"/>
      <c r="B2548" s="118"/>
      <c r="C2548" s="118"/>
      <c r="D2548" s="118"/>
      <c r="E2548" s="118"/>
    </row>
    <row r="2549" spans="1:5" x14ac:dyDescent="0.25">
      <c r="A2549" s="118"/>
      <c r="B2549" s="118"/>
      <c r="C2549" s="118"/>
      <c r="D2549" s="118"/>
      <c r="E2549" s="118"/>
    </row>
    <row r="2550" spans="1:5" x14ac:dyDescent="0.25">
      <c r="A2550" s="118"/>
      <c r="B2550" s="118"/>
      <c r="C2550" s="118"/>
      <c r="D2550" s="118"/>
      <c r="E2550" s="118"/>
    </row>
    <row r="2551" spans="1:5" x14ac:dyDescent="0.25">
      <c r="A2551" s="118"/>
      <c r="B2551" s="118"/>
      <c r="C2551" s="118"/>
      <c r="D2551" s="118"/>
      <c r="E2551" s="118"/>
    </row>
    <row r="2552" spans="1:5" x14ac:dyDescent="0.25">
      <c r="A2552" s="118"/>
      <c r="B2552" s="118"/>
      <c r="C2552" s="118"/>
      <c r="D2552" s="118"/>
      <c r="E2552" s="118"/>
    </row>
    <row r="2553" spans="1:5" x14ac:dyDescent="0.25">
      <c r="A2553" s="118"/>
      <c r="B2553" s="118"/>
      <c r="C2553" s="118"/>
      <c r="D2553" s="118"/>
      <c r="E2553" s="118"/>
    </row>
    <row r="2554" spans="1:5" x14ac:dyDescent="0.25">
      <c r="A2554" s="118"/>
      <c r="B2554" s="118"/>
      <c r="C2554" s="118"/>
      <c r="D2554" s="118"/>
      <c r="E2554" s="118"/>
    </row>
    <row r="2555" spans="1:5" x14ac:dyDescent="0.25">
      <c r="A2555" s="118"/>
      <c r="B2555" s="118"/>
      <c r="C2555" s="118"/>
      <c r="D2555" s="118"/>
      <c r="E2555" s="118"/>
    </row>
    <row r="2556" spans="1:5" x14ac:dyDescent="0.25">
      <c r="A2556" s="118"/>
      <c r="B2556" s="118"/>
      <c r="C2556" s="118"/>
      <c r="D2556" s="118"/>
      <c r="E2556" s="118"/>
    </row>
    <row r="2557" spans="1:5" x14ac:dyDescent="0.25">
      <c r="A2557" s="118"/>
      <c r="B2557" s="118"/>
      <c r="C2557" s="118"/>
      <c r="D2557" s="118"/>
      <c r="E2557" s="118"/>
    </row>
    <row r="2558" spans="1:5" x14ac:dyDescent="0.25">
      <c r="A2558" s="118"/>
      <c r="B2558" s="118"/>
      <c r="C2558" s="118"/>
      <c r="D2558" s="118"/>
      <c r="E2558" s="118"/>
    </row>
    <row r="2559" spans="1:5" x14ac:dyDescent="0.25">
      <c r="A2559" s="118"/>
      <c r="B2559" s="118"/>
      <c r="C2559" s="118"/>
      <c r="D2559" s="118"/>
      <c r="E2559" s="118"/>
    </row>
    <row r="2560" spans="1:5" x14ac:dyDescent="0.25">
      <c r="A2560" s="118"/>
      <c r="B2560" s="118"/>
      <c r="C2560" s="118"/>
      <c r="D2560" s="118"/>
      <c r="E2560" s="118"/>
    </row>
    <row r="2561" spans="1:5" x14ac:dyDescent="0.25">
      <c r="A2561" s="118"/>
      <c r="B2561" s="118"/>
      <c r="C2561" s="118"/>
      <c r="D2561" s="118"/>
      <c r="E2561" s="118"/>
    </row>
    <row r="2562" spans="1:5" x14ac:dyDescent="0.25">
      <c r="A2562" s="118"/>
      <c r="B2562" s="118"/>
      <c r="C2562" s="118"/>
      <c r="D2562" s="118"/>
      <c r="E2562" s="118"/>
    </row>
    <row r="2563" spans="1:5" x14ac:dyDescent="0.25">
      <c r="A2563" s="118"/>
      <c r="B2563" s="118"/>
      <c r="C2563" s="118"/>
      <c r="D2563" s="118"/>
      <c r="E2563" s="118"/>
    </row>
    <row r="2564" spans="1:5" x14ac:dyDescent="0.25">
      <c r="A2564" s="118"/>
      <c r="B2564" s="118"/>
      <c r="C2564" s="118"/>
      <c r="D2564" s="118"/>
      <c r="E2564" s="118"/>
    </row>
    <row r="2565" spans="1:5" x14ac:dyDescent="0.25">
      <c r="A2565" s="118"/>
      <c r="B2565" s="118"/>
      <c r="C2565" s="118"/>
      <c r="D2565" s="118"/>
      <c r="E2565" s="118"/>
    </row>
    <row r="2566" spans="1:5" x14ac:dyDescent="0.25">
      <c r="A2566" s="118"/>
      <c r="B2566" s="118"/>
      <c r="C2566" s="118"/>
      <c r="D2566" s="118"/>
      <c r="E2566" s="118"/>
    </row>
    <row r="2567" spans="1:5" x14ac:dyDescent="0.25">
      <c r="A2567" s="118"/>
      <c r="B2567" s="118"/>
      <c r="C2567" s="118"/>
      <c r="D2567" s="118"/>
      <c r="E2567" s="118"/>
    </row>
    <row r="2568" spans="1:5" x14ac:dyDescent="0.25">
      <c r="A2568" s="118"/>
      <c r="B2568" s="118"/>
      <c r="C2568" s="118"/>
      <c r="D2568" s="118"/>
      <c r="E2568" s="118"/>
    </row>
    <row r="2569" spans="1:5" x14ac:dyDescent="0.25">
      <c r="A2569" s="118"/>
      <c r="B2569" s="118"/>
      <c r="C2569" s="118"/>
      <c r="D2569" s="118"/>
      <c r="E2569" s="118"/>
    </row>
    <row r="2570" spans="1:5" x14ac:dyDescent="0.25">
      <c r="A2570" s="118"/>
      <c r="B2570" s="118"/>
      <c r="C2570" s="118"/>
      <c r="D2570" s="118"/>
      <c r="E2570" s="118"/>
    </row>
    <row r="2571" spans="1:5" x14ac:dyDescent="0.25">
      <c r="A2571" s="118"/>
      <c r="B2571" s="118"/>
      <c r="C2571" s="118"/>
      <c r="D2571" s="118"/>
      <c r="E2571" s="118"/>
    </row>
    <row r="2572" spans="1:5" x14ac:dyDescent="0.25">
      <c r="A2572" s="118"/>
      <c r="B2572" s="118"/>
      <c r="C2572" s="118"/>
      <c r="D2572" s="118"/>
      <c r="E2572" s="118"/>
    </row>
    <row r="2573" spans="1:5" x14ac:dyDescent="0.25">
      <c r="A2573" s="118"/>
      <c r="B2573" s="118"/>
      <c r="C2573" s="118"/>
      <c r="D2573" s="118"/>
      <c r="E2573" s="118"/>
    </row>
    <row r="2574" spans="1:5" x14ac:dyDescent="0.25">
      <c r="A2574" s="118"/>
      <c r="B2574" s="118"/>
      <c r="C2574" s="118"/>
      <c r="D2574" s="118"/>
      <c r="E2574" s="118"/>
    </row>
    <row r="2575" spans="1:5" x14ac:dyDescent="0.25">
      <c r="A2575" s="118"/>
      <c r="B2575" s="118"/>
      <c r="C2575" s="118"/>
      <c r="D2575" s="118"/>
      <c r="E2575" s="118"/>
    </row>
    <row r="2576" spans="1:5" x14ac:dyDescent="0.25">
      <c r="A2576" s="118"/>
      <c r="B2576" s="118"/>
      <c r="C2576" s="118"/>
      <c r="D2576" s="118"/>
      <c r="E2576" s="118"/>
    </row>
    <row r="2577" spans="1:5" x14ac:dyDescent="0.25">
      <c r="A2577" s="118"/>
      <c r="B2577" s="118"/>
      <c r="C2577" s="118"/>
      <c r="D2577" s="118"/>
      <c r="E2577" s="118"/>
    </row>
    <row r="2578" spans="1:5" x14ac:dyDescent="0.25">
      <c r="A2578" s="118"/>
      <c r="B2578" s="118"/>
      <c r="C2578" s="118"/>
      <c r="D2578" s="118"/>
      <c r="E2578" s="118"/>
    </row>
    <row r="2579" spans="1:5" x14ac:dyDescent="0.25">
      <c r="A2579" s="118"/>
      <c r="B2579" s="118"/>
      <c r="C2579" s="118"/>
      <c r="D2579" s="118"/>
      <c r="E2579" s="118"/>
    </row>
    <row r="2580" spans="1:5" x14ac:dyDescent="0.25">
      <c r="A2580" s="118"/>
      <c r="B2580" s="118"/>
      <c r="C2580" s="118"/>
      <c r="D2580" s="118"/>
      <c r="E2580" s="118"/>
    </row>
    <row r="2581" spans="1:5" x14ac:dyDescent="0.25">
      <c r="A2581" s="118"/>
      <c r="B2581" s="118"/>
      <c r="C2581" s="118"/>
      <c r="D2581" s="118"/>
      <c r="E2581" s="118"/>
    </row>
    <row r="2582" spans="1:5" x14ac:dyDescent="0.25">
      <c r="A2582" s="118"/>
      <c r="B2582" s="118"/>
      <c r="C2582" s="118"/>
      <c r="D2582" s="118"/>
      <c r="E2582" s="118"/>
    </row>
    <row r="2583" spans="1:5" x14ac:dyDescent="0.25">
      <c r="A2583" s="118"/>
      <c r="B2583" s="118"/>
      <c r="C2583" s="118"/>
      <c r="D2583" s="118"/>
      <c r="E2583" s="118"/>
    </row>
    <row r="2584" spans="1:5" x14ac:dyDescent="0.25">
      <c r="A2584" s="118"/>
      <c r="B2584" s="118"/>
      <c r="C2584" s="118"/>
      <c r="D2584" s="118"/>
      <c r="E2584" s="118"/>
    </row>
    <row r="2585" spans="1:5" x14ac:dyDescent="0.25">
      <c r="A2585" s="118"/>
      <c r="B2585" s="118"/>
      <c r="C2585" s="118"/>
      <c r="D2585" s="118"/>
      <c r="E2585" s="118"/>
    </row>
    <row r="2586" spans="1:5" x14ac:dyDescent="0.25">
      <c r="A2586" s="118"/>
      <c r="B2586" s="118"/>
      <c r="C2586" s="118"/>
      <c r="D2586" s="118"/>
      <c r="E2586" s="118"/>
    </row>
    <row r="2587" spans="1:5" x14ac:dyDescent="0.25">
      <c r="A2587" s="118"/>
      <c r="B2587" s="118"/>
      <c r="C2587" s="118"/>
      <c r="D2587" s="118"/>
      <c r="E2587" s="118"/>
    </row>
    <row r="2588" spans="1:5" x14ac:dyDescent="0.25">
      <c r="A2588" s="118"/>
      <c r="B2588" s="118"/>
      <c r="C2588" s="118"/>
      <c r="D2588" s="118"/>
      <c r="E2588" s="118"/>
    </row>
    <row r="2589" spans="1:5" x14ac:dyDescent="0.25">
      <c r="A2589" s="118"/>
      <c r="B2589" s="118"/>
      <c r="C2589" s="118"/>
      <c r="D2589" s="118"/>
      <c r="E2589" s="118"/>
    </row>
    <row r="2590" spans="1:5" x14ac:dyDescent="0.25">
      <c r="A2590" s="118"/>
      <c r="B2590" s="118"/>
      <c r="C2590" s="118"/>
      <c r="D2590" s="118"/>
      <c r="E2590" s="118"/>
    </row>
    <row r="2591" spans="1:5" x14ac:dyDescent="0.25">
      <c r="A2591" s="118"/>
      <c r="B2591" s="118"/>
      <c r="C2591" s="118"/>
      <c r="D2591" s="118"/>
      <c r="E2591" s="118"/>
    </row>
    <row r="2592" spans="1:5" x14ac:dyDescent="0.25">
      <c r="A2592" s="118"/>
      <c r="B2592" s="118"/>
      <c r="C2592" s="118"/>
      <c r="D2592" s="118"/>
      <c r="E2592" s="118"/>
    </row>
    <row r="2593" spans="1:5" x14ac:dyDescent="0.25">
      <c r="A2593" s="118"/>
      <c r="B2593" s="118"/>
      <c r="C2593" s="118"/>
      <c r="D2593" s="118"/>
      <c r="E2593" s="118"/>
    </row>
    <row r="2594" spans="1:5" x14ac:dyDescent="0.25">
      <c r="A2594" s="118"/>
      <c r="B2594" s="118"/>
      <c r="C2594" s="118"/>
      <c r="D2594" s="118"/>
      <c r="E2594" s="118"/>
    </row>
    <row r="2595" spans="1:5" x14ac:dyDescent="0.25">
      <c r="A2595" s="118"/>
      <c r="B2595" s="118"/>
      <c r="C2595" s="118"/>
      <c r="D2595" s="118"/>
      <c r="E2595" s="118"/>
    </row>
    <row r="2596" spans="1:5" x14ac:dyDescent="0.25">
      <c r="A2596" s="118"/>
      <c r="B2596" s="118"/>
      <c r="C2596" s="118"/>
      <c r="D2596" s="118"/>
      <c r="E2596" s="118"/>
    </row>
    <row r="2597" spans="1:5" x14ac:dyDescent="0.25">
      <c r="A2597" s="118"/>
      <c r="B2597" s="118"/>
      <c r="C2597" s="118"/>
      <c r="D2597" s="118"/>
      <c r="E2597" s="118"/>
    </row>
    <row r="2598" spans="1:5" x14ac:dyDescent="0.25">
      <c r="A2598" s="118"/>
      <c r="B2598" s="118"/>
      <c r="C2598" s="118"/>
      <c r="D2598" s="118"/>
      <c r="E2598" s="118"/>
    </row>
    <row r="2599" spans="1:5" x14ac:dyDescent="0.25">
      <c r="A2599" s="118"/>
      <c r="B2599" s="118"/>
      <c r="C2599" s="118"/>
      <c r="D2599" s="118"/>
      <c r="E2599" s="118"/>
    </row>
    <row r="2600" spans="1:5" x14ac:dyDescent="0.25">
      <c r="A2600" s="118"/>
      <c r="B2600" s="118"/>
      <c r="C2600" s="118"/>
      <c r="D2600" s="118"/>
      <c r="E2600" s="118"/>
    </row>
    <row r="2601" spans="1:5" x14ac:dyDescent="0.25">
      <c r="A2601" s="118"/>
      <c r="B2601" s="118"/>
      <c r="C2601" s="118"/>
      <c r="D2601" s="118"/>
      <c r="E2601" s="118"/>
    </row>
    <row r="2602" spans="1:5" x14ac:dyDescent="0.25">
      <c r="A2602" s="118"/>
      <c r="B2602" s="118"/>
      <c r="C2602" s="118"/>
      <c r="D2602" s="118"/>
      <c r="E2602" s="118"/>
    </row>
    <row r="2603" spans="1:5" x14ac:dyDescent="0.25">
      <c r="A2603" s="118"/>
      <c r="B2603" s="118"/>
      <c r="C2603" s="118"/>
      <c r="D2603" s="118"/>
      <c r="E2603" s="118"/>
    </row>
    <row r="2604" spans="1:5" x14ac:dyDescent="0.25">
      <c r="A2604" s="118"/>
      <c r="B2604" s="118"/>
      <c r="C2604" s="118"/>
      <c r="D2604" s="118"/>
      <c r="E2604" s="118"/>
    </row>
    <row r="2605" spans="1:5" x14ac:dyDescent="0.25">
      <c r="A2605" s="118"/>
      <c r="B2605" s="118"/>
      <c r="C2605" s="118"/>
      <c r="D2605" s="118"/>
      <c r="E2605" s="118"/>
    </row>
    <row r="2606" spans="1:5" x14ac:dyDescent="0.25">
      <c r="A2606" s="118"/>
      <c r="B2606" s="118"/>
      <c r="C2606" s="118"/>
      <c r="D2606" s="118"/>
      <c r="E2606" s="118"/>
    </row>
    <row r="2607" spans="1:5" x14ac:dyDescent="0.25">
      <c r="A2607" s="118"/>
      <c r="B2607" s="118"/>
      <c r="C2607" s="118"/>
      <c r="D2607" s="118"/>
      <c r="E2607" s="118"/>
    </row>
    <row r="2608" spans="1:5" x14ac:dyDescent="0.25">
      <c r="A2608" s="118"/>
      <c r="B2608" s="118"/>
      <c r="C2608" s="118"/>
      <c r="D2608" s="118"/>
      <c r="E2608" s="118"/>
    </row>
    <row r="2609" spans="1:5" x14ac:dyDescent="0.25">
      <c r="A2609" s="118"/>
      <c r="B2609" s="118"/>
      <c r="C2609" s="118"/>
      <c r="D2609" s="118"/>
      <c r="E2609" s="118"/>
    </row>
    <row r="2610" spans="1:5" x14ac:dyDescent="0.25">
      <c r="A2610" s="118"/>
      <c r="B2610" s="118"/>
      <c r="C2610" s="118"/>
      <c r="D2610" s="118"/>
      <c r="E2610" s="118"/>
    </row>
    <row r="2611" spans="1:5" x14ac:dyDescent="0.25">
      <c r="A2611" s="118"/>
      <c r="B2611" s="118"/>
      <c r="C2611" s="118"/>
      <c r="D2611" s="118"/>
      <c r="E2611" s="118"/>
    </row>
    <row r="2612" spans="1:5" x14ac:dyDescent="0.25">
      <c r="A2612" s="118"/>
      <c r="B2612" s="118"/>
      <c r="C2612" s="118"/>
      <c r="D2612" s="118"/>
      <c r="E2612" s="118"/>
    </row>
    <row r="2613" spans="1:5" x14ac:dyDescent="0.25">
      <c r="A2613" s="118"/>
      <c r="B2613" s="118"/>
      <c r="C2613" s="118"/>
      <c r="D2613" s="118"/>
      <c r="E2613" s="118"/>
    </row>
    <row r="2614" spans="1:5" x14ac:dyDescent="0.25">
      <c r="A2614" s="118"/>
      <c r="B2614" s="118"/>
      <c r="C2614" s="118"/>
      <c r="D2614" s="118"/>
      <c r="E2614" s="118"/>
    </row>
    <row r="2615" spans="1:5" x14ac:dyDescent="0.25">
      <c r="A2615" s="118"/>
      <c r="B2615" s="118"/>
      <c r="C2615" s="118"/>
      <c r="D2615" s="118"/>
      <c r="E2615" s="118"/>
    </row>
    <row r="2616" spans="1:5" x14ac:dyDescent="0.25">
      <c r="A2616" s="118"/>
      <c r="B2616" s="118"/>
      <c r="C2616" s="118"/>
      <c r="D2616" s="118"/>
      <c r="E2616" s="118"/>
    </row>
    <row r="2617" spans="1:5" x14ac:dyDescent="0.25">
      <c r="A2617" s="118"/>
      <c r="B2617" s="118"/>
      <c r="C2617" s="118"/>
      <c r="D2617" s="118"/>
      <c r="E2617" s="118"/>
    </row>
    <row r="2618" spans="1:5" x14ac:dyDescent="0.25">
      <c r="A2618" s="118"/>
      <c r="B2618" s="118"/>
      <c r="C2618" s="118"/>
      <c r="D2618" s="118"/>
      <c r="E2618" s="118"/>
    </row>
    <row r="2619" spans="1:5" x14ac:dyDescent="0.25">
      <c r="A2619" s="118"/>
      <c r="B2619" s="118"/>
      <c r="C2619" s="118"/>
      <c r="D2619" s="118"/>
      <c r="E2619" s="118"/>
    </row>
    <row r="2620" spans="1:5" x14ac:dyDescent="0.25">
      <c r="A2620" s="118"/>
      <c r="B2620" s="118"/>
      <c r="C2620" s="118"/>
      <c r="D2620" s="118"/>
      <c r="E2620" s="118"/>
    </row>
    <row r="2621" spans="1:5" x14ac:dyDescent="0.25">
      <c r="A2621" s="118"/>
      <c r="B2621" s="118"/>
      <c r="C2621" s="118"/>
      <c r="D2621" s="118"/>
      <c r="E2621" s="118"/>
    </row>
    <row r="2622" spans="1:5" x14ac:dyDescent="0.25">
      <c r="A2622" s="118"/>
      <c r="B2622" s="118"/>
      <c r="C2622" s="118"/>
      <c r="D2622" s="118"/>
      <c r="E2622" s="118"/>
    </row>
    <row r="2623" spans="1:5" x14ac:dyDescent="0.25">
      <c r="A2623" s="118"/>
      <c r="B2623" s="118"/>
      <c r="C2623" s="118"/>
      <c r="D2623" s="118"/>
      <c r="E2623" s="118"/>
    </row>
    <row r="2624" spans="1:5" x14ac:dyDescent="0.25">
      <c r="A2624" s="118"/>
      <c r="B2624" s="118"/>
      <c r="C2624" s="118"/>
      <c r="D2624" s="118"/>
      <c r="E2624" s="118"/>
    </row>
    <row r="2625" spans="1:5" x14ac:dyDescent="0.25">
      <c r="A2625" s="118"/>
      <c r="B2625" s="118"/>
      <c r="C2625" s="118"/>
      <c r="D2625" s="118"/>
      <c r="E2625" s="118"/>
    </row>
    <row r="2626" spans="1:5" x14ac:dyDescent="0.25">
      <c r="A2626" s="118"/>
      <c r="B2626" s="118"/>
      <c r="C2626" s="118"/>
      <c r="D2626" s="118"/>
      <c r="E2626" s="118"/>
    </row>
    <row r="2627" spans="1:5" x14ac:dyDescent="0.25">
      <c r="A2627" s="118"/>
      <c r="B2627" s="118"/>
      <c r="C2627" s="118"/>
      <c r="D2627" s="118"/>
      <c r="E2627" s="118"/>
    </row>
    <row r="2628" spans="1:5" x14ac:dyDescent="0.25">
      <c r="A2628" s="118"/>
      <c r="B2628" s="118"/>
      <c r="C2628" s="118"/>
      <c r="D2628" s="118"/>
      <c r="E2628" s="118"/>
    </row>
    <row r="2629" spans="1:5" x14ac:dyDescent="0.25">
      <c r="A2629" s="118"/>
      <c r="B2629" s="118"/>
      <c r="C2629" s="118"/>
      <c r="D2629" s="118"/>
      <c r="E2629" s="118"/>
    </row>
    <row r="2630" spans="1:5" x14ac:dyDescent="0.25">
      <c r="A2630" s="118"/>
      <c r="B2630" s="118"/>
      <c r="C2630" s="118"/>
      <c r="D2630" s="118"/>
      <c r="E2630" s="118"/>
    </row>
    <row r="2631" spans="1:5" x14ac:dyDescent="0.25">
      <c r="A2631" s="118"/>
      <c r="B2631" s="118"/>
      <c r="C2631" s="118"/>
      <c r="D2631" s="118"/>
      <c r="E2631" s="118"/>
    </row>
    <row r="2632" spans="1:5" x14ac:dyDescent="0.25">
      <c r="A2632" s="118"/>
      <c r="B2632" s="118"/>
      <c r="C2632" s="118"/>
      <c r="D2632" s="118"/>
      <c r="E2632" s="118"/>
    </row>
    <row r="2633" spans="1:5" x14ac:dyDescent="0.25">
      <c r="A2633" s="118"/>
      <c r="B2633" s="118"/>
      <c r="C2633" s="118"/>
      <c r="D2633" s="118"/>
      <c r="E2633" s="118"/>
    </row>
    <row r="2634" spans="1:5" x14ac:dyDescent="0.25">
      <c r="A2634" s="118"/>
      <c r="B2634" s="118"/>
      <c r="C2634" s="118"/>
      <c r="D2634" s="118"/>
      <c r="E2634" s="118"/>
    </row>
    <row r="2635" spans="1:5" x14ac:dyDescent="0.25">
      <c r="A2635" s="118"/>
      <c r="B2635" s="118"/>
      <c r="C2635" s="118"/>
      <c r="D2635" s="118"/>
      <c r="E2635" s="118"/>
    </row>
    <row r="2636" spans="1:5" x14ac:dyDescent="0.25">
      <c r="A2636" s="118"/>
      <c r="B2636" s="118"/>
      <c r="C2636" s="118"/>
      <c r="D2636" s="118"/>
      <c r="E2636" s="118"/>
    </row>
    <row r="2637" spans="1:5" x14ac:dyDescent="0.25">
      <c r="A2637" s="118"/>
      <c r="B2637" s="118"/>
      <c r="C2637" s="118"/>
      <c r="D2637" s="118"/>
      <c r="E2637" s="118"/>
    </row>
    <row r="2638" spans="1:5" x14ac:dyDescent="0.25">
      <c r="A2638" s="118"/>
      <c r="B2638" s="118"/>
      <c r="C2638" s="118"/>
      <c r="D2638" s="118"/>
      <c r="E2638" s="118"/>
    </row>
    <row r="2639" spans="1:5" x14ac:dyDescent="0.25">
      <c r="A2639" s="118"/>
      <c r="B2639" s="118"/>
      <c r="C2639" s="118"/>
      <c r="D2639" s="118"/>
      <c r="E2639" s="118"/>
    </row>
    <row r="2640" spans="1:5" x14ac:dyDescent="0.25">
      <c r="A2640" s="118"/>
      <c r="B2640" s="118"/>
      <c r="C2640" s="118"/>
      <c r="D2640" s="118"/>
      <c r="E2640" s="118"/>
    </row>
    <row r="2641" spans="1:5" x14ac:dyDescent="0.25">
      <c r="A2641" s="118"/>
      <c r="B2641" s="118"/>
      <c r="C2641" s="118"/>
      <c r="D2641" s="118"/>
      <c r="E2641" s="118"/>
    </row>
    <row r="2642" spans="1:5" x14ac:dyDescent="0.25">
      <c r="A2642" s="118"/>
      <c r="B2642" s="118"/>
      <c r="C2642" s="118"/>
      <c r="D2642" s="118"/>
      <c r="E2642" s="118"/>
    </row>
    <row r="2643" spans="1:5" x14ac:dyDescent="0.25">
      <c r="A2643" s="118"/>
      <c r="B2643" s="118"/>
      <c r="C2643" s="118"/>
      <c r="D2643" s="118"/>
      <c r="E2643" s="118"/>
    </row>
    <row r="2644" spans="1:5" x14ac:dyDescent="0.25">
      <c r="A2644" s="118"/>
      <c r="B2644" s="118"/>
      <c r="C2644" s="118"/>
      <c r="D2644" s="118"/>
      <c r="E2644" s="118"/>
    </row>
    <row r="2645" spans="1:5" x14ac:dyDescent="0.25">
      <c r="A2645" s="118"/>
      <c r="B2645" s="118"/>
      <c r="C2645" s="118"/>
      <c r="D2645" s="118"/>
      <c r="E2645" s="118"/>
    </row>
    <row r="2646" spans="1:5" x14ac:dyDescent="0.25">
      <c r="A2646" s="118"/>
      <c r="B2646" s="118"/>
      <c r="C2646" s="118"/>
      <c r="D2646" s="118"/>
      <c r="E2646" s="118"/>
    </row>
    <row r="2647" spans="1:5" x14ac:dyDescent="0.25">
      <c r="A2647" s="118"/>
      <c r="B2647" s="118"/>
      <c r="C2647" s="118"/>
      <c r="D2647" s="118"/>
      <c r="E2647" s="118"/>
    </row>
    <row r="2648" spans="1:5" x14ac:dyDescent="0.25">
      <c r="A2648" s="118"/>
      <c r="B2648" s="118"/>
      <c r="C2648" s="118"/>
      <c r="D2648" s="118"/>
      <c r="E2648" s="118"/>
    </row>
    <row r="2649" spans="1:5" x14ac:dyDescent="0.25">
      <c r="A2649" s="118"/>
      <c r="B2649" s="118"/>
      <c r="C2649" s="118"/>
      <c r="D2649" s="118"/>
      <c r="E2649" s="118"/>
    </row>
  </sheetData>
  <autoFilter ref="A1:R2649" xr:uid="{00000000-0009-0000-0000-000002000000}"/>
  <pageMargins left="0.75" right="0.75" top="1" bottom="1" header="0.5" footer="0.5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3">
    <tabColor indexed="10"/>
  </sheetPr>
  <dimension ref="A1:V75"/>
  <sheetViews>
    <sheetView zoomScaleNormal="100" workbookViewId="0">
      <selection activeCell="L11" sqref="L11"/>
    </sheetView>
  </sheetViews>
  <sheetFormatPr defaultRowHeight="13.5" x14ac:dyDescent="0.25"/>
  <cols>
    <col min="1" max="1" width="23.125" bestFit="1" customWidth="1"/>
    <col min="2" max="2" width="5.625" customWidth="1"/>
    <col min="3" max="3" width="14.625" bestFit="1" customWidth="1"/>
    <col min="4" max="4" width="5.625" customWidth="1"/>
    <col min="5" max="5" width="15" bestFit="1" customWidth="1"/>
    <col min="6" max="6" width="9.5" bestFit="1" customWidth="1"/>
    <col min="7" max="7" width="5.625" customWidth="1"/>
    <col min="8" max="8" width="14.375" bestFit="1" customWidth="1"/>
    <col min="9" max="9" width="14.375" customWidth="1"/>
    <col min="10" max="10" width="10.625" bestFit="1" customWidth="1"/>
    <col min="11" max="11" width="5.625" customWidth="1"/>
    <col min="12" max="12" width="33.125" customWidth="1"/>
    <col min="13" max="13" width="9.75" bestFit="1" customWidth="1"/>
    <col min="14" max="14" width="15.625" bestFit="1" customWidth="1"/>
    <col min="15" max="15" width="15.625" customWidth="1"/>
    <col min="19" max="19" width="11.875" bestFit="1" customWidth="1"/>
    <col min="22" max="22" width="23.625" bestFit="1" customWidth="1"/>
  </cols>
  <sheetData>
    <row r="1" spans="1:22" x14ac:dyDescent="0.25">
      <c r="A1" s="58" t="s">
        <v>34</v>
      </c>
      <c r="C1" s="58" t="s">
        <v>41</v>
      </c>
      <c r="E1" s="58" t="s">
        <v>46</v>
      </c>
      <c r="H1" s="58" t="s">
        <v>40</v>
      </c>
      <c r="L1" s="58" t="s">
        <v>92</v>
      </c>
      <c r="N1" s="58" t="s">
        <v>66</v>
      </c>
      <c r="O1" s="58"/>
      <c r="R1" s="58" t="s">
        <v>68</v>
      </c>
      <c r="U1" s="58" t="s">
        <v>67</v>
      </c>
      <c r="V1" s="58"/>
    </row>
    <row r="3" spans="1:22" ht="14.25" thickBot="1" x14ac:dyDescent="0.3">
      <c r="L3" t="s">
        <v>93</v>
      </c>
    </row>
    <row r="4" spans="1:22" ht="15" thickTop="1" thickBot="1" x14ac:dyDescent="0.3">
      <c r="A4" s="70" t="s">
        <v>35</v>
      </c>
      <c r="C4" s="63" t="s">
        <v>33</v>
      </c>
      <c r="E4" s="61" t="s">
        <v>33</v>
      </c>
      <c r="F4" s="62" t="s">
        <v>30</v>
      </c>
      <c r="H4" s="61" t="s">
        <v>38</v>
      </c>
      <c r="I4" s="64" t="s">
        <v>23</v>
      </c>
      <c r="J4" s="62" t="s">
        <v>23</v>
      </c>
      <c r="L4" s="102" t="str">
        <f ca="1">TRIM("Memo "&amp;Gemeente&amp;"-"&amp;GekozenIni&amp;TEXT(NOW()," jjmmdd-uumm ")&amp;ToevoegingJaar&amp;" "&amp;OmschrijvingKort)</f>
        <v>Memo WAS-DCON 210209-1604 test</v>
      </c>
      <c r="N4" s="61" t="s">
        <v>60</v>
      </c>
      <c r="O4" s="64" t="s">
        <v>54</v>
      </c>
      <c r="P4" s="62" t="s">
        <v>55</v>
      </c>
      <c r="R4" s="61" t="s">
        <v>1</v>
      </c>
      <c r="S4" s="62" t="s">
        <v>72</v>
      </c>
      <c r="U4" s="61" t="s">
        <v>1</v>
      </c>
      <c r="V4" s="62" t="s">
        <v>20</v>
      </c>
    </row>
    <row r="5" spans="1:22" ht="15" thickTop="1" thickBot="1" x14ac:dyDescent="0.3">
      <c r="A5" s="54" t="s">
        <v>37</v>
      </c>
      <c r="C5" s="66">
        <v>1</v>
      </c>
      <c r="E5" s="56">
        <v>1</v>
      </c>
      <c r="F5" s="88" t="s">
        <v>174</v>
      </c>
      <c r="H5" s="56">
        <v>1</v>
      </c>
      <c r="I5" s="55" t="s">
        <v>32</v>
      </c>
      <c r="J5" s="85">
        <f ca="1">YEAR(TODAY())</f>
        <v>2021</v>
      </c>
      <c r="N5" s="56">
        <v>1</v>
      </c>
      <c r="O5" s="93" t="s">
        <v>62</v>
      </c>
      <c r="P5" s="99"/>
      <c r="R5" s="103" t="s">
        <v>69</v>
      </c>
      <c r="S5" s="105">
        <v>0</v>
      </c>
      <c r="U5" s="103">
        <v>11</v>
      </c>
      <c r="V5" s="94" t="s">
        <v>154</v>
      </c>
    </row>
    <row r="6" spans="1:22" ht="15" thickTop="1" thickBot="1" x14ac:dyDescent="0.3">
      <c r="A6" s="65" t="s">
        <v>36</v>
      </c>
      <c r="E6" s="56">
        <v>2</v>
      </c>
      <c r="F6" s="88" t="s">
        <v>175</v>
      </c>
      <c r="H6" s="57">
        <v>2</v>
      </c>
      <c r="I6" s="60" t="s">
        <v>31</v>
      </c>
      <c r="J6" s="67">
        <f ca="1">BoekjaarMax-1</f>
        <v>2020</v>
      </c>
      <c r="L6" t="s">
        <v>94</v>
      </c>
      <c r="N6" s="56">
        <v>2</v>
      </c>
      <c r="O6" s="55" t="s">
        <v>283</v>
      </c>
      <c r="P6" s="94" t="s">
        <v>284</v>
      </c>
      <c r="R6" s="103" t="s">
        <v>70</v>
      </c>
      <c r="S6" s="105">
        <v>0.06</v>
      </c>
      <c r="U6" s="103">
        <v>13</v>
      </c>
      <c r="V6" s="94" t="s">
        <v>155</v>
      </c>
    </row>
    <row r="7" spans="1:22" ht="15" thickTop="1" thickBot="1" x14ac:dyDescent="0.3">
      <c r="C7" s="63" t="s">
        <v>38</v>
      </c>
      <c r="E7" s="57">
        <v>3</v>
      </c>
      <c r="F7" s="89" t="s">
        <v>176</v>
      </c>
      <c r="L7" s="102" t="str">
        <f ca="1">LEFT(Bestandsnaam,25)</f>
        <v>Memo WAS-DCON 210209-1604</v>
      </c>
      <c r="N7" s="56">
        <v>3</v>
      </c>
      <c r="O7" s="142" t="s">
        <v>285</v>
      </c>
      <c r="P7" s="94" t="s">
        <v>286</v>
      </c>
      <c r="R7" s="104" t="s">
        <v>71</v>
      </c>
      <c r="S7" s="106">
        <v>0.21</v>
      </c>
      <c r="U7" s="103">
        <v>21</v>
      </c>
      <c r="V7" s="94" t="s">
        <v>156</v>
      </c>
    </row>
    <row r="8" spans="1:22" ht="15" thickTop="1" thickBot="1" x14ac:dyDescent="0.3">
      <c r="C8" s="66">
        <v>1</v>
      </c>
      <c r="I8" s="68" t="s">
        <v>39</v>
      </c>
      <c r="J8" s="69">
        <f ca="1">IFERROR(VLOOKUP(BoekjaarCode,DataBoekjaar,3,FALSE),0)</f>
        <v>2021</v>
      </c>
      <c r="N8" s="56">
        <v>4</v>
      </c>
      <c r="O8" s="55" t="s">
        <v>44</v>
      </c>
      <c r="P8" s="94" t="s">
        <v>58</v>
      </c>
      <c r="U8" s="103">
        <v>23</v>
      </c>
      <c r="V8" s="94" t="s">
        <v>197</v>
      </c>
    </row>
    <row r="9" spans="1:22" ht="15" thickTop="1" thickBot="1" x14ac:dyDescent="0.3">
      <c r="E9" s="68" t="s">
        <v>47</v>
      </c>
      <c r="F9" s="138" t="str">
        <f>IFERROR(VLOOKUP(GemeenteCode,DataGemeente,2,FALSE),0)</f>
        <v>WAS</v>
      </c>
      <c r="N9" s="56">
        <v>5</v>
      </c>
      <c r="O9" s="55" t="s">
        <v>231</v>
      </c>
      <c r="P9" s="94" t="s">
        <v>232</v>
      </c>
      <c r="U9" s="103">
        <v>31</v>
      </c>
      <c r="V9" s="94" t="s">
        <v>157</v>
      </c>
    </row>
    <row r="10" spans="1:22" ht="14.25" thickTop="1" x14ac:dyDescent="0.25">
      <c r="C10" s="63" t="s">
        <v>60</v>
      </c>
      <c r="I10" s="86" t="s">
        <v>48</v>
      </c>
      <c r="J10" s="90">
        <f ca="1">YEAR(TODAY())</f>
        <v>2021</v>
      </c>
      <c r="N10" s="56">
        <v>6</v>
      </c>
      <c r="O10" s="55" t="s">
        <v>180</v>
      </c>
      <c r="P10" s="94" t="s">
        <v>181</v>
      </c>
      <c r="U10" s="103">
        <v>33</v>
      </c>
      <c r="V10" s="94" t="s">
        <v>198</v>
      </c>
    </row>
    <row r="11" spans="1:22" ht="14.25" thickBot="1" x14ac:dyDescent="0.3">
      <c r="C11" s="66">
        <v>9</v>
      </c>
      <c r="I11" s="87" t="s">
        <v>49</v>
      </c>
      <c r="J11" s="91" t="str">
        <f ca="1">IF(Boekjaar=J10,"","("&amp;Boekjaar&amp;")")</f>
        <v/>
      </c>
      <c r="N11" s="56">
        <v>7</v>
      </c>
      <c r="O11" s="55" t="s">
        <v>182</v>
      </c>
      <c r="P11" s="94" t="s">
        <v>183</v>
      </c>
      <c r="U11" s="103">
        <v>41</v>
      </c>
      <c r="V11" s="94" t="s">
        <v>158</v>
      </c>
    </row>
    <row r="12" spans="1:22" ht="15" thickTop="1" thickBot="1" x14ac:dyDescent="0.3">
      <c r="N12" s="56">
        <v>8</v>
      </c>
      <c r="O12" s="55" t="s">
        <v>57</v>
      </c>
      <c r="P12" s="94" t="s">
        <v>56</v>
      </c>
      <c r="U12" s="103">
        <v>43</v>
      </c>
      <c r="V12" s="94" t="s">
        <v>199</v>
      </c>
    </row>
    <row r="13" spans="1:22" ht="14.25" thickTop="1" x14ac:dyDescent="0.25">
      <c r="C13" s="63" t="s">
        <v>63</v>
      </c>
      <c r="N13" s="56">
        <v>9</v>
      </c>
      <c r="O13" s="55" t="s">
        <v>184</v>
      </c>
      <c r="P13" s="94" t="s">
        <v>185</v>
      </c>
      <c r="U13" s="103">
        <v>51</v>
      </c>
      <c r="V13" s="94" t="s">
        <v>159</v>
      </c>
    </row>
    <row r="14" spans="1:22" ht="14.25" thickBot="1" x14ac:dyDescent="0.3">
      <c r="C14" s="100">
        <f>LengteTekst</f>
        <v>4</v>
      </c>
      <c r="N14" s="56">
        <v>10</v>
      </c>
      <c r="O14" s="55"/>
      <c r="P14" s="94"/>
      <c r="U14" s="103">
        <v>53</v>
      </c>
      <c r="V14" s="94" t="s">
        <v>200</v>
      </c>
    </row>
    <row r="15" spans="1:22" ht="14.25" thickTop="1" x14ac:dyDescent="0.25">
      <c r="I15" t="s">
        <v>95</v>
      </c>
      <c r="J15" s="111">
        <f ca="1">DATE(BoekjaarMin,1,1)</f>
        <v>43831</v>
      </c>
      <c r="N15" s="56">
        <v>11</v>
      </c>
      <c r="O15" s="55"/>
      <c r="P15" s="94"/>
      <c r="U15" s="103">
        <v>61</v>
      </c>
      <c r="V15" s="94" t="s">
        <v>160</v>
      </c>
    </row>
    <row r="16" spans="1:22" x14ac:dyDescent="0.25">
      <c r="I16" t="s">
        <v>96</v>
      </c>
      <c r="J16" s="111">
        <f ca="1">DATE(BoekjaarMax,12,31)</f>
        <v>44561</v>
      </c>
      <c r="N16" s="56">
        <v>12</v>
      </c>
      <c r="O16" s="55"/>
      <c r="P16" s="94"/>
      <c r="U16" s="103">
        <v>63</v>
      </c>
      <c r="V16" s="94" t="s">
        <v>201</v>
      </c>
    </row>
    <row r="17" spans="3:22" ht="14.25" thickBot="1" x14ac:dyDescent="0.3">
      <c r="N17" s="57">
        <v>13</v>
      </c>
      <c r="O17" s="60"/>
      <c r="P17" s="95"/>
      <c r="U17" s="103">
        <v>71</v>
      </c>
      <c r="V17" s="94" t="s">
        <v>161</v>
      </c>
    </row>
    <row r="18" spans="3:22" ht="14.25" thickTop="1" x14ac:dyDescent="0.25">
      <c r="C18" s="63" t="s">
        <v>42</v>
      </c>
      <c r="I18" t="s">
        <v>135</v>
      </c>
      <c r="J18" s="111">
        <f ca="1">BoekDat</f>
        <v>44236</v>
      </c>
      <c r="U18" s="103">
        <v>73</v>
      </c>
      <c r="V18" s="94" t="s">
        <v>202</v>
      </c>
    </row>
    <row r="19" spans="3:22" ht="14.25" thickBot="1" x14ac:dyDescent="0.3">
      <c r="C19" s="59">
        <f>GemeenteCode*BoekjaarCode*KorteTekstCode*IF(Consulentcode=1,0,Consulentcode)</f>
        <v>36</v>
      </c>
      <c r="I19" t="s">
        <v>134</v>
      </c>
      <c r="J19" s="122">
        <f ca="1">VALUE(TEXT(YEAR(J18),"0000")&amp;TEXT(MONTH(J18),"00")&amp;TEXT(DAY(J18),"00"))</f>
        <v>20210209</v>
      </c>
      <c r="O19" s="93"/>
      <c r="U19" s="103">
        <v>81</v>
      </c>
      <c r="V19" s="94" t="s">
        <v>162</v>
      </c>
    </row>
    <row r="20" spans="3:22" ht="14.25" thickTop="1" x14ac:dyDescent="0.25">
      <c r="U20" s="103">
        <v>83</v>
      </c>
      <c r="V20" s="94" t="s">
        <v>203</v>
      </c>
    </row>
    <row r="21" spans="3:22" ht="14.25" thickBot="1" x14ac:dyDescent="0.3">
      <c r="I21" t="s">
        <v>136</v>
      </c>
      <c r="J21" s="111">
        <f ca="1">DocDat</f>
        <v>44236</v>
      </c>
      <c r="U21" s="103">
        <v>91</v>
      </c>
      <c r="V21" s="94" t="s">
        <v>186</v>
      </c>
    </row>
    <row r="22" spans="3:22" ht="14.25" thickTop="1" x14ac:dyDescent="0.25">
      <c r="I22" t="s">
        <v>152</v>
      </c>
      <c r="J22" s="122">
        <f ca="1">VALUE(TEXT(YEAR(J21),"0000")&amp;TEXT(MONTH(J21),"00")&amp;TEXT(DAY(J21),"00"))</f>
        <v>20210209</v>
      </c>
      <c r="N22" s="96" t="s">
        <v>59</v>
      </c>
      <c r="O22" s="97" t="str">
        <f>IFERROR(VLOOKUP(Consulentcode,DataConsulenten,2,FALSE),0)</f>
        <v>Div consulenten</v>
      </c>
      <c r="U22" s="103">
        <v>93</v>
      </c>
      <c r="V22" s="94" t="s">
        <v>204</v>
      </c>
    </row>
    <row r="23" spans="3:22" ht="14.25" thickBot="1" x14ac:dyDescent="0.3">
      <c r="N23" s="57" t="s">
        <v>61</v>
      </c>
      <c r="O23" s="98" t="str">
        <f>IFERROR(VLOOKUP(Consulentcode,DataConsulenten,3,FALSE),0)</f>
        <v>DCON</v>
      </c>
      <c r="U23" s="103" t="s">
        <v>73</v>
      </c>
      <c r="V23" s="94" t="s">
        <v>163</v>
      </c>
    </row>
    <row r="24" spans="3:22" ht="14.25" thickTop="1" x14ac:dyDescent="0.25">
      <c r="U24" s="103" t="s">
        <v>74</v>
      </c>
      <c r="V24" s="107" t="s">
        <v>164</v>
      </c>
    </row>
    <row r="25" spans="3:22" x14ac:dyDescent="0.25">
      <c r="U25" s="103" t="s">
        <v>165</v>
      </c>
      <c r="V25" s="107" t="s">
        <v>166</v>
      </c>
    </row>
    <row r="26" spans="3:22" x14ac:dyDescent="0.25">
      <c r="U26" s="103" t="s">
        <v>187</v>
      </c>
      <c r="V26" s="107" t="s">
        <v>189</v>
      </c>
    </row>
    <row r="27" spans="3:22" x14ac:dyDescent="0.25">
      <c r="U27" s="103" t="s">
        <v>188</v>
      </c>
      <c r="V27" s="107" t="s">
        <v>190</v>
      </c>
    </row>
    <row r="28" spans="3:22" x14ac:dyDescent="0.25">
      <c r="U28" s="103" t="s">
        <v>75</v>
      </c>
      <c r="V28" s="107" t="s">
        <v>167</v>
      </c>
    </row>
    <row r="29" spans="3:22" x14ac:dyDescent="0.25">
      <c r="U29" s="103" t="s">
        <v>168</v>
      </c>
      <c r="V29" s="107" t="s">
        <v>169</v>
      </c>
    </row>
    <row r="30" spans="3:22" x14ac:dyDescent="0.25">
      <c r="U30" s="103" t="s">
        <v>191</v>
      </c>
      <c r="V30" s="107" t="s">
        <v>193</v>
      </c>
    </row>
    <row r="31" spans="3:22" x14ac:dyDescent="0.25">
      <c r="U31" s="103" t="s">
        <v>192</v>
      </c>
      <c r="V31" s="107" t="s">
        <v>194</v>
      </c>
    </row>
    <row r="32" spans="3:22" x14ac:dyDescent="0.25">
      <c r="U32" s="103" t="s">
        <v>195</v>
      </c>
      <c r="V32" s="107" t="s">
        <v>154</v>
      </c>
    </row>
    <row r="33" spans="21:22" x14ac:dyDescent="0.25">
      <c r="U33" s="103" t="s">
        <v>196</v>
      </c>
      <c r="V33" s="107" t="s">
        <v>155</v>
      </c>
    </row>
    <row r="34" spans="21:22" x14ac:dyDescent="0.25">
      <c r="U34" s="103" t="s">
        <v>205</v>
      </c>
      <c r="V34" s="107" t="s">
        <v>158</v>
      </c>
    </row>
    <row r="35" spans="21:22" x14ac:dyDescent="0.25">
      <c r="U35" s="103" t="s">
        <v>206</v>
      </c>
      <c r="V35" s="107" t="s">
        <v>199</v>
      </c>
    </row>
    <row r="36" spans="21:22" x14ac:dyDescent="0.25">
      <c r="U36" s="103" t="s">
        <v>207</v>
      </c>
      <c r="V36" s="107" t="s">
        <v>217</v>
      </c>
    </row>
    <row r="37" spans="21:22" x14ac:dyDescent="0.25">
      <c r="U37" s="103" t="s">
        <v>208</v>
      </c>
      <c r="V37" s="107" t="s">
        <v>218</v>
      </c>
    </row>
    <row r="38" spans="21:22" x14ac:dyDescent="0.25">
      <c r="U38" s="103" t="s">
        <v>209</v>
      </c>
      <c r="V38" s="107" t="s">
        <v>219</v>
      </c>
    </row>
    <row r="39" spans="21:22" x14ac:dyDescent="0.25">
      <c r="U39" s="103" t="s">
        <v>210</v>
      </c>
      <c r="V39" s="107" t="s">
        <v>220</v>
      </c>
    </row>
    <row r="40" spans="21:22" x14ac:dyDescent="0.25">
      <c r="U40" s="103" t="s">
        <v>211</v>
      </c>
      <c r="V40" s="107" t="s">
        <v>221</v>
      </c>
    </row>
    <row r="41" spans="21:22" x14ac:dyDescent="0.25">
      <c r="U41" s="103" t="s">
        <v>212</v>
      </c>
      <c r="V41" s="107" t="s">
        <v>222</v>
      </c>
    </row>
    <row r="42" spans="21:22" x14ac:dyDescent="0.25">
      <c r="U42" s="103" t="s">
        <v>213</v>
      </c>
      <c r="V42" s="107" t="s">
        <v>223</v>
      </c>
    </row>
    <row r="43" spans="21:22" x14ac:dyDescent="0.25">
      <c r="U43" s="103" t="s">
        <v>214</v>
      </c>
      <c r="V43" s="107" t="s">
        <v>224</v>
      </c>
    </row>
    <row r="44" spans="21:22" x14ac:dyDescent="0.25">
      <c r="U44" s="103" t="s">
        <v>215</v>
      </c>
      <c r="V44" s="107" t="s">
        <v>225</v>
      </c>
    </row>
    <row r="45" spans="21:22" x14ac:dyDescent="0.25">
      <c r="U45" s="103" t="s">
        <v>216</v>
      </c>
      <c r="V45" s="107" t="s">
        <v>226</v>
      </c>
    </row>
    <row r="46" spans="21:22" x14ac:dyDescent="0.25">
      <c r="U46" s="103" t="s">
        <v>227</v>
      </c>
      <c r="V46" s="107" t="s">
        <v>229</v>
      </c>
    </row>
    <row r="47" spans="21:22" x14ac:dyDescent="0.25">
      <c r="U47" s="103" t="s">
        <v>228</v>
      </c>
      <c r="V47" s="107" t="s">
        <v>230</v>
      </c>
    </row>
    <row r="48" spans="21:22" x14ac:dyDescent="0.25">
      <c r="U48" s="103" t="s">
        <v>76</v>
      </c>
      <c r="V48" s="107" t="s">
        <v>170</v>
      </c>
    </row>
    <row r="49" spans="21:22" x14ac:dyDescent="0.25">
      <c r="U49" s="103" t="s">
        <v>77</v>
      </c>
      <c r="V49" s="107" t="s">
        <v>171</v>
      </c>
    </row>
    <row r="50" spans="21:22" x14ac:dyDescent="0.25">
      <c r="U50" s="103" t="s">
        <v>78</v>
      </c>
      <c r="V50" s="107" t="s">
        <v>172</v>
      </c>
    </row>
    <row r="51" spans="21:22" x14ac:dyDescent="0.25">
      <c r="U51" s="103" t="s">
        <v>86</v>
      </c>
      <c r="V51" s="107" t="s">
        <v>173</v>
      </c>
    </row>
    <row r="52" spans="21:22" x14ac:dyDescent="0.25">
      <c r="U52" s="103"/>
      <c r="V52" s="107"/>
    </row>
    <row r="53" spans="21:22" x14ac:dyDescent="0.25">
      <c r="U53" s="103"/>
      <c r="V53" s="107"/>
    </row>
    <row r="54" spans="21:22" x14ac:dyDescent="0.25">
      <c r="U54" s="103"/>
      <c r="V54" s="107"/>
    </row>
    <row r="55" spans="21:22" x14ac:dyDescent="0.25">
      <c r="U55" s="103"/>
      <c r="V55" s="107"/>
    </row>
    <row r="56" spans="21:22" x14ac:dyDescent="0.25">
      <c r="U56" s="103"/>
      <c r="V56" s="107"/>
    </row>
    <row r="57" spans="21:22" x14ac:dyDescent="0.25">
      <c r="U57" s="103"/>
      <c r="V57" s="107"/>
    </row>
    <row r="58" spans="21:22" x14ac:dyDescent="0.25">
      <c r="U58" s="103"/>
      <c r="V58" s="107"/>
    </row>
    <row r="59" spans="21:22" x14ac:dyDescent="0.25">
      <c r="U59" s="103"/>
      <c r="V59" s="107"/>
    </row>
    <row r="60" spans="21:22" x14ac:dyDescent="0.25">
      <c r="U60" s="103"/>
      <c r="V60" s="107"/>
    </row>
    <row r="61" spans="21:22" x14ac:dyDescent="0.25">
      <c r="U61" s="103"/>
      <c r="V61" s="107"/>
    </row>
    <row r="62" spans="21:22" x14ac:dyDescent="0.25">
      <c r="U62" s="103"/>
      <c r="V62" s="107"/>
    </row>
    <row r="63" spans="21:22" x14ac:dyDescent="0.25">
      <c r="U63" s="103"/>
      <c r="V63" s="107"/>
    </row>
    <row r="64" spans="21:22" x14ac:dyDescent="0.25">
      <c r="U64" s="103"/>
      <c r="V64" s="107"/>
    </row>
    <row r="65" spans="21:22" x14ac:dyDescent="0.25">
      <c r="U65" s="103"/>
      <c r="V65" s="107"/>
    </row>
    <row r="66" spans="21:22" x14ac:dyDescent="0.25">
      <c r="U66" s="103"/>
      <c r="V66" s="107"/>
    </row>
    <row r="67" spans="21:22" x14ac:dyDescent="0.25">
      <c r="U67" s="103"/>
      <c r="V67" s="107"/>
    </row>
    <row r="68" spans="21:22" x14ac:dyDescent="0.25">
      <c r="U68" s="103"/>
      <c r="V68" s="107"/>
    </row>
    <row r="69" spans="21:22" x14ac:dyDescent="0.25">
      <c r="U69" s="103"/>
      <c r="V69" s="107"/>
    </row>
    <row r="70" spans="21:22" x14ac:dyDescent="0.25">
      <c r="U70" s="103"/>
      <c r="V70" s="107"/>
    </row>
    <row r="71" spans="21:22" x14ac:dyDescent="0.25">
      <c r="U71" s="103"/>
      <c r="V71" s="107"/>
    </row>
    <row r="72" spans="21:22" x14ac:dyDescent="0.25">
      <c r="U72" s="103"/>
      <c r="V72" s="107"/>
    </row>
    <row r="73" spans="21:22" x14ac:dyDescent="0.25">
      <c r="U73" s="103"/>
      <c r="V73" s="107"/>
    </row>
    <row r="74" spans="21:22" ht="14.25" thickBot="1" x14ac:dyDescent="0.3">
      <c r="U74" s="104"/>
      <c r="V74" s="95"/>
    </row>
    <row r="75" spans="21:22" ht="14.25" thickTop="1" x14ac:dyDescent="0.25"/>
  </sheetData>
  <sortState xmlns:xlrd2="http://schemas.microsoft.com/office/spreadsheetml/2017/richdata2" ref="N5:O16">
    <sortCondition ref="N5"/>
  </sortState>
  <phoneticPr fontId="20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7">
    <tabColor rgb="FFFF0000"/>
  </sheetPr>
  <dimension ref="A1:Q5"/>
  <sheetViews>
    <sheetView workbookViewId="0">
      <selection activeCell="P1" sqref="P1"/>
    </sheetView>
  </sheetViews>
  <sheetFormatPr defaultRowHeight="13.5" x14ac:dyDescent="0.25"/>
  <sheetData>
    <row r="1" spans="1:17" x14ac:dyDescent="0.25">
      <c r="A1" s="46"/>
      <c r="B1" s="49">
        <v>0</v>
      </c>
      <c r="C1" s="30">
        <v>0</v>
      </c>
      <c r="D1" s="47" t="s">
        <v>2</v>
      </c>
      <c r="E1" s="101">
        <v>0</v>
      </c>
      <c r="F1" s="101">
        <v>0</v>
      </c>
      <c r="G1" s="116" t="str">
        <f>IF(N1&lt;&gt;1,"",IF(OR(AND(LEFT(C1)="4",E1-F1&gt;0),AND(LEFT(C1)="8",E1-F1&lt;0)),"",IF(OR(AND(LEFT(C1)="4",E1-F1&lt;0),AND(LEFT(C1)="8",E1-F1&gt;0)),"","")))</f>
        <v/>
      </c>
      <c r="H1" s="108"/>
      <c r="I1" s="31"/>
      <c r="J1" s="49" t="str">
        <f>OmschrijvingKort</f>
        <v>test</v>
      </c>
      <c r="K1" s="124">
        <f>LEN(TRIM(I1&amp;" "&amp;J1))</f>
        <v>4</v>
      </c>
      <c r="L1" s="30"/>
      <c r="M1" s="47">
        <f>IFERROR(VALUE(LEFT(B1)),0)</f>
        <v>0</v>
      </c>
      <c r="N1" s="47">
        <f>IFERROR(IF(OR(E1&lt;&gt;0,F1&lt;&gt;0),1,0)*A1,0)</f>
        <v>0</v>
      </c>
      <c r="O1" s="47">
        <f>IFERROR(VALUE(LEFT(C1,3)),0)</f>
        <v>0</v>
      </c>
      <c r="P1" s="47">
        <f>--(SUMPRODUCT(("'"&amp;'Lias stamgegevens (gekoppeld)'!$B$2:$B$10000="'" &amp; $B1)*(('Lias stamgegevens (gekoppeld)'!$S$2:$S$10000=Gemeente)+('Lias stamgegevens (gekoppeld)'!$S$2:$S$10000="")))&gt;0)</f>
        <v>0</v>
      </c>
      <c r="Q1" t="s">
        <v>178</v>
      </c>
    </row>
    <row r="5" spans="1:17" x14ac:dyDescent="0.25">
      <c r="A5" s="46"/>
      <c r="B5" s="49">
        <v>0</v>
      </c>
      <c r="C5" s="30">
        <v>0</v>
      </c>
      <c r="D5" s="47" t="s">
        <v>2</v>
      </c>
      <c r="E5" s="101">
        <v>0</v>
      </c>
      <c r="F5" s="101">
        <v>0</v>
      </c>
      <c r="G5" s="116" t="str">
        <f>IF(N5&lt;&gt;1,"",IF(OR(AND(LEFT(C5)="4",E5-F5&gt;0),AND(LEFT(C5)="8",E5-F5&lt;0)),"",IF(OR(AND(LEFT(C5)="4",E5-F5&lt;0),AND(LEFT(C5)="8",E5-F5&gt;0)),"","")))</f>
        <v/>
      </c>
      <c r="H5" s="108"/>
      <c r="I5" s="31"/>
      <c r="J5" s="49" t="str">
        <f>OmschrijvingKort</f>
        <v>test</v>
      </c>
      <c r="K5" s="124">
        <f>LEN(TRIM(I5&amp;" "&amp;J5))</f>
        <v>4</v>
      </c>
      <c r="L5" s="30"/>
      <c r="M5" s="47">
        <f>IFERROR(VALUE(LEFT(B5)),0)</f>
        <v>0</v>
      </c>
      <c r="N5" s="47">
        <f>IFERROR(IF(OR(E5&lt;&gt;0,F5&lt;&gt;0),1,0)*A5,0)</f>
        <v>0</v>
      </c>
      <c r="O5" s="47">
        <f>IFERROR(VALUE(LEFT(C5,3)),0)</f>
        <v>0</v>
      </c>
      <c r="P5" t="s">
        <v>177</v>
      </c>
    </row>
  </sheetData>
  <conditionalFormatting sqref="J1">
    <cfRule type="expression" dxfId="9" priority="12" stopIfTrue="1">
      <formula>K1&gt;40</formula>
    </cfRule>
  </conditionalFormatting>
  <conditionalFormatting sqref="B1">
    <cfRule type="expression" dxfId="8" priority="11">
      <formula>(($P1&lt;&gt;1)*($B1&lt;&gt;0))&gt;0</formula>
    </cfRule>
  </conditionalFormatting>
  <conditionalFormatting sqref="G1">
    <cfRule type="expression" dxfId="7" priority="7">
      <formula>$E1-$F1&lt;0</formula>
    </cfRule>
    <cfRule type="expression" dxfId="6" priority="8">
      <formula>$E1-$F1&gt;0</formula>
    </cfRule>
  </conditionalFormatting>
  <conditionalFormatting sqref="K1">
    <cfRule type="expression" dxfId="5" priority="6" stopIfTrue="1">
      <formula>LEN(K1)&gt;40</formula>
    </cfRule>
  </conditionalFormatting>
  <conditionalFormatting sqref="J5">
    <cfRule type="expression" dxfId="4" priority="5" stopIfTrue="1">
      <formula>K5&gt;40</formula>
    </cfRule>
  </conditionalFormatting>
  <conditionalFormatting sqref="B5">
    <cfRule type="expression" dxfId="3" priority="4">
      <formula>IF(VALUE(MID(B5,2,1))=3,IF(LEN(SUBSTITUTE("5678",MID(B5,1,1),""))=4,TRUE,FALSE),VALUE(MID(B5,2,1))&lt;&gt;GemeenteCode)</formula>
    </cfRule>
  </conditionalFormatting>
  <conditionalFormatting sqref="G5">
    <cfRule type="expression" dxfId="2" priority="2">
      <formula>$E5-$F5&lt;0</formula>
    </cfRule>
    <cfRule type="expression" dxfId="1" priority="3">
      <formula>$E5-$F5&gt;0</formula>
    </cfRule>
  </conditionalFormatting>
  <conditionalFormatting sqref="K5">
    <cfRule type="expression" dxfId="0" priority="1" stopIfTrue="1">
      <formula>LEN(K5)&gt;40</formula>
    </cfRule>
  </conditionalFormatting>
  <dataValidations count="2">
    <dataValidation type="decimal" operator="greaterThanOrEqual" allowBlank="1" showInputMessage="1" showErrorMessage="1" errorTitle="INVOERFOUT" error="Alleen positieve getallen." sqref="E1:F1 E5:F5" xr:uid="{00000000-0002-0000-0400-000000000000}">
      <formula1>0</formula1>
    </dataValidation>
    <dataValidation type="list" operator="greaterThanOrEqual" allowBlank="1" showInputMessage="1" showErrorMessage="1" errorTitle="INVOERFOUT" error="Alleen positieve getallen." sqref="H1 H5" xr:uid="{00000000-0002-0000-0400-000001000000}">
      <formula1>LijstBelastingcode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CF1034D178CD0448E4A9CD4B66F5301" ma:contentTypeVersion="11" ma:contentTypeDescription="Een nieuw document maken." ma:contentTypeScope="" ma:versionID="1c000067d5776feb943e339972a26c30">
  <xsd:schema xmlns:xsd="http://www.w3.org/2001/XMLSchema" xmlns:xs="http://www.w3.org/2001/XMLSchema" xmlns:p="http://schemas.microsoft.com/office/2006/metadata/properties" xmlns:ns2="8016c6e3-ed38-4729-8a03-8c67e8ac0833" xmlns:ns3="b761925f-39b2-43c5-b2cc-334fdf5f15f5" targetNamespace="http://schemas.microsoft.com/office/2006/metadata/properties" ma:root="true" ma:fieldsID="86a55f4621265bf0e7d63438af5db228" ns2:_="" ns3:_="">
    <xsd:import namespace="8016c6e3-ed38-4729-8a03-8c67e8ac0833"/>
    <xsd:import namespace="b761925f-39b2-43c5-b2cc-334fdf5f15f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16c6e3-ed38-4729-8a03-8c67e8ac08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61925f-39b2-43c5-b2cc-334fdf5f15f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6AF6DB5-2FC1-4E0A-8A8F-1C2C56F7DCC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1578E43-D5DF-4B4C-A5E6-9455F4729F6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016c6e3-ed38-4729-8a03-8c67e8ac0833"/>
    <ds:schemaRef ds:uri="b761925f-39b2-43c5-b2cc-334fdf5f15f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62BB3EF-9803-4A52-B210-57019E42E9A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40</vt:i4>
      </vt:variant>
    </vt:vector>
  </HeadingPairs>
  <TitlesOfParts>
    <vt:vector size="45" baseType="lpstr">
      <vt:lpstr>Instellingen</vt:lpstr>
      <vt:lpstr>Memoriaal</vt:lpstr>
      <vt:lpstr>Lias stamgegevens (gekoppeld)</vt:lpstr>
      <vt:lpstr>Coderingen</vt:lpstr>
      <vt:lpstr>Invoegen</vt:lpstr>
      <vt:lpstr>Memoriaal!Afdrukbereik</vt:lpstr>
      <vt:lpstr>BereikKoptekst</vt:lpstr>
      <vt:lpstr>Bestandsnaam</vt:lpstr>
      <vt:lpstr>BoekDat</vt:lpstr>
      <vt:lpstr>Boekdatum</vt:lpstr>
      <vt:lpstr>Boekjaar</vt:lpstr>
      <vt:lpstr>BoekjaarCode</vt:lpstr>
      <vt:lpstr>BoekjaarMax</vt:lpstr>
      <vt:lpstr>BoekjaarMin</vt:lpstr>
      <vt:lpstr>Consulentcode</vt:lpstr>
      <vt:lpstr>ControleInvoerCodes</vt:lpstr>
      <vt:lpstr>DataBoekjaar</vt:lpstr>
      <vt:lpstr>DataBTW</vt:lpstr>
      <vt:lpstr>DataConsulenten</vt:lpstr>
      <vt:lpstr>DataGemeente</vt:lpstr>
      <vt:lpstr>DataLias</vt:lpstr>
      <vt:lpstr>DocDat</vt:lpstr>
      <vt:lpstr>DocDatum</vt:lpstr>
      <vt:lpstr>DocDTB</vt:lpstr>
      <vt:lpstr>DocDTE</vt:lpstr>
      <vt:lpstr>GekozenIni</vt:lpstr>
      <vt:lpstr>Gemeente</vt:lpstr>
      <vt:lpstr>GemeenteCode</vt:lpstr>
      <vt:lpstr>InvoegenSet2</vt:lpstr>
      <vt:lpstr>KeuzeBoekjaar</vt:lpstr>
      <vt:lpstr>KeuzeConsulent</vt:lpstr>
      <vt:lpstr>KeuzeDocDat</vt:lpstr>
      <vt:lpstr>KeuzeGemeente</vt:lpstr>
      <vt:lpstr>KeuzeOmschrijving</vt:lpstr>
      <vt:lpstr>KolomKpl</vt:lpstr>
      <vt:lpstr>KolomKsrt</vt:lpstr>
      <vt:lpstr>KolomOmschrijving</vt:lpstr>
      <vt:lpstr>KorteTekst</vt:lpstr>
      <vt:lpstr>KorteTekstCode</vt:lpstr>
      <vt:lpstr>LengteTekst</vt:lpstr>
      <vt:lpstr>LijstConsulenten</vt:lpstr>
      <vt:lpstr>OmschrijvingKort</vt:lpstr>
      <vt:lpstr>ToevoegingJaar</vt:lpstr>
      <vt:lpstr>ValidatieDTB</vt:lpstr>
      <vt:lpstr>ValidatieDTE</vt:lpstr>
    </vt:vector>
  </TitlesOfParts>
  <Company>Gemeente Voorschoten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Laptop</dc:creator>
  <cp:lastModifiedBy>Laptop</cp:lastModifiedBy>
  <cp:lastPrinted>2019-08-07T09:46:40Z</cp:lastPrinted>
  <dcterms:created xsi:type="dcterms:W3CDTF">2011-05-24T09:28:21Z</dcterms:created>
  <dcterms:modified xsi:type="dcterms:W3CDTF">2021-02-09T15:04:05Z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0x0101001CF1034D178CD0448E4A9CD4B66F5301</vt:lpwstr>
  </property>
  <property fmtid="{D5CDD505-2E9C-101B-9397-08002B2CF9AE}" pid="3" name="Order">
    <vt:r8>398200</vt:r8>
  </property>
</Properties>
</file>